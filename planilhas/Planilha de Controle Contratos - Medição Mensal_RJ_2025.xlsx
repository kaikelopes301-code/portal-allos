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8.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9.xml" ContentType="application/vnd.openxmlformats-officedocument.spreadsheetml.table+xml"/>
  <Override PartName="/xl/slicers/slicer3.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tables/table10.xml" ContentType="application/vnd.openxmlformats-officedocument.spreadsheetml.table+xml"/>
  <Override PartName="/xl/slicers/slicer4.xml" ContentType="application/vnd.ms-excel.slicer+xml"/>
  <Override PartName="/xl/tables/table1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codeName="EstaPastaDeTrabalho" defaultThemeVersion="166925"/>
  <mc:AlternateContent xmlns:mc="http://schemas.openxmlformats.org/markup-compatibility/2006">
    <mc:Choice Requires="x15">
      <x15ac:absPath xmlns:x15ac="http://schemas.microsoft.com/office/spreadsheetml/2010/11/ac" url="C:\backpperformance\planilhas\"/>
    </mc:Choice>
  </mc:AlternateContent>
  <xr:revisionPtr revIDLastSave="0" documentId="13_ncr:1_{561E487E-E534-4CE9-9FA9-283018DFC7F5}" xr6:coauthVersionLast="47" xr6:coauthVersionMax="47" xr10:uidLastSave="{00000000-0000-0000-0000-000000000000}"/>
  <bookViews>
    <workbookView xWindow="-110" yWindow="-110" windowWidth="19420" windowHeight="11020" tabRatio="856" firstSheet="4" activeTab="6" xr2:uid="{CAE7BFD2-D70F-418F-A6DF-D2A558E09897}"/>
  </bookViews>
  <sheets>
    <sheet name="Unidade" sheetId="21" state="hidden" r:id="rId1"/>
    <sheet name="HC" sheetId="20" state="hidden" r:id="rId2"/>
    <sheet name="Fornecedor" sheetId="19" state="hidden" r:id="rId3"/>
    <sheet name="Categoria" sheetId="18" state="hidden" r:id="rId4"/>
    <sheet name="tabShoppingsEmails" sheetId="23" r:id="rId5"/>
    <sheet name="Teste" sheetId="24" r:id="rId6"/>
    <sheet name="Faturamento RJ" sheetId="3" r:id="rId7"/>
    <sheet name="Faltas | Cálculos" sheetId="17" r:id="rId8"/>
    <sheet name="Reajuste RJ" sheetId="15" r:id="rId9"/>
    <sheet name="Retroativo | Cálculos" sheetId="16" r:id="rId10"/>
    <sheet name="Condições de Faturamento" sheetId="11" r:id="rId11"/>
    <sheet name="Rascunho" sheetId="22" r:id="rId12"/>
  </sheets>
  <externalReferences>
    <externalReference r:id="rId13"/>
  </externalReferences>
  <definedNames>
    <definedName name="_xlnm._FilterDatabase" localSheetId="6" hidden="1">'Faturamento RJ'!$B$1:$AM$985</definedName>
    <definedName name="_xlnm._FilterDatabase" localSheetId="11" hidden="1">Rascunho!$B$31:$H$60</definedName>
    <definedName name="_xlnm._FilterDatabase" localSheetId="8" hidden="1">'Reajuste RJ'!$B$1:$S$92</definedName>
    <definedName name="_xlnm._FilterDatabase" localSheetId="9" hidden="1">'Retroativo | Cálculos'!$B$1:$M$11</definedName>
    <definedName name="A">'Faturamento RJ'!$A:$B</definedName>
    <definedName name="_xlnm.Print_Area" localSheetId="6">'Faturamento RJ'!$A$1:$AN$1013</definedName>
    <definedName name="DadosExternos_1" localSheetId="3" hidden="1">'Categoria'!$A$1:$A$19</definedName>
    <definedName name="DadosExternos_1" localSheetId="4" hidden="1">tabShoppingsEmails!$A$1:$C$50</definedName>
    <definedName name="DadosExternos_2" localSheetId="2" hidden="1">Fornecedor!$A$1:$K$91</definedName>
    <definedName name="DadosExternos_3" localSheetId="1" hidden="1">HC!$A$1:$D$9</definedName>
    <definedName name="DadosExternos_4" localSheetId="0" hidden="1">Unidade!$A$1:$F$12</definedName>
    <definedName name="Estacionamento">#REF!</definedName>
    <definedName name="SegmentaçãodeDados_Categoria">#N/A</definedName>
    <definedName name="SegmentaçãodeDados_Categoria1">#N/A</definedName>
    <definedName name="SegmentaçãodeDados_Categoria2">#N/A</definedName>
    <definedName name="SegmentaçãodeDados_Categoria3">#N/A</definedName>
    <definedName name="SegmentaçãodeDados_Fornecedor">#N/A</definedName>
    <definedName name="SegmentaçãodeDados_Fornecedor1">#N/A</definedName>
    <definedName name="SegmentaçãodeDados_Fornecedor2">#N/A</definedName>
    <definedName name="SegmentaçãodeDados_Fornecedor3">#N/A</definedName>
    <definedName name="SegmentaçãodeDados_Mês">#N/A</definedName>
    <definedName name="SegmentaçãodeDados_Mês_de_referência_para_faturamento">#N/A</definedName>
    <definedName name="SegmentaçãodeDados_Unidade">#N/A</definedName>
    <definedName name="SegmentaçãodeDados_Unidade1">#N/A</definedName>
    <definedName name="SegmentaçãodeDados_Unidade2">#N/A</definedName>
    <definedName name="SegmentaçãodeDados_Unidade3">#N/A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74" i="3" l="1"/>
  <c r="V51" i="3" l="1"/>
  <c r="AD774" i="3" l="1"/>
  <c r="P110" i="22" l="1"/>
  <c r="P111" i="22" l="1"/>
  <c r="M408" i="17" l="1"/>
  <c r="O407" i="17"/>
  <c r="L407" i="17"/>
  <c r="T407" i="17"/>
  <c r="U407" i="17"/>
  <c r="Y407" i="17"/>
  <c r="L406" i="17"/>
  <c r="O406" i="17"/>
  <c r="T406" i="17"/>
  <c r="U406" i="17"/>
  <c r="Y406" i="17"/>
  <c r="O405" i="17"/>
  <c r="L405" i="17"/>
  <c r="T405" i="17"/>
  <c r="U405" i="17"/>
  <c r="Y405" i="17"/>
  <c r="L404" i="17"/>
  <c r="O404" i="17"/>
  <c r="T404" i="17"/>
  <c r="U404" i="17"/>
  <c r="Y404" i="17"/>
  <c r="L403" i="17"/>
  <c r="O403" i="17"/>
  <c r="T403" i="17"/>
  <c r="U403" i="17"/>
  <c r="Y403" i="17"/>
  <c r="M5" i="22"/>
  <c r="O402" i="17"/>
  <c r="L402" i="17"/>
  <c r="T402" i="17"/>
  <c r="U402" i="17"/>
  <c r="Y402" i="17"/>
  <c r="L401" i="17"/>
  <c r="O401" i="17"/>
  <c r="T401" i="17"/>
  <c r="U401" i="17"/>
  <c r="Y401" i="17"/>
  <c r="L400" i="17"/>
  <c r="O400" i="17"/>
  <c r="T400" i="17"/>
  <c r="U400" i="17"/>
  <c r="Y400" i="17"/>
  <c r="AD837" i="3" l="1"/>
  <c r="M163" i="16"/>
  <c r="L162" i="16"/>
  <c r="M162" i="16" s="1"/>
  <c r="L158" i="16"/>
  <c r="M158" i="16" s="1"/>
  <c r="L159" i="16"/>
  <c r="M159" i="16" s="1"/>
  <c r="L160" i="16"/>
  <c r="M160" i="16" s="1"/>
  <c r="L161" i="16"/>
  <c r="M161" i="16" s="1"/>
  <c r="L106" i="16"/>
  <c r="M106" i="16" s="1"/>
  <c r="V313" i="3" l="1"/>
  <c r="AD313" i="3" l="1"/>
  <c r="L157" i="16" l="1"/>
  <c r="M157" i="16" s="1"/>
  <c r="L156" i="16"/>
  <c r="M156" i="16" s="1"/>
  <c r="L155" i="16"/>
  <c r="M155" i="16" s="1"/>
  <c r="L154" i="16"/>
  <c r="M154" i="16" s="1"/>
  <c r="L25" i="16"/>
  <c r="M25" i="16" s="1"/>
  <c r="J51" i="15" l="1"/>
  <c r="K51" i="15" s="1"/>
  <c r="N51" i="15"/>
  <c r="Q51" i="15"/>
  <c r="R51" i="15" s="1"/>
  <c r="J53" i="15" l="1"/>
  <c r="K53" i="15" s="1"/>
  <c r="N53" i="15"/>
  <c r="Q53" i="15"/>
  <c r="R53" i="15" s="1"/>
  <c r="R326" i="3" l="1"/>
  <c r="R323" i="3"/>
  <c r="L231" i="17"/>
  <c r="O231" i="17"/>
  <c r="T231" i="17"/>
  <c r="U231" i="17"/>
  <c r="Y231" i="17"/>
  <c r="F93" i="22"/>
  <c r="L232" i="17"/>
  <c r="O232" i="17"/>
  <c r="T232" i="17"/>
  <c r="U232" i="17"/>
  <c r="Y232" i="17"/>
  <c r="L233" i="17"/>
  <c r="O233" i="17"/>
  <c r="T233" i="17"/>
  <c r="U233" i="17"/>
  <c r="Y233" i="17"/>
  <c r="V967" i="3" l="1"/>
  <c r="V964" i="3"/>
  <c r="L397" i="17"/>
  <c r="O397" i="17"/>
  <c r="T397" i="17"/>
  <c r="U397" i="17"/>
  <c r="Y397" i="17"/>
  <c r="L398" i="17"/>
  <c r="O398" i="17"/>
  <c r="T398" i="17"/>
  <c r="U398" i="17"/>
  <c r="Y398" i="17"/>
  <c r="L399" i="17"/>
  <c r="O399" i="17"/>
  <c r="T399" i="17"/>
  <c r="U399" i="17"/>
  <c r="Y399" i="17"/>
  <c r="BH41" i="22"/>
  <c r="O225" i="17"/>
  <c r="L225" i="17"/>
  <c r="L226" i="17"/>
  <c r="L224" i="17"/>
  <c r="O224" i="17"/>
  <c r="T224" i="17"/>
  <c r="U224" i="17"/>
  <c r="Y224" i="17"/>
  <c r="T225" i="17"/>
  <c r="U225" i="17"/>
  <c r="Y225" i="17"/>
  <c r="O226" i="17"/>
  <c r="T226" i="17"/>
  <c r="U226" i="17"/>
  <c r="Y226" i="17"/>
  <c r="L227" i="17"/>
  <c r="O227" i="17"/>
  <c r="T227" i="17"/>
  <c r="U227" i="17"/>
  <c r="Y227" i="17"/>
  <c r="L140" i="16" l="1"/>
  <c r="M140" i="16" s="1"/>
  <c r="L141" i="16"/>
  <c r="M141" i="16" s="1"/>
  <c r="L139" i="16" l="1"/>
  <c r="M139" i="16" s="1"/>
  <c r="L142" i="16"/>
  <c r="M142" i="16" s="1"/>
  <c r="AQ77" i="22" l="1"/>
  <c r="AR81" i="22" l="1"/>
  <c r="AR82" i="22" s="1"/>
  <c r="L75" i="17"/>
  <c r="O75" i="17"/>
  <c r="T75" i="17"/>
  <c r="U75" i="17"/>
  <c r="Y75" i="17"/>
  <c r="L76" i="17"/>
  <c r="O76" i="17"/>
  <c r="T76" i="17"/>
  <c r="U76" i="17"/>
  <c r="Y76" i="17"/>
  <c r="O77" i="17"/>
  <c r="L77" i="17"/>
  <c r="T77" i="17"/>
  <c r="U77" i="17"/>
  <c r="Y77" i="17"/>
  <c r="V209" i="3" l="1"/>
  <c r="AL209" i="3" s="1"/>
  <c r="AB209" i="3" a="1"/>
  <c r="AB209" i="3" s="1"/>
  <c r="AJ209" i="3"/>
  <c r="AK209" i="3"/>
  <c r="K82" i="3" l="1"/>
  <c r="AB2" i="3" a="1"/>
  <c r="AB2" i="3" s="1"/>
  <c r="AN83" i="22"/>
  <c r="AQ83" i="22" s="1"/>
  <c r="AN82" i="22"/>
  <c r="AQ82" i="22" s="1"/>
  <c r="K70" i="3"/>
  <c r="H611" i="3" l="1"/>
  <c r="AL88" i="22"/>
  <c r="AT105" i="22"/>
  <c r="L394" i="17" l="1"/>
  <c r="O394" i="17"/>
  <c r="T394" i="17"/>
  <c r="U394" i="17"/>
  <c r="Y394" i="17"/>
  <c r="L395" i="17"/>
  <c r="O395" i="17"/>
  <c r="T395" i="17"/>
  <c r="U395" i="17"/>
  <c r="Y395" i="17"/>
  <c r="AT112" i="22" l="1"/>
  <c r="AU112" i="22" s="1"/>
  <c r="AT111" i="22"/>
  <c r="AU111" i="22" s="1"/>
  <c r="L396" i="17"/>
  <c r="O396" i="17"/>
  <c r="T396" i="17"/>
  <c r="U396" i="17"/>
  <c r="Y396" i="17"/>
  <c r="L392" i="17"/>
  <c r="O392" i="17"/>
  <c r="T392" i="17"/>
  <c r="U392" i="17"/>
  <c r="Y392" i="17"/>
  <c r="L391" i="17"/>
  <c r="O391" i="17"/>
  <c r="T391" i="17"/>
  <c r="U391" i="17"/>
  <c r="Y391" i="17"/>
  <c r="L393" i="17"/>
  <c r="O393" i="17"/>
  <c r="T393" i="17"/>
  <c r="U393" i="17"/>
  <c r="Y393" i="17"/>
  <c r="L390" i="17"/>
  <c r="O390" i="17"/>
  <c r="T390" i="17"/>
  <c r="U390" i="17"/>
  <c r="Y390" i="17"/>
  <c r="L334" i="17" l="1"/>
  <c r="O334" i="17"/>
  <c r="T334" i="17"/>
  <c r="U334" i="17"/>
  <c r="Y334" i="17"/>
  <c r="L373" i="17" l="1"/>
  <c r="O373" i="17"/>
  <c r="T373" i="17"/>
  <c r="U373" i="17"/>
  <c r="Y373" i="17"/>
  <c r="L383" i="17" l="1"/>
  <c r="O383" i="17"/>
  <c r="T383" i="17"/>
  <c r="U383" i="17"/>
  <c r="Y383" i="17"/>
  <c r="L384" i="17"/>
  <c r="O384" i="17"/>
  <c r="T384" i="17"/>
  <c r="U384" i="17"/>
  <c r="Y384" i="17"/>
  <c r="L325" i="17"/>
  <c r="O325" i="17"/>
  <c r="T325" i="17"/>
  <c r="U325" i="17"/>
  <c r="Y325" i="17"/>
  <c r="L326" i="17"/>
  <c r="O326" i="17"/>
  <c r="T326" i="17"/>
  <c r="U326" i="17"/>
  <c r="Y326" i="17"/>
  <c r="L374" i="17"/>
  <c r="O374" i="17"/>
  <c r="T374" i="17"/>
  <c r="U374" i="17"/>
  <c r="Y374" i="17"/>
  <c r="K773" i="3"/>
  <c r="L379" i="17"/>
  <c r="O379" i="17"/>
  <c r="T379" i="17"/>
  <c r="U379" i="17"/>
  <c r="Y379" i="17"/>
  <c r="Y380" i="17"/>
  <c r="U380" i="17"/>
  <c r="T380" i="17"/>
  <c r="O380" i="17"/>
  <c r="L380" i="17"/>
  <c r="AB289" i="3" l="1" a="1"/>
  <c r="AB289" i="3" s="1"/>
  <c r="Q92" i="15" l="1"/>
  <c r="R92" i="15" s="1"/>
  <c r="N92" i="15"/>
  <c r="J92" i="15"/>
  <c r="K92" i="15" s="1"/>
  <c r="V10" i="3" l="1"/>
  <c r="V984" i="3"/>
  <c r="AL984" i="3" s="1"/>
  <c r="AB984" i="3" a="1"/>
  <c r="AB984" i="3" s="1"/>
  <c r="AJ984" i="3"/>
  <c r="AK984" i="3"/>
  <c r="V50" i="3"/>
  <c r="V48" i="3"/>
  <c r="V173" i="3"/>
  <c r="V297" i="3"/>
  <c r="L114" i="16" l="1"/>
  <c r="M114" i="16" s="1"/>
  <c r="L113" i="16"/>
  <c r="M113" i="16" s="1"/>
  <c r="L112" i="16"/>
  <c r="M112" i="16" s="1"/>
  <c r="L149" i="16"/>
  <c r="M149" i="16" s="1"/>
  <c r="L150" i="16"/>
  <c r="M150" i="16" s="1"/>
  <c r="L151" i="16"/>
  <c r="M151" i="16" s="1"/>
  <c r="L90" i="15" l="1"/>
  <c r="L91" i="15"/>
  <c r="L136" i="16"/>
  <c r="Y235" i="17"/>
  <c r="U235" i="17"/>
  <c r="T235" i="17"/>
  <c r="O235" i="17"/>
  <c r="L235" i="17"/>
  <c r="V322" i="3" l="1"/>
  <c r="V312" i="3"/>
  <c r="V270" i="3"/>
  <c r="V269" i="3"/>
  <c r="V189" i="3"/>
  <c r="V188" i="3"/>
  <c r="Y230" i="17" l="1"/>
  <c r="U230" i="17"/>
  <c r="T230" i="17"/>
  <c r="O230" i="17"/>
  <c r="L230" i="17"/>
  <c r="L152" i="16" l="1"/>
  <c r="M152" i="16" s="1"/>
  <c r="L153" i="16"/>
  <c r="M153" i="16" s="1"/>
  <c r="L145" i="16"/>
  <c r="M145" i="16" s="1"/>
  <c r="L146" i="16"/>
  <c r="M146" i="16" s="1"/>
  <c r="L147" i="16"/>
  <c r="M147" i="16" s="1"/>
  <c r="M136" i="16"/>
  <c r="L137" i="16"/>
  <c r="M137" i="16" s="1"/>
  <c r="L138" i="16"/>
  <c r="M138" i="16" s="1"/>
  <c r="L143" i="16"/>
  <c r="M143" i="16" s="1"/>
  <c r="L144" i="16"/>
  <c r="M144" i="16" s="1"/>
  <c r="X314" i="3" l="1"/>
  <c r="Y26" i="3"/>
  <c r="Y24" i="3"/>
  <c r="Y128" i="3"/>
  <c r="Y303" i="3"/>
  <c r="Y121" i="3"/>
  <c r="Y12" i="3"/>
  <c r="Y229" i="3"/>
  <c r="Y948" i="3"/>
  <c r="Y77" i="3"/>
  <c r="Y363" i="3"/>
  <c r="Y373" i="3"/>
  <c r="Y78" i="3"/>
  <c r="Y22" i="3"/>
  <c r="Y364" i="3"/>
  <c r="Y374" i="3"/>
  <c r="Y946" i="3"/>
  <c r="Y49" i="3"/>
  <c r="Y67" i="3"/>
  <c r="Y79" i="3"/>
  <c r="Y60" i="3"/>
  <c r="Y947" i="3"/>
  <c r="Y80" i="3"/>
  <c r="Y89" i="3"/>
  <c r="Y421" i="3"/>
  <c r="Y366" i="3"/>
  <c r="Y376" i="3"/>
  <c r="Y422" i="3"/>
  <c r="Y424" i="3"/>
  <c r="Y62" i="3"/>
  <c r="X258" i="3"/>
  <c r="X259" i="3"/>
  <c r="X260" i="3"/>
  <c r="X261" i="3"/>
  <c r="X262" i="3"/>
  <c r="X263" i="3"/>
  <c r="X264" i="3"/>
  <c r="X265" i="3"/>
  <c r="X266" i="3"/>
  <c r="X267" i="3"/>
  <c r="X268" i="3"/>
  <c r="X271" i="3"/>
  <c r="X272" i="3"/>
  <c r="X273" i="3"/>
  <c r="X274" i="3"/>
  <c r="X275" i="3"/>
  <c r="X276" i="3"/>
  <c r="X277" i="3"/>
  <c r="L237" i="17"/>
  <c r="O237" i="17"/>
  <c r="T237" i="17"/>
  <c r="U237" i="17"/>
  <c r="Y237" i="17"/>
  <c r="L239" i="17"/>
  <c r="O239" i="17"/>
  <c r="T239" i="17"/>
  <c r="U239" i="17"/>
  <c r="Y239" i="17"/>
  <c r="L240" i="17"/>
  <c r="O240" i="17"/>
  <c r="T240" i="17"/>
  <c r="U240" i="17"/>
  <c r="Y240" i="17"/>
  <c r="O234" i="17"/>
  <c r="L234" i="17"/>
  <c r="T234" i="17"/>
  <c r="U234" i="17"/>
  <c r="Y234" i="17"/>
  <c r="Y236" i="17"/>
  <c r="T236" i="17"/>
  <c r="U236" i="17"/>
  <c r="L236" i="17"/>
  <c r="O236" i="17"/>
  <c r="Y238" i="17"/>
  <c r="U238" i="17"/>
  <c r="T238" i="17"/>
  <c r="O238" i="17"/>
  <c r="L238" i="17"/>
  <c r="Y241" i="17"/>
  <c r="U241" i="17"/>
  <c r="T241" i="17"/>
  <c r="O241" i="17"/>
  <c r="L241" i="17"/>
  <c r="Y242" i="17" l="1"/>
  <c r="U242" i="17"/>
  <c r="T242" i="17"/>
  <c r="O242" i="17"/>
  <c r="L242" i="17"/>
  <c r="Y386" i="17" l="1"/>
  <c r="U386" i="17"/>
  <c r="T386" i="17"/>
  <c r="O386" i="17"/>
  <c r="L386" i="17"/>
  <c r="Y387" i="17"/>
  <c r="U387" i="17"/>
  <c r="T387" i="17"/>
  <c r="O387" i="17"/>
  <c r="L387" i="17"/>
  <c r="Y388" i="17"/>
  <c r="U388" i="17"/>
  <c r="T388" i="17"/>
  <c r="O388" i="17"/>
  <c r="L388" i="17"/>
  <c r="Y389" i="17"/>
  <c r="U389" i="17"/>
  <c r="T389" i="17"/>
  <c r="O389" i="17"/>
  <c r="L389" i="17"/>
  <c r="K251" i="3" l="1"/>
  <c r="K238" i="3"/>
  <c r="K103" i="3"/>
  <c r="K860" i="3"/>
  <c r="K592" i="3"/>
  <c r="K848" i="3"/>
  <c r="K355" i="3"/>
  <c r="K15" i="3"/>
  <c r="K955" i="3"/>
  <c r="K954" i="3"/>
  <c r="Q81" i="15" l="1"/>
  <c r="R81" i="15" s="1"/>
  <c r="N81" i="15"/>
  <c r="J81" i="15"/>
  <c r="K81" i="15" s="1"/>
  <c r="Q80" i="15" l="1"/>
  <c r="R80" i="15" s="1"/>
  <c r="N80" i="15"/>
  <c r="J80" i="15"/>
  <c r="K80" i="15" s="1"/>
  <c r="AL66" i="22" l="1"/>
  <c r="AL67" i="22"/>
  <c r="AL68" i="22"/>
  <c r="AH65" i="22"/>
  <c r="AH69" i="22" s="1"/>
  <c r="AL65" i="22" l="1"/>
  <c r="AL69" i="22" s="1"/>
  <c r="L125" i="16"/>
  <c r="M125" i="16" s="1"/>
  <c r="L126" i="16"/>
  <c r="M126" i="16" s="1"/>
  <c r="L127" i="16"/>
  <c r="M127" i="16" s="1"/>
  <c r="L128" i="16"/>
  <c r="M128" i="16" s="1"/>
  <c r="L129" i="16"/>
  <c r="M129" i="16" s="1"/>
  <c r="L130" i="16"/>
  <c r="M130" i="16" s="1"/>
  <c r="L131" i="16"/>
  <c r="M131" i="16" s="1"/>
  <c r="L132" i="16"/>
  <c r="M132" i="16" s="1"/>
  <c r="L133" i="16"/>
  <c r="M133" i="16" s="1"/>
  <c r="L134" i="16"/>
  <c r="M134" i="16" s="1"/>
  <c r="L135" i="16"/>
  <c r="M135" i="16" s="1"/>
  <c r="L148" i="16"/>
  <c r="M148" i="16" s="1"/>
  <c r="L129" i="17" l="1"/>
  <c r="O129" i="17"/>
  <c r="T129" i="17"/>
  <c r="U129" i="17"/>
  <c r="Y129" i="17"/>
  <c r="L214" i="17" l="1"/>
  <c r="O214" i="17"/>
  <c r="T214" i="17"/>
  <c r="U214" i="17"/>
  <c r="Y214" i="17"/>
  <c r="L123" i="17" l="1"/>
  <c r="O123" i="17"/>
  <c r="T123" i="17"/>
  <c r="U123" i="17"/>
  <c r="Y123" i="17"/>
  <c r="V891" i="3" l="1"/>
  <c r="L74" i="17"/>
  <c r="O74" i="17"/>
  <c r="T74" i="17"/>
  <c r="U74" i="17"/>
  <c r="Y74" i="17"/>
  <c r="L78" i="17"/>
  <c r="O78" i="17"/>
  <c r="T78" i="17"/>
  <c r="U78" i="17"/>
  <c r="Y78" i="17"/>
  <c r="L73" i="17"/>
  <c r="O73" i="17"/>
  <c r="T73" i="17"/>
  <c r="U73" i="17"/>
  <c r="Y73" i="17"/>
  <c r="AH53" i="22" l="1"/>
  <c r="V67" i="3"/>
  <c r="J183" i="17"/>
  <c r="L195" i="17"/>
  <c r="O195" i="17"/>
  <c r="T195" i="17"/>
  <c r="U195" i="17"/>
  <c r="Y195" i="17"/>
  <c r="L193" i="17"/>
  <c r="O193" i="17"/>
  <c r="T193" i="17"/>
  <c r="U193" i="17"/>
  <c r="Y193" i="17"/>
  <c r="L192" i="17"/>
  <c r="O192" i="17"/>
  <c r="T192" i="17"/>
  <c r="U192" i="17"/>
  <c r="Y192" i="17"/>
  <c r="L191" i="17"/>
  <c r="O191" i="17"/>
  <c r="T191" i="17"/>
  <c r="U191" i="17"/>
  <c r="Y191" i="17"/>
  <c r="L196" i="17"/>
  <c r="O196" i="17"/>
  <c r="T196" i="17"/>
  <c r="U196" i="17"/>
  <c r="Y196" i="17"/>
  <c r="L194" i="17"/>
  <c r="O194" i="17"/>
  <c r="T194" i="17"/>
  <c r="U194" i="17"/>
  <c r="Y194" i="17"/>
  <c r="AN19" i="22"/>
  <c r="AL35" i="22"/>
  <c r="AL34" i="22"/>
  <c r="AL36" i="22"/>
  <c r="AL38" i="22"/>
  <c r="AL39" i="22"/>
  <c r="AL40" i="22"/>
  <c r="AL45" i="22"/>
  <c r="AL46" i="22"/>
  <c r="AL47" i="22"/>
  <c r="AL48" i="22"/>
  <c r="AL42" i="22"/>
  <c r="AL43" i="22"/>
  <c r="AL49" i="22"/>
  <c r="AL41" i="22"/>
  <c r="AL44" i="22"/>
  <c r="AL50" i="22"/>
  <c r="AL51" i="22"/>
  <c r="AN13" i="22"/>
  <c r="Q91" i="15"/>
  <c r="R91" i="15" s="1"/>
  <c r="N91" i="15"/>
  <c r="J91" i="15"/>
  <c r="K91" i="15" s="1"/>
  <c r="Q90" i="15"/>
  <c r="R90" i="15" s="1"/>
  <c r="N90" i="15"/>
  <c r="J90" i="15"/>
  <c r="K90" i="15" s="1"/>
  <c r="L181" i="17"/>
  <c r="O181" i="17"/>
  <c r="O408" i="17" s="1"/>
  <c r="T181" i="17"/>
  <c r="U181" i="17"/>
  <c r="Y181" i="17"/>
  <c r="L182" i="17"/>
  <c r="O182" i="17"/>
  <c r="T182" i="17"/>
  <c r="U182" i="17"/>
  <c r="Y182" i="17"/>
  <c r="L184" i="17"/>
  <c r="O184" i="17"/>
  <c r="T184" i="17"/>
  <c r="U184" i="17"/>
  <c r="Y184" i="17"/>
  <c r="L186" i="17"/>
  <c r="L187" i="17"/>
  <c r="L188" i="17"/>
  <c r="O183" i="17"/>
  <c r="T183" i="17"/>
  <c r="U183" i="17"/>
  <c r="Y183" i="17"/>
  <c r="T119" i="17"/>
  <c r="L408" i="17" l="1"/>
  <c r="L183" i="17"/>
  <c r="J408" i="17"/>
  <c r="Y408" i="17"/>
  <c r="O385" i="17"/>
  <c r="L385" i="17"/>
  <c r="T385" i="17"/>
  <c r="U385" i="17"/>
  <c r="Y385" i="17"/>
  <c r="O382" i="17"/>
  <c r="L382" i="17"/>
  <c r="T382" i="17"/>
  <c r="U382" i="17"/>
  <c r="Y382" i="17"/>
  <c r="V698" i="3"/>
  <c r="L163" i="22" l="1"/>
  <c r="L165" i="22" s="1"/>
  <c r="E214" i="22"/>
  <c r="F222" i="22"/>
  <c r="F220" i="22"/>
  <c r="Y344" i="17"/>
  <c r="U344" i="17"/>
  <c r="T344" i="17"/>
  <c r="O344" i="17"/>
  <c r="L344" i="17"/>
  <c r="G152" i="22"/>
  <c r="O347" i="17"/>
  <c r="L347" i="17"/>
  <c r="T347" i="17"/>
  <c r="U347" i="17"/>
  <c r="Y347" i="17"/>
  <c r="O346" i="17"/>
  <c r="L346" i="17"/>
  <c r="U345" i="17"/>
  <c r="T345" i="17"/>
  <c r="O345" i="17"/>
  <c r="L345" i="17"/>
  <c r="Y345" i="17"/>
  <c r="T346" i="17"/>
  <c r="U346" i="17"/>
  <c r="Y346" i="17"/>
  <c r="O348" i="17"/>
  <c r="L348" i="17"/>
  <c r="T348" i="17"/>
  <c r="U348" i="17"/>
  <c r="Y348" i="17"/>
  <c r="V865" i="3"/>
  <c r="L377" i="17" l="1"/>
  <c r="O377" i="17"/>
  <c r="T377" i="17"/>
  <c r="U377" i="17"/>
  <c r="Y377" i="17"/>
  <c r="L378" i="17"/>
  <c r="O378" i="17"/>
  <c r="T378" i="17"/>
  <c r="U378" i="17"/>
  <c r="Y378" i="17"/>
  <c r="L381" i="17"/>
  <c r="O381" i="17"/>
  <c r="T381" i="17"/>
  <c r="U381" i="17"/>
  <c r="Y381" i="17"/>
  <c r="L372" i="17"/>
  <c r="L371" i="17"/>
  <c r="O371" i="17"/>
  <c r="T371" i="17"/>
  <c r="U371" i="17"/>
  <c r="Y371" i="17"/>
  <c r="O372" i="17"/>
  <c r="T372" i="17"/>
  <c r="U372" i="17"/>
  <c r="Y372" i="17"/>
  <c r="L376" i="17" l="1"/>
  <c r="O376" i="17"/>
  <c r="T376" i="17"/>
  <c r="U376" i="17"/>
  <c r="Y376" i="17"/>
  <c r="L370" i="17" l="1"/>
  <c r="O370" i="17"/>
  <c r="T370" i="17"/>
  <c r="U370" i="17"/>
  <c r="Y370" i="17"/>
  <c r="L375" i="17"/>
  <c r="O375" i="17"/>
  <c r="T375" i="17"/>
  <c r="U375" i="17"/>
  <c r="Y375" i="17"/>
  <c r="L369" i="17"/>
  <c r="O369" i="17"/>
  <c r="T369" i="17"/>
  <c r="U369" i="17"/>
  <c r="Y369" i="17"/>
  <c r="L367" i="17"/>
  <c r="O367" i="17"/>
  <c r="T367" i="17"/>
  <c r="U367" i="17"/>
  <c r="Y367" i="17"/>
  <c r="L368" i="17"/>
  <c r="O368" i="17"/>
  <c r="T368" i="17"/>
  <c r="U368" i="17"/>
  <c r="Y368" i="17"/>
  <c r="L86" i="17"/>
  <c r="L85" i="17"/>
  <c r="Y85" i="17"/>
  <c r="O86" i="17"/>
  <c r="T86" i="17"/>
  <c r="U86" i="17"/>
  <c r="Y86" i="17"/>
  <c r="AB30" i="3" l="1" a="1"/>
  <c r="AB30" i="3" s="1"/>
  <c r="AB54" i="3" a="1"/>
  <c r="AB54" i="3" s="1"/>
  <c r="AB16" i="3" a="1"/>
  <c r="AB16" i="3" s="1"/>
  <c r="AB19" i="3" a="1"/>
  <c r="AB19" i="3" s="1"/>
  <c r="AB42" i="3" a="1"/>
  <c r="AB42" i="3" s="1"/>
  <c r="AB73" i="3" a="1"/>
  <c r="AB73" i="3" s="1"/>
  <c r="AB85" i="3" a="1"/>
  <c r="AB85" i="3" s="1"/>
  <c r="AB112" i="3" a="1"/>
  <c r="AB112" i="3" s="1"/>
  <c r="AB105" i="3" a="1"/>
  <c r="AB105" i="3" s="1"/>
  <c r="AB137" i="3" a="1"/>
  <c r="AB137" i="3" s="1"/>
  <c r="AB118" i="3" a="1"/>
  <c r="AB118" i="3" s="1"/>
  <c r="AB97" i="3" a="1"/>
  <c r="AB97" i="3" s="1"/>
  <c r="AB124" i="3" a="1"/>
  <c r="AB124" i="3" s="1"/>
  <c r="AB201" i="3" a="1"/>
  <c r="AB201" i="3" s="1"/>
  <c r="AB193" i="3" a="1"/>
  <c r="AB193" i="3" s="1"/>
  <c r="AB121" i="3" a="1"/>
  <c r="AB121" i="3" s="1"/>
  <c r="AB182" i="3" a="1"/>
  <c r="AB182" i="3" s="1"/>
  <c r="AB181" i="3" a="1"/>
  <c r="AB181" i="3" s="1"/>
  <c r="AB219" i="3" a="1"/>
  <c r="AB219" i="3" s="1"/>
  <c r="AB172" i="3" a="1"/>
  <c r="AB172" i="3" s="1"/>
  <c r="AB226" i="3" a="1"/>
  <c r="AB226" i="3" s="1"/>
  <c r="AB294" i="3" a="1"/>
  <c r="AB294" i="3" s="1"/>
  <c r="AB314" i="3" a="1"/>
  <c r="AB314" i="3" s="1"/>
  <c r="AB310" i="3" a="1"/>
  <c r="AB310" i="3" s="1"/>
  <c r="AB278" i="3" a="1"/>
  <c r="AB278" i="3" s="1"/>
  <c r="AB286" i="3" a="1"/>
  <c r="AB286" i="3" s="1"/>
  <c r="AB401" i="3" a="1"/>
  <c r="AB401" i="3" s="1"/>
  <c r="AB393" i="3" a="1"/>
  <c r="AB393" i="3" s="1"/>
  <c r="AB354" i="3" a="1"/>
  <c r="AB354" i="3" s="1"/>
  <c r="AB417" i="3" a="1"/>
  <c r="AB417" i="3" s="1"/>
  <c r="AB377" i="3" a="1"/>
  <c r="AB377" i="3" s="1"/>
  <c r="AB350" i="3" a="1"/>
  <c r="AB350" i="3" s="1"/>
  <c r="AB385" i="3" a="1"/>
  <c r="AB385" i="3" s="1"/>
  <c r="AB367" i="3" a="1"/>
  <c r="AB367" i="3" s="1"/>
  <c r="AB368" i="3" a="1"/>
  <c r="AB368" i="3" s="1"/>
  <c r="AB409" i="3" a="1"/>
  <c r="AB409" i="3" s="1"/>
  <c r="AB485" i="3" a="1"/>
  <c r="AB485" i="3" s="1"/>
  <c r="AB500" i="3" a="1"/>
  <c r="AB500" i="3" s="1"/>
  <c r="AB512" i="3" a="1"/>
  <c r="AB512" i="3" s="1"/>
  <c r="AB465" i="3" a="1"/>
  <c r="AB465" i="3" s="1"/>
  <c r="AB481" i="3" a="1"/>
  <c r="AB481" i="3" s="1"/>
  <c r="AB473" i="3" a="1"/>
  <c r="AB473" i="3" s="1"/>
  <c r="AB581" i="3" a="1"/>
  <c r="AB581" i="3" s="1"/>
  <c r="AB546" i="3" a="1"/>
  <c r="AB546" i="3" s="1"/>
  <c r="AB187" i="3" a="1"/>
  <c r="AB187" i="3" s="1"/>
  <c r="AB554" i="3" a="1"/>
  <c r="AB554" i="3" s="1"/>
  <c r="AB586" i="3" a="1"/>
  <c r="AB586" i="3" s="1"/>
  <c r="AB538" i="3" a="1"/>
  <c r="AB538" i="3" s="1"/>
  <c r="AB562" i="3" a="1"/>
  <c r="AB562" i="3" s="1"/>
  <c r="AB567" i="3" a="1"/>
  <c r="AB567" i="3" s="1"/>
  <c r="AB649" i="3" a="1"/>
  <c r="AB649" i="3" s="1"/>
  <c r="AB635" i="3" a="1"/>
  <c r="AB635" i="3" s="1"/>
  <c r="AB656" i="3" a="1"/>
  <c r="AB656" i="3" s="1"/>
  <c r="AB642" i="3" a="1"/>
  <c r="AB642" i="3" s="1"/>
  <c r="AB713" i="3" a="1"/>
  <c r="AB713" i="3" s="1"/>
  <c r="AB691" i="3" a="1"/>
  <c r="AB691" i="3" s="1"/>
  <c r="AB746" i="3" a="1"/>
  <c r="AB746" i="3" s="1"/>
  <c r="AB721" i="3" a="1"/>
  <c r="AB721" i="3" s="1"/>
  <c r="AB684" i="3" a="1"/>
  <c r="AB684" i="3" s="1"/>
  <c r="AB699" i="3" a="1"/>
  <c r="AB699" i="3" s="1"/>
  <c r="AB734" i="3" a="1"/>
  <c r="AB734" i="3" s="1"/>
  <c r="AB706" i="3" a="1"/>
  <c r="AB706" i="3" s="1"/>
  <c r="AB724" i="3" a="1"/>
  <c r="AB724" i="3" s="1"/>
  <c r="AB816" i="3" a="1"/>
  <c r="AB816" i="3" s="1"/>
  <c r="AB825" i="3" a="1"/>
  <c r="AB825" i="3" s="1"/>
  <c r="AB793" i="3" a="1"/>
  <c r="AB793" i="3" s="1"/>
  <c r="AB801" i="3" a="1"/>
  <c r="AB801" i="3" s="1"/>
  <c r="AB866" i="3" a="1"/>
  <c r="AB866" i="3" s="1"/>
  <c r="AB841" i="3" a="1"/>
  <c r="AB841" i="3" s="1"/>
  <c r="AB809" i="3" a="1"/>
  <c r="AB809" i="3" s="1"/>
  <c r="AB852" i="3" a="1"/>
  <c r="AB852" i="3" s="1"/>
  <c r="AB824" i="3" a="1"/>
  <c r="AB824" i="3" s="1"/>
  <c r="AB840" i="3" a="1"/>
  <c r="AB840" i="3" s="1"/>
  <c r="AB940" i="3" a="1"/>
  <c r="AB940" i="3" s="1"/>
  <c r="AB954" i="3" a="1"/>
  <c r="AB954" i="3" s="1"/>
  <c r="AB938" i="3" a="1"/>
  <c r="AB938" i="3" s="1"/>
  <c r="AB913" i="3" a="1"/>
  <c r="AB913" i="3" s="1"/>
  <c r="AB922" i="3" a="1"/>
  <c r="AB922" i="3" s="1"/>
  <c r="AB924" i="3" a="1"/>
  <c r="AB924" i="3" s="1"/>
  <c r="AB3" i="3" a="1"/>
  <c r="AB3" i="3" s="1"/>
  <c r="AB31" i="3" a="1"/>
  <c r="AB31" i="3" s="1"/>
  <c r="AB55" i="3" a="1"/>
  <c r="AB55" i="3" s="1"/>
  <c r="AB17" i="3" a="1"/>
  <c r="AB17" i="3" s="1"/>
  <c r="AB18" i="3" a="1"/>
  <c r="AB18" i="3" s="1"/>
  <c r="AB43" i="3" a="1"/>
  <c r="AB43" i="3" s="1"/>
  <c r="AB74" i="3" a="1"/>
  <c r="AB74" i="3" s="1"/>
  <c r="AB86" i="3" a="1"/>
  <c r="AB86" i="3" s="1"/>
  <c r="AB113" i="3" a="1"/>
  <c r="AB113" i="3" s="1"/>
  <c r="AB107" i="3" a="1"/>
  <c r="AB107" i="3" s="1"/>
  <c r="AB138" i="3" a="1"/>
  <c r="AB138" i="3" s="1"/>
  <c r="AB119" i="3" a="1"/>
  <c r="AB119" i="3" s="1"/>
  <c r="AB98" i="3" a="1"/>
  <c r="AB98" i="3" s="1"/>
  <c r="AB128" i="3" a="1"/>
  <c r="AB128" i="3" s="1"/>
  <c r="AB202" i="3" a="1"/>
  <c r="AB202" i="3" s="1"/>
  <c r="AB194" i="3" a="1"/>
  <c r="AB194" i="3" s="1"/>
  <c r="AB136" i="3" a="1"/>
  <c r="AB136" i="3" s="1"/>
  <c r="AB184" i="3" a="1"/>
  <c r="AB184" i="3" s="1"/>
  <c r="AB183" i="3" a="1"/>
  <c r="AB183" i="3" s="1"/>
  <c r="AB220" i="3" a="1"/>
  <c r="AB220" i="3" s="1"/>
  <c r="AB171" i="3" a="1"/>
  <c r="AB171" i="3" s="1"/>
  <c r="AB227" i="3" a="1"/>
  <c r="AB227" i="3" s="1"/>
  <c r="AB303" i="3" a="1"/>
  <c r="AB303" i="3" s="1"/>
  <c r="AB315" i="3" a="1"/>
  <c r="AB315" i="3" s="1"/>
  <c r="AB311" i="3" a="1"/>
  <c r="AB311" i="3" s="1"/>
  <c r="AB279" i="3" a="1"/>
  <c r="AB279" i="3" s="1"/>
  <c r="AB290" i="3" a="1"/>
  <c r="AB290" i="3" s="1"/>
  <c r="AB287" i="3" a="1"/>
  <c r="AB287" i="3" s="1"/>
  <c r="AB402" i="3" a="1"/>
  <c r="AB402" i="3" s="1"/>
  <c r="AB394" i="3" a="1"/>
  <c r="AB394" i="3" s="1"/>
  <c r="AB419" i="3" a="1"/>
  <c r="AB419" i="3" s="1"/>
  <c r="AB378" i="3" a="1"/>
  <c r="AB378" i="3" s="1"/>
  <c r="AB346" i="3" a="1"/>
  <c r="AB346" i="3" s="1"/>
  <c r="AB386" i="3" a="1"/>
  <c r="AB386" i="3" s="1"/>
  <c r="AB372" i="3" a="1"/>
  <c r="AB372" i="3" s="1"/>
  <c r="AB369" i="3" a="1"/>
  <c r="AB369" i="3" s="1"/>
  <c r="AB410" i="3" a="1"/>
  <c r="AB410" i="3" s="1"/>
  <c r="AB490" i="3" a="1"/>
  <c r="AB490" i="3" s="1"/>
  <c r="AB501" i="3" a="1"/>
  <c r="AB501" i="3" s="1"/>
  <c r="AB513" i="3" a="1"/>
  <c r="AB513" i="3" s="1"/>
  <c r="AB466" i="3" a="1"/>
  <c r="AB466" i="3" s="1"/>
  <c r="AB482" i="3" a="1"/>
  <c r="AB482" i="3" s="1"/>
  <c r="AB474" i="3" a="1"/>
  <c r="AB474" i="3" s="1"/>
  <c r="AB582" i="3" a="1"/>
  <c r="AB582" i="3" s="1"/>
  <c r="AB547" i="3" a="1"/>
  <c r="AB547" i="3" s="1"/>
  <c r="AB594" i="3" a="1"/>
  <c r="AB594" i="3" s="1"/>
  <c r="AB555" i="3" a="1"/>
  <c r="AB555" i="3" s="1"/>
  <c r="AB587" i="3" a="1"/>
  <c r="AB587" i="3" s="1"/>
  <c r="AB539" i="3" a="1"/>
  <c r="AB539" i="3" s="1"/>
  <c r="AB563" i="3" a="1"/>
  <c r="AB563" i="3" s="1"/>
  <c r="AB568" i="3" a="1"/>
  <c r="AB568" i="3" s="1"/>
  <c r="AB650" i="3" a="1"/>
  <c r="AB650" i="3" s="1"/>
  <c r="AB636" i="3" a="1"/>
  <c r="AB636" i="3" s="1"/>
  <c r="AB657" i="3" a="1"/>
  <c r="AB657" i="3" s="1"/>
  <c r="AB643" i="3" a="1"/>
  <c r="AB643" i="3" s="1"/>
  <c r="AB714" i="3" a="1"/>
  <c r="AB714" i="3" s="1"/>
  <c r="AB693" i="3" a="1"/>
  <c r="AB693" i="3" s="1"/>
  <c r="AB748" i="3" a="1"/>
  <c r="AB748" i="3" s="1"/>
  <c r="AB725" i="3" a="1"/>
  <c r="AB725" i="3" s="1"/>
  <c r="AB685" i="3" a="1"/>
  <c r="AB685" i="3" s="1"/>
  <c r="AB700" i="3" a="1"/>
  <c r="AB700" i="3" s="1"/>
  <c r="AB735" i="3" a="1"/>
  <c r="AB735" i="3" s="1"/>
  <c r="AB707" i="3" a="1"/>
  <c r="AB707" i="3" s="1"/>
  <c r="AB722" i="3" a="1"/>
  <c r="AB722" i="3" s="1"/>
  <c r="AB817" i="3" a="1"/>
  <c r="AB817" i="3" s="1"/>
  <c r="AB826" i="3" a="1"/>
  <c r="AB826" i="3" s="1"/>
  <c r="AB794" i="3" a="1"/>
  <c r="AB794" i="3" s="1"/>
  <c r="AB802" i="3" a="1"/>
  <c r="AB802" i="3" s="1"/>
  <c r="AB867" i="3" a="1"/>
  <c r="AB867" i="3" s="1"/>
  <c r="AB842" i="3" a="1"/>
  <c r="AB842" i="3" s="1"/>
  <c r="AB810" i="3" a="1"/>
  <c r="AB810" i="3" s="1"/>
  <c r="AB853" i="3" a="1"/>
  <c r="AB853" i="3" s="1"/>
  <c r="AB833" i="3" a="1"/>
  <c r="AB833" i="3" s="1"/>
  <c r="AB846" i="3" a="1"/>
  <c r="AB846" i="3" s="1"/>
  <c r="AB941" i="3" a="1"/>
  <c r="AB941" i="3" s="1"/>
  <c r="AB955" i="3" a="1"/>
  <c r="AB955" i="3" s="1"/>
  <c r="AB939" i="3" a="1"/>
  <c r="AB939" i="3" s="1"/>
  <c r="AB914" i="3" a="1"/>
  <c r="AB914" i="3" s="1"/>
  <c r="AB923" i="3" a="1"/>
  <c r="AB923" i="3" s="1"/>
  <c r="AB931" i="3" a="1"/>
  <c r="AB931" i="3" s="1"/>
  <c r="AB4" i="3" a="1"/>
  <c r="AB4" i="3" s="1"/>
  <c r="AB15" i="3" a="1"/>
  <c r="AB15" i="3" s="1"/>
  <c r="AB20" i="3" a="1"/>
  <c r="AB20" i="3" s="1"/>
  <c r="AB32" i="3" a="1"/>
  <c r="AB32" i="3" s="1"/>
  <c r="AB44" i="3" a="1"/>
  <c r="AB44" i="3" s="1"/>
  <c r="AB56" i="3" a="1"/>
  <c r="AB56" i="3" s="1"/>
  <c r="AB75" i="3" a="1"/>
  <c r="AB75" i="3" s="1"/>
  <c r="AB87" i="3" a="1"/>
  <c r="AB87" i="3" s="1"/>
  <c r="AB114" i="3" a="1"/>
  <c r="AB114" i="3" s="1"/>
  <c r="AB108" i="3" a="1"/>
  <c r="AB108" i="3" s="1"/>
  <c r="AB139" i="3" a="1"/>
  <c r="AB139" i="3" s="1"/>
  <c r="AB120" i="3" a="1"/>
  <c r="AB120" i="3" s="1"/>
  <c r="AB99" i="3" a="1"/>
  <c r="AB99" i="3" s="1"/>
  <c r="AB129" i="3" a="1"/>
  <c r="AB129" i="3" s="1"/>
  <c r="AB203" i="3" a="1"/>
  <c r="AB203" i="3" s="1"/>
  <c r="AB195" i="3" a="1"/>
  <c r="AB195" i="3" s="1"/>
  <c r="AB174" i="3" a="1"/>
  <c r="AB174" i="3" s="1"/>
  <c r="AB218" i="3" a="1"/>
  <c r="AB218" i="3" s="1"/>
  <c r="AB186" i="3" a="1"/>
  <c r="AB186" i="3" s="1"/>
  <c r="AB185" i="3" a="1"/>
  <c r="AB185" i="3" s="1"/>
  <c r="AB221" i="3" a="1"/>
  <c r="AB221" i="3" s="1"/>
  <c r="AB167" i="3" a="1"/>
  <c r="AB167" i="3" s="1"/>
  <c r="AB228" i="3" a="1"/>
  <c r="AB228" i="3" s="1"/>
  <c r="AB304" i="3" a="1"/>
  <c r="AB304" i="3" s="1"/>
  <c r="AB316" i="3" a="1"/>
  <c r="AB316" i="3" s="1"/>
  <c r="AB188" i="3" a="1"/>
  <c r="AB188" i="3" s="1"/>
  <c r="AB280" i="3" a="1"/>
  <c r="AB280" i="3" s="1"/>
  <c r="AB291" i="3" a="1"/>
  <c r="AB291" i="3" s="1"/>
  <c r="AB288" i="3" a="1"/>
  <c r="AB288" i="3" s="1"/>
  <c r="AB403" i="3" a="1"/>
  <c r="AB403" i="3" s="1"/>
  <c r="AB395" i="3" a="1"/>
  <c r="AB395" i="3" s="1"/>
  <c r="AB355" i="3" a="1"/>
  <c r="AB355" i="3" s="1"/>
  <c r="AB420" i="3" a="1"/>
  <c r="AB420" i="3" s="1"/>
  <c r="AB379" i="3" a="1"/>
  <c r="AB379" i="3" s="1"/>
  <c r="AB347" i="3" a="1"/>
  <c r="AB347" i="3" s="1"/>
  <c r="AB387" i="3" a="1"/>
  <c r="AB387" i="3" s="1"/>
  <c r="AB361" i="3" a="1"/>
  <c r="AB361" i="3" s="1"/>
  <c r="AB370" i="3" a="1"/>
  <c r="AB370" i="3" s="1"/>
  <c r="AB411" i="3" a="1"/>
  <c r="AB411" i="3" s="1"/>
  <c r="AB491" i="3" a="1"/>
  <c r="AB491" i="3" s="1"/>
  <c r="AB497" i="3" a="1"/>
  <c r="AB497" i="3" s="1"/>
  <c r="AB511" i="3" a="1"/>
  <c r="AB511" i="3" s="1"/>
  <c r="AB467" i="3" a="1"/>
  <c r="AB467" i="3" s="1"/>
  <c r="AB483" i="3" a="1"/>
  <c r="AB483" i="3" s="1"/>
  <c r="AB475" i="3" a="1"/>
  <c r="AB475" i="3" s="1"/>
  <c r="AB583" i="3" a="1"/>
  <c r="AB583" i="3" s="1"/>
  <c r="AB548" i="3" a="1"/>
  <c r="AB548" i="3" s="1"/>
  <c r="AB593" i="3" a="1"/>
  <c r="AB593" i="3" s="1"/>
  <c r="AB556" i="3" a="1"/>
  <c r="AB556" i="3" s="1"/>
  <c r="AB588" i="3" a="1"/>
  <c r="AB588" i="3" s="1"/>
  <c r="AB540" i="3" a="1"/>
  <c r="AB540" i="3" s="1"/>
  <c r="AB564" i="3" a="1"/>
  <c r="AB564" i="3" s="1"/>
  <c r="AB569" i="3" a="1"/>
  <c r="AB569" i="3" s="1"/>
  <c r="AB651" i="3" a="1"/>
  <c r="AB651" i="3" s="1"/>
  <c r="AB637" i="3" a="1"/>
  <c r="AB637" i="3" s="1"/>
  <c r="AB658" i="3" a="1"/>
  <c r="AB658" i="3" s="1"/>
  <c r="AB644" i="3" a="1"/>
  <c r="AB644" i="3" s="1"/>
  <c r="AB715" i="3" a="1"/>
  <c r="AB715" i="3" s="1"/>
  <c r="AB694" i="3" a="1"/>
  <c r="AB694" i="3" s="1"/>
  <c r="AB744" i="3" a="1"/>
  <c r="AB744" i="3" s="1"/>
  <c r="AB726" i="3" a="1"/>
  <c r="AB726" i="3" s="1"/>
  <c r="AB686" i="3" a="1"/>
  <c r="AB686" i="3" s="1"/>
  <c r="AB701" i="3" a="1"/>
  <c r="AB701" i="3" s="1"/>
  <c r="AB736" i="3" a="1"/>
  <c r="AB736" i="3" s="1"/>
  <c r="AB708" i="3" a="1"/>
  <c r="AB708" i="3" s="1"/>
  <c r="AB723" i="3" a="1"/>
  <c r="AB723" i="3" s="1"/>
  <c r="AB818" i="3" a="1"/>
  <c r="AB818" i="3" s="1"/>
  <c r="AB827" i="3" a="1"/>
  <c r="AB827" i="3" s="1"/>
  <c r="AB795" i="3" a="1"/>
  <c r="AB795" i="3" s="1"/>
  <c r="AB803" i="3" a="1"/>
  <c r="AB803" i="3" s="1"/>
  <c r="AB868" i="3" a="1"/>
  <c r="AB868" i="3" s="1"/>
  <c r="AB843" i="3" a="1"/>
  <c r="AB843" i="3" s="1"/>
  <c r="AB811" i="3" a="1"/>
  <c r="AB811" i="3" s="1"/>
  <c r="AB854" i="3" a="1"/>
  <c r="AB854" i="3" s="1"/>
  <c r="AB834" i="3" a="1"/>
  <c r="AB834" i="3" s="1"/>
  <c r="AB847" i="3" a="1"/>
  <c r="AB847" i="3" s="1"/>
  <c r="AB942" i="3" a="1"/>
  <c r="AB942" i="3" s="1"/>
  <c r="AB956" i="3" a="1"/>
  <c r="AB956" i="3" s="1"/>
  <c r="AB945" i="3" a="1"/>
  <c r="AB945" i="3" s="1"/>
  <c r="AB915" i="3" a="1"/>
  <c r="AB915" i="3" s="1"/>
  <c r="AB925" i="3" a="1"/>
  <c r="AB925" i="3" s="1"/>
  <c r="AB932" i="3" a="1"/>
  <c r="AB932" i="3" s="1"/>
  <c r="AB5" i="3" a="1"/>
  <c r="AB5" i="3" s="1"/>
  <c r="AB21" i="3" a="1"/>
  <c r="AB21" i="3" s="1"/>
  <c r="AB33" i="3" a="1"/>
  <c r="AB33" i="3" s="1"/>
  <c r="AB45" i="3" a="1"/>
  <c r="AB45" i="3" s="1"/>
  <c r="AB57" i="3" a="1"/>
  <c r="AB57" i="3" s="1"/>
  <c r="AB76" i="3" a="1"/>
  <c r="AB76" i="3" s="1"/>
  <c r="AB88" i="3" a="1"/>
  <c r="AB88" i="3" s="1"/>
  <c r="AB115" i="3" a="1"/>
  <c r="AB115" i="3" s="1"/>
  <c r="AB253" i="3" a="1"/>
  <c r="AB253" i="3" s="1"/>
  <c r="AB135" i="3" a="1"/>
  <c r="AB135" i="3" s="1"/>
  <c r="AB122" i="3" a="1"/>
  <c r="AB122" i="3" s="1"/>
  <c r="AB100" i="3" a="1"/>
  <c r="AB100" i="3" s="1"/>
  <c r="AB130" i="3" a="1"/>
  <c r="AB130" i="3" s="1"/>
  <c r="AB204" i="3" a="1"/>
  <c r="AB204" i="3" s="1"/>
  <c r="AB196" i="3" a="1"/>
  <c r="AB196" i="3" s="1"/>
  <c r="AB176" i="3" a="1"/>
  <c r="AB176" i="3" s="1"/>
  <c r="AB233" i="3" a="1"/>
  <c r="AB233" i="3" s="1"/>
  <c r="AB191" i="3" a="1"/>
  <c r="AB191" i="3" s="1"/>
  <c r="AB190" i="3" a="1"/>
  <c r="AB190" i="3" s="1"/>
  <c r="AB222" i="3" a="1"/>
  <c r="AB222" i="3" s="1"/>
  <c r="AB168" i="3" a="1"/>
  <c r="AB168" i="3" s="1"/>
  <c r="AB229" i="3" a="1"/>
  <c r="AB229" i="3" s="1"/>
  <c r="AB305" i="3" a="1"/>
  <c r="AB305" i="3" s="1"/>
  <c r="AB317" i="3" a="1"/>
  <c r="AB317" i="3" s="1"/>
  <c r="AB189" i="3" a="1"/>
  <c r="AB189" i="3" s="1"/>
  <c r="AB281" i="3" a="1"/>
  <c r="AB281" i="3" s="1"/>
  <c r="AB292" i="3" a="1"/>
  <c r="AB292" i="3" s="1"/>
  <c r="AB299" i="3" a="1"/>
  <c r="AB299" i="3" s="1"/>
  <c r="AB404" i="3" a="1"/>
  <c r="AB404" i="3" s="1"/>
  <c r="AB396" i="3" a="1"/>
  <c r="AB396" i="3" s="1"/>
  <c r="AB356" i="3" a="1"/>
  <c r="AB356" i="3" s="1"/>
  <c r="AB418" i="3" a="1"/>
  <c r="AB418" i="3" s="1"/>
  <c r="AB380" i="3" a="1"/>
  <c r="AB380" i="3" s="1"/>
  <c r="AB348" i="3" a="1"/>
  <c r="AB348" i="3" s="1"/>
  <c r="AB388" i="3" a="1"/>
  <c r="AB388" i="3" s="1"/>
  <c r="AB362" i="3" a="1"/>
  <c r="AB362" i="3" s="1"/>
  <c r="AB371" i="3" a="1"/>
  <c r="AB371" i="3" s="1"/>
  <c r="AB412" i="3" a="1"/>
  <c r="AB412" i="3" s="1"/>
  <c r="AB492" i="3" a="1"/>
  <c r="AB492" i="3" s="1"/>
  <c r="AB499" i="3" a="1"/>
  <c r="AB499" i="3" s="1"/>
  <c r="AB506" i="3" a="1"/>
  <c r="AB506" i="3" s="1"/>
  <c r="AB468" i="3" a="1"/>
  <c r="AB468" i="3" s="1"/>
  <c r="AB484" i="3" a="1"/>
  <c r="AB484" i="3" s="1"/>
  <c r="AB476" i="3" a="1"/>
  <c r="AB476" i="3" s="1"/>
  <c r="AB584" i="3" a="1"/>
  <c r="AB584" i="3" s="1"/>
  <c r="AB549" i="3" a="1"/>
  <c r="AB549" i="3" s="1"/>
  <c r="AB561" i="3" a="1"/>
  <c r="AB561" i="3" s="1"/>
  <c r="AB599" i="3" a="1"/>
  <c r="AB599" i="3" s="1"/>
  <c r="AB557" i="3" a="1"/>
  <c r="AB557" i="3" s="1"/>
  <c r="AB589" i="3" a="1"/>
  <c r="AB589" i="3" s="1"/>
  <c r="AB541" i="3" a="1"/>
  <c r="AB541" i="3" s="1"/>
  <c r="AB565" i="3" a="1"/>
  <c r="AB565" i="3" s="1"/>
  <c r="AB570" i="3" a="1"/>
  <c r="AB570" i="3" s="1"/>
  <c r="AB652" i="3" a="1"/>
  <c r="AB652" i="3" s="1"/>
  <c r="AB638" i="3" a="1"/>
  <c r="AB638" i="3" s="1"/>
  <c r="AB659" i="3" a="1"/>
  <c r="AB659" i="3" s="1"/>
  <c r="AB645" i="3" a="1"/>
  <c r="AB645" i="3" s="1"/>
  <c r="AB716" i="3" a="1"/>
  <c r="AB716" i="3" s="1"/>
  <c r="AB692" i="3" a="1"/>
  <c r="AB692" i="3" s="1"/>
  <c r="AB749" i="3" a="1"/>
  <c r="AB749" i="3" s="1"/>
  <c r="AB727" i="3" a="1"/>
  <c r="AB727" i="3" s="1"/>
  <c r="AB687" i="3" a="1"/>
  <c r="AB687" i="3" s="1"/>
  <c r="AB702" i="3" a="1"/>
  <c r="AB702" i="3" s="1"/>
  <c r="AB737" i="3" a="1"/>
  <c r="AB737" i="3" s="1"/>
  <c r="AB709" i="3" a="1"/>
  <c r="AB709" i="3" s="1"/>
  <c r="AB729" i="3" a="1"/>
  <c r="AB729" i="3" s="1"/>
  <c r="AB819" i="3" a="1"/>
  <c r="AB819" i="3" s="1"/>
  <c r="AB828" i="3" a="1"/>
  <c r="AB828" i="3" s="1"/>
  <c r="AB796" i="3" a="1"/>
  <c r="AB796" i="3" s="1"/>
  <c r="AB804" i="3" a="1"/>
  <c r="AB804" i="3" s="1"/>
  <c r="AB869" i="3" a="1"/>
  <c r="AB869" i="3" s="1"/>
  <c r="AB844" i="3" a="1"/>
  <c r="AB844" i="3" s="1"/>
  <c r="AB812" i="3" a="1"/>
  <c r="AB812" i="3" s="1"/>
  <c r="AB855" i="3" a="1"/>
  <c r="AB855" i="3" s="1"/>
  <c r="AB835" i="3" a="1"/>
  <c r="AB835" i="3" s="1"/>
  <c r="AB848" i="3" a="1"/>
  <c r="AB848" i="3" s="1"/>
  <c r="AB943" i="3" a="1"/>
  <c r="AB943" i="3" s="1"/>
  <c r="AB959" i="3" a="1"/>
  <c r="AB959" i="3" s="1"/>
  <c r="AB948" i="3" a="1"/>
  <c r="AB948" i="3" s="1"/>
  <c r="AB916" i="3" a="1"/>
  <c r="AB916" i="3" s="1"/>
  <c r="AB926" i="3" a="1"/>
  <c r="AB926" i="3" s="1"/>
  <c r="AB933" i="3" a="1"/>
  <c r="AB933" i="3" s="1"/>
  <c r="AB6" i="3" a="1"/>
  <c r="AB6" i="3" s="1"/>
  <c r="AB22" i="3" a="1"/>
  <c r="AB22" i="3" s="1"/>
  <c r="AB34" i="3" a="1"/>
  <c r="AB34" i="3" s="1"/>
  <c r="AB46" i="3" a="1"/>
  <c r="AB46" i="3" s="1"/>
  <c r="AB58" i="3" a="1"/>
  <c r="AB58" i="3" s="1"/>
  <c r="AB77" i="3" a="1"/>
  <c r="AB77" i="3" s="1"/>
  <c r="AB90" i="3" a="1"/>
  <c r="AB90" i="3" s="1"/>
  <c r="AB116" i="3" a="1"/>
  <c r="AB116" i="3" s="1"/>
  <c r="AB109" i="3" a="1"/>
  <c r="AB109" i="3" s="1"/>
  <c r="AB141" i="3" a="1"/>
  <c r="AB141" i="3" s="1"/>
  <c r="AB123" i="3" a="1"/>
  <c r="AB123" i="3" s="1"/>
  <c r="AB101" i="3" a="1"/>
  <c r="AB101" i="3" s="1"/>
  <c r="AB131" i="3" a="1"/>
  <c r="AB131" i="3" s="1"/>
  <c r="AB205" i="3" a="1"/>
  <c r="AB205" i="3" s="1"/>
  <c r="AB197" i="3" a="1"/>
  <c r="AB197" i="3" s="1"/>
  <c r="AB177" i="3" a="1"/>
  <c r="AB177" i="3" s="1"/>
  <c r="AB234" i="3" a="1"/>
  <c r="AB234" i="3" s="1"/>
  <c r="AB210" i="3" a="1"/>
  <c r="AB210" i="3" s="1"/>
  <c r="AB192" i="3" a="1"/>
  <c r="AB192" i="3" s="1"/>
  <c r="AB223" i="3" a="1"/>
  <c r="AB223" i="3" s="1"/>
  <c r="AB169" i="3" a="1"/>
  <c r="AB169" i="3" s="1"/>
  <c r="AB230" i="3" a="1"/>
  <c r="AB230" i="3" s="1"/>
  <c r="AB306" i="3" a="1"/>
  <c r="AB306" i="3" s="1"/>
  <c r="AB318" i="3" a="1"/>
  <c r="AB318" i="3" s="1"/>
  <c r="AB269" i="3" a="1"/>
  <c r="AB269" i="3" s="1"/>
  <c r="AB282" i="3" a="1"/>
  <c r="AB282" i="3" s="1"/>
  <c r="AB293" i="3" a="1"/>
  <c r="AB293" i="3" s="1"/>
  <c r="AB300" i="3" a="1"/>
  <c r="AB300" i="3" s="1"/>
  <c r="AB405" i="3" a="1"/>
  <c r="AB405" i="3" s="1"/>
  <c r="AB397" i="3" a="1"/>
  <c r="AB397" i="3" s="1"/>
  <c r="AB357" i="3" a="1"/>
  <c r="AB357" i="3" s="1"/>
  <c r="AB421" i="3" a="1"/>
  <c r="AB421" i="3" s="1"/>
  <c r="AB381" i="3" a="1"/>
  <c r="AB381" i="3" s="1"/>
  <c r="AB349" i="3" a="1"/>
  <c r="AB349" i="3" s="1"/>
  <c r="AB389" i="3" a="1"/>
  <c r="AB389" i="3" s="1"/>
  <c r="AB363" i="3" a="1"/>
  <c r="AB363" i="3" s="1"/>
  <c r="AB373" i="3" a="1"/>
  <c r="AB373" i="3" s="1"/>
  <c r="AB413" i="3" a="1"/>
  <c r="AB413" i="3" s="1"/>
  <c r="AB493" i="3" a="1"/>
  <c r="AB493" i="3" s="1"/>
  <c r="AB503" i="3" a="1"/>
  <c r="AB503" i="3" s="1"/>
  <c r="AB507" i="3" a="1"/>
  <c r="AB507" i="3" s="1"/>
  <c r="AB469" i="3" a="1"/>
  <c r="AB469" i="3" s="1"/>
  <c r="AB486" i="3" a="1"/>
  <c r="AB486" i="3" s="1"/>
  <c r="AB477" i="3" a="1"/>
  <c r="AB477" i="3" s="1"/>
  <c r="AB585" i="3" a="1"/>
  <c r="AB585" i="3" s="1"/>
  <c r="AB550" i="3" a="1"/>
  <c r="AB550" i="3" s="1"/>
  <c r="AB592" i="3" a="1"/>
  <c r="AB592" i="3" s="1"/>
  <c r="AB558" i="3" a="1"/>
  <c r="AB558" i="3" s="1"/>
  <c r="AB590" i="3" a="1"/>
  <c r="AB590" i="3" s="1"/>
  <c r="AB542" i="3" a="1"/>
  <c r="AB542" i="3" s="1"/>
  <c r="AB566" i="3" a="1"/>
  <c r="AB566" i="3" s="1"/>
  <c r="AB571" i="3" a="1"/>
  <c r="AB571" i="3" s="1"/>
  <c r="AB653" i="3" a="1"/>
  <c r="AB653" i="3" s="1"/>
  <c r="AB639" i="3" a="1"/>
  <c r="AB639" i="3" s="1"/>
  <c r="AB660" i="3" a="1"/>
  <c r="AB660" i="3" s="1"/>
  <c r="AB646" i="3" a="1"/>
  <c r="AB646" i="3" s="1"/>
  <c r="AB717" i="3" a="1"/>
  <c r="AB717" i="3" s="1"/>
  <c r="AB695" i="3" a="1"/>
  <c r="AB695" i="3" s="1"/>
  <c r="AB750" i="3" a="1"/>
  <c r="AB750" i="3" s="1"/>
  <c r="AB728" i="3" a="1"/>
  <c r="AB728" i="3" s="1"/>
  <c r="AB688" i="3" a="1"/>
  <c r="AB688" i="3" s="1"/>
  <c r="AB703" i="3" a="1"/>
  <c r="AB703" i="3" s="1"/>
  <c r="AB738" i="3" a="1"/>
  <c r="AB738" i="3" s="1"/>
  <c r="AB710" i="3" a="1"/>
  <c r="AB710" i="3" s="1"/>
  <c r="AB730" i="3" a="1"/>
  <c r="AB730" i="3" s="1"/>
  <c r="AB820" i="3" a="1"/>
  <c r="AB820" i="3" s="1"/>
  <c r="AB829" i="3" a="1"/>
  <c r="AB829" i="3" s="1"/>
  <c r="AB797" i="3" a="1"/>
  <c r="AB797" i="3" s="1"/>
  <c r="AB805" i="3" a="1"/>
  <c r="AB805" i="3" s="1"/>
  <c r="AB870" i="3" a="1"/>
  <c r="AB870" i="3" s="1"/>
  <c r="AB845" i="3" a="1"/>
  <c r="AB845" i="3" s="1"/>
  <c r="AB813" i="3" a="1"/>
  <c r="AB813" i="3" s="1"/>
  <c r="AB861" i="3" a="1"/>
  <c r="AB861" i="3" s="1"/>
  <c r="AB838" i="3" a="1"/>
  <c r="AB838" i="3" s="1"/>
  <c r="AB860" i="3" a="1"/>
  <c r="AB860" i="3" s="1"/>
  <c r="AB944" i="3" a="1"/>
  <c r="AB944" i="3" s="1"/>
  <c r="AB957" i="3" a="1"/>
  <c r="AB957" i="3" s="1"/>
  <c r="AB949" i="3" a="1"/>
  <c r="AB949" i="3" s="1"/>
  <c r="AB917" i="3" a="1"/>
  <c r="AB917" i="3" s="1"/>
  <c r="AB927" i="3" a="1"/>
  <c r="AB927" i="3" s="1"/>
  <c r="AB934" i="3" a="1"/>
  <c r="AB934" i="3" s="1"/>
  <c r="AB7" i="3" a="1"/>
  <c r="AB7" i="3" s="1"/>
  <c r="AB24" i="3" a="1"/>
  <c r="AB24" i="3" s="1"/>
  <c r="AB47" i="3" a="1"/>
  <c r="AB47" i="3" s="1"/>
  <c r="AB66" i="3" a="1"/>
  <c r="AB66" i="3" s="1"/>
  <c r="AB78" i="3" a="1"/>
  <c r="AB78" i="3" s="1"/>
  <c r="AB91" i="3" a="1"/>
  <c r="AB91" i="3" s="1"/>
  <c r="AB35" i="3" a="1"/>
  <c r="AB35" i="3" s="1"/>
  <c r="AB59" i="3" a="1"/>
  <c r="AB59" i="3" s="1"/>
  <c r="AB117" i="3" a="1"/>
  <c r="AB117" i="3" s="1"/>
  <c r="AB106" i="3" a="1"/>
  <c r="AB106" i="3" s="1"/>
  <c r="AB140" i="3" a="1"/>
  <c r="AB140" i="3" s="1"/>
  <c r="AB125" i="3" a="1"/>
  <c r="AB125" i="3" s="1"/>
  <c r="AB102" i="3" a="1"/>
  <c r="AB102" i="3" s="1"/>
  <c r="AB132" i="3" a="1"/>
  <c r="AB132" i="3" s="1"/>
  <c r="AB206" i="3" a="1"/>
  <c r="AB206" i="3" s="1"/>
  <c r="AB198" i="3" a="1"/>
  <c r="AB198" i="3" s="1"/>
  <c r="AB178" i="3" a="1"/>
  <c r="AB178" i="3" s="1"/>
  <c r="AB235" i="3" a="1"/>
  <c r="AB235" i="3" s="1"/>
  <c r="AB212" i="3" a="1"/>
  <c r="AB212" i="3" s="1"/>
  <c r="AB211" i="3" a="1"/>
  <c r="AB211" i="3" s="1"/>
  <c r="AB224" i="3" a="1"/>
  <c r="AB224" i="3" s="1"/>
  <c r="AB170" i="3" a="1"/>
  <c r="AB170" i="3" s="1"/>
  <c r="AB231" i="3" a="1"/>
  <c r="AB231" i="3" s="1"/>
  <c r="AB307" i="3" a="1"/>
  <c r="AB307" i="3" s="1"/>
  <c r="AB319" i="3" a="1"/>
  <c r="AB319" i="3" s="1"/>
  <c r="AB270" i="3" a="1"/>
  <c r="AB270" i="3" s="1"/>
  <c r="AB283" i="3" a="1"/>
  <c r="AB283" i="3" s="1"/>
  <c r="AB295" i="3" a="1"/>
  <c r="AB295" i="3" s="1"/>
  <c r="AB301" i="3" a="1"/>
  <c r="AB301" i="3" s="1"/>
  <c r="AB406" i="3" a="1"/>
  <c r="AB406" i="3" s="1"/>
  <c r="AB351" i="3" a="1"/>
  <c r="AB351" i="3" s="1"/>
  <c r="AB358" i="3" a="1"/>
  <c r="AB358" i="3" s="1"/>
  <c r="AB422" i="3" a="1"/>
  <c r="AB422" i="3" s="1"/>
  <c r="AB398" i="3" a="1"/>
  <c r="AB398" i="3" s="1"/>
  <c r="AB382" i="3" a="1"/>
  <c r="AB382" i="3" s="1"/>
  <c r="AB390" i="3" a="1"/>
  <c r="AB390" i="3" s="1"/>
  <c r="AB364" i="3" a="1"/>
  <c r="AB364" i="3" s="1"/>
  <c r="AB374" i="3" a="1"/>
  <c r="AB374" i="3" s="1"/>
  <c r="AB414" i="3" a="1"/>
  <c r="AB414" i="3" s="1"/>
  <c r="AB494" i="3" a="1"/>
  <c r="AB494" i="3" s="1"/>
  <c r="AB504" i="3" a="1"/>
  <c r="AB504" i="3" s="1"/>
  <c r="AB508" i="3" a="1"/>
  <c r="AB508" i="3" s="1"/>
  <c r="AB470" i="3" a="1"/>
  <c r="AB470" i="3" s="1"/>
  <c r="AB487" i="3" a="1"/>
  <c r="AB487" i="3" s="1"/>
  <c r="AB478" i="3" a="1"/>
  <c r="AB478" i="3" s="1"/>
  <c r="AB573" i="3" a="1"/>
  <c r="AB573" i="3" s="1"/>
  <c r="AB575" i="3" a="1"/>
  <c r="AB575" i="3" s="1"/>
  <c r="AB543" i="3" a="1"/>
  <c r="AB543" i="3" s="1"/>
  <c r="AB591" i="3" a="1"/>
  <c r="AB591" i="3" s="1"/>
  <c r="AB600" i="3" a="1"/>
  <c r="AB600" i="3" s="1"/>
  <c r="AB551" i="3" a="1"/>
  <c r="AB551" i="3" s="1"/>
  <c r="AB577" i="3" a="1"/>
  <c r="AB577" i="3" s="1"/>
  <c r="AB654" i="3" a="1"/>
  <c r="AB654" i="3" s="1"/>
  <c r="AB640" i="3" a="1"/>
  <c r="AB640" i="3" s="1"/>
  <c r="AB662" i="3" a="1"/>
  <c r="AB662" i="3" s="1"/>
  <c r="AB647" i="3" a="1"/>
  <c r="AB647" i="3" s="1"/>
  <c r="AB751" i="3" a="1"/>
  <c r="AB751" i="3" s="1"/>
  <c r="AB718" i="3" a="1"/>
  <c r="AB718" i="3" s="1"/>
  <c r="AB696" i="3" a="1"/>
  <c r="AB696" i="3" s="1"/>
  <c r="AB740" i="3" a="1"/>
  <c r="AB740" i="3" s="1"/>
  <c r="AB689" i="3" a="1"/>
  <c r="AB689" i="3" s="1"/>
  <c r="AB704" i="3" a="1"/>
  <c r="AB704" i="3" s="1"/>
  <c r="AB739" i="3" a="1"/>
  <c r="AB739" i="3" s="1"/>
  <c r="AB711" i="3" a="1"/>
  <c r="AB711" i="3" s="1"/>
  <c r="AB731" i="3" a="1"/>
  <c r="AB731" i="3" s="1"/>
  <c r="AB821" i="3" a="1"/>
  <c r="AB821" i="3" s="1"/>
  <c r="AB871" i="3" a="1"/>
  <c r="AB871" i="3" s="1"/>
  <c r="AB830" i="3" a="1"/>
  <c r="AB830" i="3" s="1"/>
  <c r="AB798" i="3" a="1"/>
  <c r="AB798" i="3" s="1"/>
  <c r="AB806" i="3" a="1"/>
  <c r="AB806" i="3" s="1"/>
  <c r="AB849" i="3" a="1"/>
  <c r="AB849" i="3" s="1"/>
  <c r="AB814" i="3" a="1"/>
  <c r="AB814" i="3" s="1"/>
  <c r="AB862" i="3" a="1"/>
  <c r="AB862" i="3" s="1"/>
  <c r="AB839" i="3" a="1"/>
  <c r="AB839" i="3" s="1"/>
  <c r="AB856" i="3" a="1"/>
  <c r="AB856" i="3" s="1"/>
  <c r="AB946" i="3" a="1"/>
  <c r="AB946" i="3" s="1"/>
  <c r="AB958" i="3" a="1"/>
  <c r="AB958" i="3" s="1"/>
  <c r="AB950" i="3" a="1"/>
  <c r="AB950" i="3" s="1"/>
  <c r="AB918" i="3" a="1"/>
  <c r="AB918" i="3" s="1"/>
  <c r="AB928" i="3" a="1"/>
  <c r="AB928" i="3" s="1"/>
  <c r="AB935" i="3" a="1"/>
  <c r="AB935" i="3" s="1"/>
  <c r="AB559" i="3" a="1"/>
  <c r="AB559" i="3" s="1"/>
  <c r="AB9" i="3" a="1"/>
  <c r="AB9" i="3" s="1"/>
  <c r="AB12" i="3" a="1"/>
  <c r="AB12" i="3" s="1"/>
  <c r="AB25" i="3" a="1"/>
  <c r="AB25" i="3" s="1"/>
  <c r="AB37" i="3" a="1"/>
  <c r="AB37" i="3" s="1"/>
  <c r="AB49" i="3" a="1"/>
  <c r="AB49" i="3" s="1"/>
  <c r="AB61" i="3" a="1"/>
  <c r="AB61" i="3" s="1"/>
  <c r="AB67" i="3" a="1"/>
  <c r="AB67" i="3" s="1"/>
  <c r="AB79" i="3" a="1"/>
  <c r="AB79" i="3" s="1"/>
  <c r="AB142" i="3" a="1"/>
  <c r="AB142" i="3" s="1"/>
  <c r="AB103" i="3" a="1"/>
  <c r="AB103" i="3" s="1"/>
  <c r="AB133" i="3" a="1"/>
  <c r="AB133" i="3" s="1"/>
  <c r="AB110" i="3" a="1"/>
  <c r="AB110" i="3" s="1"/>
  <c r="AB92" i="3" a="1"/>
  <c r="AB92" i="3" s="1"/>
  <c r="AB126" i="3" a="1"/>
  <c r="AB126" i="3" s="1"/>
  <c r="AB237" i="3" a="1"/>
  <c r="AB237" i="3" s="1"/>
  <c r="AB207" i="3" a="1"/>
  <c r="AB207" i="3" s="1"/>
  <c r="AB199" i="3" a="1"/>
  <c r="AB199" i="3" s="1"/>
  <c r="AB179" i="3" a="1"/>
  <c r="AB179" i="3" s="1"/>
  <c r="AB214" i="3" a="1"/>
  <c r="AB214" i="3" s="1"/>
  <c r="AB213" i="3" a="1"/>
  <c r="AB213" i="3" s="1"/>
  <c r="AB225" i="3" a="1"/>
  <c r="AB225" i="3" s="1"/>
  <c r="AB175" i="3" a="1"/>
  <c r="AB175" i="3" s="1"/>
  <c r="AB232" i="3" a="1"/>
  <c r="AB232" i="3" s="1"/>
  <c r="AB308" i="3" a="1"/>
  <c r="AB308" i="3" s="1"/>
  <c r="AB296" i="3" a="1"/>
  <c r="AB296" i="3" s="1"/>
  <c r="AB302" i="3" a="1"/>
  <c r="AB302" i="3" s="1"/>
  <c r="AB320" i="3" a="1"/>
  <c r="AB320" i="3" s="1"/>
  <c r="AB312" i="3" a="1"/>
  <c r="AB312" i="3" s="1"/>
  <c r="AB284" i="3" a="1"/>
  <c r="AB284" i="3" s="1"/>
  <c r="AB391" i="3" a="1"/>
  <c r="AB391" i="3" s="1"/>
  <c r="AB415" i="3" a="1"/>
  <c r="AB415" i="3" s="1"/>
  <c r="AB407" i="3" a="1"/>
  <c r="AB407" i="3" s="1"/>
  <c r="AB399" i="3" a="1"/>
  <c r="AB399" i="3" s="1"/>
  <c r="AB359" i="3" a="1"/>
  <c r="AB359" i="3" s="1"/>
  <c r="AB424" i="3" a="1"/>
  <c r="AB424" i="3" s="1"/>
  <c r="AB383" i="3" a="1"/>
  <c r="AB383" i="3" s="1"/>
  <c r="AB352" i="3" a="1"/>
  <c r="AB352" i="3" s="1"/>
  <c r="AB366" i="3" a="1"/>
  <c r="AB366" i="3" s="1"/>
  <c r="AB376" i="3" a="1"/>
  <c r="AB376" i="3" s="1"/>
  <c r="AB495" i="3" a="1"/>
  <c r="AB495" i="3" s="1"/>
  <c r="AB471" i="3" a="1"/>
  <c r="AB471" i="3" s="1"/>
  <c r="AB498" i="3" a="1"/>
  <c r="AB498" i="3" s="1"/>
  <c r="AB502" i="3" a="1"/>
  <c r="AB502" i="3" s="1"/>
  <c r="AB488" i="3" a="1"/>
  <c r="AB488" i="3" s="1"/>
  <c r="AB479" i="3" a="1"/>
  <c r="AB479" i="3" s="1"/>
  <c r="AB560" i="3" a="1"/>
  <c r="AB560" i="3" s="1"/>
  <c r="AB574" i="3" a="1"/>
  <c r="AB574" i="3" s="1"/>
  <c r="AB509" i="3" a="1"/>
  <c r="AB509" i="3" s="1"/>
  <c r="AB578" i="3" a="1"/>
  <c r="AB578" i="3" s="1"/>
  <c r="AB552" i="3" a="1"/>
  <c r="AB552" i="3" s="1"/>
  <c r="AB595" i="3" a="1"/>
  <c r="AB595" i="3" s="1"/>
  <c r="AB544" i="3" a="1"/>
  <c r="AB544" i="3" s="1"/>
  <c r="AB576" i="3" a="1"/>
  <c r="AB576" i="3" s="1"/>
  <c r="AB648" i="3" a="1"/>
  <c r="AB648" i="3" s="1"/>
  <c r="AB597" i="3" a="1"/>
  <c r="AB597" i="3" s="1"/>
  <c r="AB655" i="3" a="1"/>
  <c r="AB655" i="3" s="1"/>
  <c r="AB641" i="3" a="1"/>
  <c r="AB641" i="3" s="1"/>
  <c r="AB742" i="3" a="1"/>
  <c r="AB742" i="3" s="1"/>
  <c r="AB690" i="3" a="1"/>
  <c r="AB690" i="3" s="1"/>
  <c r="AB705" i="3" a="1"/>
  <c r="AB705" i="3" s="1"/>
  <c r="AB741" i="3" a="1"/>
  <c r="AB741" i="3" s="1"/>
  <c r="AB719" i="3" a="1"/>
  <c r="AB719" i="3" s="1"/>
  <c r="AB712" i="3" a="1"/>
  <c r="AB712" i="3" s="1"/>
  <c r="AB732" i="3" a="1"/>
  <c r="AB732" i="3" s="1"/>
  <c r="AB661" i="3" a="1"/>
  <c r="AB661" i="3" s="1"/>
  <c r="AB697" i="3" a="1"/>
  <c r="AB697" i="3" s="1"/>
  <c r="AB863" i="3" a="1"/>
  <c r="AB863" i="3" s="1"/>
  <c r="AB822" i="3" a="1"/>
  <c r="AB822" i="3" s="1"/>
  <c r="AB745" i="3" a="1"/>
  <c r="AB745" i="3" s="1"/>
  <c r="AB857" i="3" a="1"/>
  <c r="AB857" i="3" s="1"/>
  <c r="AB831" i="3" a="1"/>
  <c r="AB831" i="3" s="1"/>
  <c r="AB850" i="3" a="1"/>
  <c r="AB850" i="3" s="1"/>
  <c r="AB815" i="3" a="1"/>
  <c r="AB815" i="3" s="1"/>
  <c r="AB799" i="3" a="1"/>
  <c r="AB799" i="3" s="1"/>
  <c r="AB836" i="3" a="1"/>
  <c r="AB836" i="3" s="1"/>
  <c r="AB807" i="3" a="1"/>
  <c r="AB807" i="3" s="1"/>
  <c r="AB951" i="3" a="1"/>
  <c r="AB951" i="3" s="1"/>
  <c r="AB872" i="3" a="1"/>
  <c r="AB872" i="3" s="1"/>
  <c r="AB947" i="3" a="1"/>
  <c r="AB947" i="3" s="1"/>
  <c r="AB920" i="3" a="1"/>
  <c r="AB920" i="3" s="1"/>
  <c r="AB930" i="3" a="1"/>
  <c r="AB930" i="3" s="1"/>
  <c r="AB937" i="3" a="1"/>
  <c r="AB937" i="3" s="1"/>
  <c r="AB8" i="3" a="1"/>
  <c r="AB8" i="3" s="1"/>
  <c r="AB26" i="3" a="1"/>
  <c r="AB26" i="3" s="1"/>
  <c r="AB36" i="3" a="1"/>
  <c r="AB36" i="3" s="1"/>
  <c r="AB48" i="3" a="1"/>
  <c r="AB48" i="3" s="1"/>
  <c r="AB60" i="3" a="1"/>
  <c r="AB60" i="3" s="1"/>
  <c r="AB68" i="3" a="1"/>
  <c r="AB68" i="3" s="1"/>
  <c r="AB80" i="3" a="1"/>
  <c r="AB80" i="3" s="1"/>
  <c r="AB89" i="3" a="1"/>
  <c r="AB89" i="3" s="1"/>
  <c r="AB104" i="3" a="1"/>
  <c r="AB104" i="3" s="1"/>
  <c r="AB134" i="3" a="1"/>
  <c r="AB134" i="3" s="1"/>
  <c r="AB145" i="3" a="1"/>
  <c r="AB145" i="3" s="1"/>
  <c r="AB148" i="3" a="1"/>
  <c r="AB148" i="3" s="1"/>
  <c r="AB151" i="3" a="1"/>
  <c r="AB151" i="3" s="1"/>
  <c r="AB572" i="3" a="1"/>
  <c r="AB572" i="3" s="1"/>
  <c r="AB248" i="3" a="1"/>
  <c r="AB248" i="3" s="1"/>
  <c r="AB256" i="3" a="1"/>
  <c r="AB256" i="3" s="1"/>
  <c r="AB251" i="3" a="1"/>
  <c r="AB251" i="3" s="1"/>
  <c r="AB238" i="3" a="1"/>
  <c r="AB238" i="3" s="1"/>
  <c r="AB166" i="3" a="1"/>
  <c r="AB166" i="3" s="1"/>
  <c r="AB200" i="3" a="1"/>
  <c r="AB200" i="3" s="1"/>
  <c r="AB215" i="3" a="1"/>
  <c r="AB215" i="3" s="1"/>
  <c r="AB239" i="3" a="1"/>
  <c r="AB239" i="3" s="1"/>
  <c r="AB236" i="3" a="1"/>
  <c r="AB236" i="3" s="1"/>
  <c r="AB245" i="3" a="1"/>
  <c r="AB245" i="3" s="1"/>
  <c r="AB252" i="3" a="1"/>
  <c r="AB252" i="3" s="1"/>
  <c r="AB285" i="3" a="1"/>
  <c r="AB285" i="3" s="1"/>
  <c r="AB309" i="3" a="1"/>
  <c r="AB309" i="3" s="1"/>
  <c r="AB322" i="3" a="1"/>
  <c r="AB322" i="3" s="1"/>
  <c r="AB325" i="3" a="1"/>
  <c r="AB325" i="3" s="1"/>
  <c r="AB328" i="3" a="1"/>
  <c r="AB328" i="3" s="1"/>
  <c r="AB331" i="3" a="1"/>
  <c r="AB331" i="3" s="1"/>
  <c r="AB353" i="3" a="1"/>
  <c r="AB353" i="3" s="1"/>
  <c r="AB427" i="3" a="1"/>
  <c r="AB427" i="3" s="1"/>
  <c r="AB400" i="3" a="1"/>
  <c r="AB400" i="3" s="1"/>
  <c r="AB423" i="3" a="1"/>
  <c r="AB423" i="3" s="1"/>
  <c r="AB430" i="3" a="1"/>
  <c r="AB430" i="3" s="1"/>
  <c r="AB375" i="3" a="1"/>
  <c r="AB375" i="3" s="1"/>
  <c r="AB433" i="3" a="1"/>
  <c r="AB433" i="3" s="1"/>
  <c r="AB436" i="3" a="1"/>
  <c r="AB436" i="3" s="1"/>
  <c r="AB439" i="3" a="1"/>
  <c r="AB439" i="3" s="1"/>
  <c r="AB442" i="3" a="1"/>
  <c r="AB442" i="3" s="1"/>
  <c r="AB472" i="3" a="1"/>
  <c r="AB472" i="3" s="1"/>
  <c r="AB496" i="3" a="1"/>
  <c r="AB496" i="3" s="1"/>
  <c r="AB514" i="3" a="1"/>
  <c r="AB514" i="3" s="1"/>
  <c r="AB517" i="3" a="1"/>
  <c r="AB517" i="3" s="1"/>
  <c r="AB520" i="3" a="1"/>
  <c r="AB520" i="3" s="1"/>
  <c r="AB523" i="3" a="1"/>
  <c r="AB523" i="3" s="1"/>
  <c r="AB545" i="3" a="1"/>
  <c r="AB545" i="3" s="1"/>
  <c r="AB580" i="3" a="1"/>
  <c r="AB580" i="3" s="1"/>
  <c r="AB601" i="3" a="1"/>
  <c r="AB601" i="3" s="1"/>
  <c r="AB604" i="3" a="1"/>
  <c r="AB604" i="3" s="1"/>
  <c r="AB607" i="3" a="1"/>
  <c r="AB607" i="3" s="1"/>
  <c r="AB610" i="3" a="1"/>
  <c r="AB610" i="3" s="1"/>
  <c r="AB613" i="3" a="1"/>
  <c r="AB613" i="3" s="1"/>
  <c r="AB616" i="3" a="1"/>
  <c r="AB616" i="3" s="1"/>
  <c r="AB663" i="3" a="1"/>
  <c r="AB663" i="3" s="1"/>
  <c r="AB669" i="3" a="1"/>
  <c r="AB669" i="3" s="1"/>
  <c r="AB674" i="3" a="1"/>
  <c r="AB674" i="3" s="1"/>
  <c r="AB679" i="3" a="1"/>
  <c r="AB679" i="3" s="1"/>
  <c r="AB698" i="3" a="1"/>
  <c r="AB698" i="3" s="1"/>
  <c r="AB743" i="3" a="1"/>
  <c r="AB743" i="3" s="1"/>
  <c r="AB754" i="3" a="1"/>
  <c r="AB754" i="3" s="1"/>
  <c r="AB757" i="3" a="1"/>
  <c r="AB757" i="3" s="1"/>
  <c r="AB760" i="3" a="1"/>
  <c r="AB760" i="3" s="1"/>
  <c r="AB763" i="3" a="1"/>
  <c r="AB763" i="3" s="1"/>
  <c r="AB766" i="3" a="1"/>
  <c r="AB766" i="3" s="1"/>
  <c r="AB769" i="3" a="1"/>
  <c r="AB769" i="3" s="1"/>
  <c r="AB772" i="3" a="1"/>
  <c r="AB772" i="3" s="1"/>
  <c r="AB800" i="3" a="1"/>
  <c r="AB800" i="3" s="1"/>
  <c r="AB884" i="3" a="1"/>
  <c r="AB884" i="3" s="1"/>
  <c r="AB890" i="3" a="1"/>
  <c r="AB890" i="3" s="1"/>
  <c r="AB832" i="3" a="1"/>
  <c r="AB832" i="3" s="1"/>
  <c r="AB858" i="3" a="1"/>
  <c r="AB858" i="3" s="1"/>
  <c r="AB865" i="3" a="1"/>
  <c r="AB865" i="3" s="1"/>
  <c r="AB875" i="3" a="1"/>
  <c r="AB875" i="3" s="1"/>
  <c r="AB878" i="3" a="1"/>
  <c r="AB878" i="3" s="1"/>
  <c r="AB881" i="3" a="1"/>
  <c r="AB881" i="3" s="1"/>
  <c r="AB887" i="3" a="1"/>
  <c r="AB887" i="3" s="1"/>
  <c r="AB919" i="3" a="1"/>
  <c r="AB919" i="3" s="1"/>
  <c r="AB936" i="3" a="1"/>
  <c r="AB936" i="3" s="1"/>
  <c r="AB960" i="3" a="1"/>
  <c r="AB960" i="3" s="1"/>
  <c r="AB963" i="3" a="1"/>
  <c r="AB963" i="3" s="1"/>
  <c r="AB966" i="3" a="1"/>
  <c r="AB966" i="3" s="1"/>
  <c r="AB969" i="3" a="1"/>
  <c r="AB969" i="3" s="1"/>
  <c r="AB10" i="3" a="1"/>
  <c r="AB10" i="3" s="1"/>
  <c r="AB23" i="3" a="1"/>
  <c r="AB23" i="3" s="1"/>
  <c r="AB38" i="3" a="1"/>
  <c r="AB38" i="3" s="1"/>
  <c r="AB50" i="3" a="1"/>
  <c r="AB50" i="3" s="1"/>
  <c r="AB62" i="3" a="1"/>
  <c r="AB62" i="3" s="1"/>
  <c r="AB69" i="3" a="1"/>
  <c r="AB69" i="3" s="1"/>
  <c r="AB81" i="3" a="1"/>
  <c r="AB81" i="3" s="1"/>
  <c r="AB93" i="3" a="1"/>
  <c r="AB93" i="3" s="1"/>
  <c r="AB111" i="3" a="1"/>
  <c r="AB111" i="3" s="1"/>
  <c r="AB143" i="3" a="1"/>
  <c r="AB143" i="3" s="1"/>
  <c r="AB146" i="3" a="1"/>
  <c r="AB146" i="3" s="1"/>
  <c r="AB149" i="3" a="1"/>
  <c r="AB149" i="3" s="1"/>
  <c r="AB152" i="3" a="1"/>
  <c r="AB152" i="3" s="1"/>
  <c r="AB664" i="3" a="1"/>
  <c r="AB664" i="3" s="1"/>
  <c r="AB173" i="3" a="1"/>
  <c r="AB173" i="3" s="1"/>
  <c r="AB216" i="3" a="1"/>
  <c r="AB216" i="3" s="1"/>
  <c r="AB240" i="3" a="1"/>
  <c r="AB240" i="3" s="1"/>
  <c r="AB242" i="3" a="1"/>
  <c r="AB242" i="3" s="1"/>
  <c r="AB246" i="3" a="1"/>
  <c r="AB246" i="3" s="1"/>
  <c r="AB249" i="3" a="1"/>
  <c r="AB249" i="3" s="1"/>
  <c r="AB254" i="3" a="1"/>
  <c r="AB254" i="3" s="1"/>
  <c r="AB257" i="3" a="1"/>
  <c r="AB257" i="3" s="1"/>
  <c r="AB297" i="3" a="1"/>
  <c r="AB297" i="3" s="1"/>
  <c r="AB313" i="3" a="1"/>
  <c r="AB313" i="3" s="1"/>
  <c r="AB323" i="3" a="1"/>
  <c r="AB323" i="3" s="1"/>
  <c r="AB326" i="3" a="1"/>
  <c r="AB326" i="3" s="1"/>
  <c r="AB329" i="3" a="1"/>
  <c r="AB329" i="3" s="1"/>
  <c r="AB332" i="3" a="1"/>
  <c r="AB332" i="3" s="1"/>
  <c r="AB360" i="3" a="1"/>
  <c r="AB360" i="3" s="1"/>
  <c r="AB428" i="3" a="1"/>
  <c r="AB428" i="3" s="1"/>
  <c r="AB408" i="3" a="1"/>
  <c r="AB408" i="3" s="1"/>
  <c r="AB425" i="3" a="1"/>
  <c r="AB425" i="3" s="1"/>
  <c r="AB431" i="3" a="1"/>
  <c r="AB431" i="3" s="1"/>
  <c r="AB384" i="3" a="1"/>
  <c r="AB384" i="3" s="1"/>
  <c r="AB434" i="3" a="1"/>
  <c r="AB434" i="3" s="1"/>
  <c r="AB437" i="3" a="1"/>
  <c r="AB437" i="3" s="1"/>
  <c r="AB440" i="3" a="1"/>
  <c r="AB440" i="3" s="1"/>
  <c r="AB443" i="3" a="1"/>
  <c r="AB443" i="3" s="1"/>
  <c r="AB480" i="3" a="1"/>
  <c r="AB480" i="3" s="1"/>
  <c r="AB505" i="3" a="1"/>
  <c r="AB505" i="3" s="1"/>
  <c r="AB515" i="3" a="1"/>
  <c r="AB515" i="3" s="1"/>
  <c r="AB518" i="3" a="1"/>
  <c r="AB518" i="3" s="1"/>
  <c r="AB521" i="3" a="1"/>
  <c r="AB521" i="3" s="1"/>
  <c r="AB524" i="3" a="1"/>
  <c r="AB524" i="3" s="1"/>
  <c r="AB553" i="3" a="1"/>
  <c r="AB553" i="3" s="1"/>
  <c r="AB596" i="3" a="1"/>
  <c r="AB596" i="3" s="1"/>
  <c r="AB602" i="3" a="1"/>
  <c r="AB602" i="3" s="1"/>
  <c r="AB605" i="3" a="1"/>
  <c r="AB605" i="3" s="1"/>
  <c r="AB608" i="3" a="1"/>
  <c r="AB608" i="3" s="1"/>
  <c r="AB611" i="3" a="1"/>
  <c r="AB611" i="3" s="1"/>
  <c r="AB614" i="3" a="1"/>
  <c r="AB614" i="3" s="1"/>
  <c r="AB617" i="3" a="1"/>
  <c r="AB617" i="3" s="1"/>
  <c r="AB665" i="3" a="1"/>
  <c r="AB665" i="3" s="1"/>
  <c r="AB670" i="3" a="1"/>
  <c r="AB670" i="3" s="1"/>
  <c r="AB675" i="3" a="1"/>
  <c r="AB675" i="3" s="1"/>
  <c r="AB680" i="3" a="1"/>
  <c r="AB680" i="3" s="1"/>
  <c r="AB720" i="3" a="1"/>
  <c r="AB720" i="3" s="1"/>
  <c r="AB752" i="3" a="1"/>
  <c r="AB752" i="3" s="1"/>
  <c r="AB755" i="3" a="1"/>
  <c r="AB755" i="3" s="1"/>
  <c r="AB758" i="3" a="1"/>
  <c r="AB758" i="3" s="1"/>
  <c r="AB761" i="3" a="1"/>
  <c r="AB761" i="3" s="1"/>
  <c r="AB764" i="3" a="1"/>
  <c r="AB764" i="3" s="1"/>
  <c r="AB767" i="3" a="1"/>
  <c r="AB767" i="3" s="1"/>
  <c r="AB770" i="3" a="1"/>
  <c r="AB770" i="3" s="1"/>
  <c r="AB773" i="3" a="1"/>
  <c r="AB773" i="3" s="1"/>
  <c r="AB808" i="3" a="1"/>
  <c r="AB808" i="3" s="1"/>
  <c r="AB837" i="3" a="1"/>
  <c r="AB837" i="3" s="1"/>
  <c r="AB859" i="3" a="1"/>
  <c r="AB859" i="3" s="1"/>
  <c r="AB873" i="3" a="1"/>
  <c r="AB873" i="3" s="1"/>
  <c r="AB876" i="3" a="1"/>
  <c r="AB876" i="3" s="1"/>
  <c r="AB879" i="3" a="1"/>
  <c r="AB879" i="3" s="1"/>
  <c r="AB882" i="3" a="1"/>
  <c r="AB882" i="3" s="1"/>
  <c r="AB885" i="3" a="1"/>
  <c r="AB885" i="3" s="1"/>
  <c r="AB888" i="3" a="1"/>
  <c r="AB888" i="3" s="1"/>
  <c r="AB891" i="3" a="1"/>
  <c r="AB891" i="3" s="1"/>
  <c r="AB921" i="3" a="1"/>
  <c r="AB921" i="3" s="1"/>
  <c r="AB952" i="3" a="1"/>
  <c r="AB952" i="3" s="1"/>
  <c r="AB961" i="3" a="1"/>
  <c r="AB961" i="3" s="1"/>
  <c r="AB964" i="3" a="1"/>
  <c r="AB964" i="3" s="1"/>
  <c r="AB967" i="3" a="1"/>
  <c r="AB967" i="3" s="1"/>
  <c r="AB970" i="3" a="1"/>
  <c r="AB970" i="3" s="1"/>
  <c r="AB11" i="3" a="1"/>
  <c r="AB11" i="3" s="1"/>
  <c r="AB27" i="3" a="1"/>
  <c r="AB27" i="3" s="1"/>
  <c r="AB39" i="3" a="1"/>
  <c r="AB39" i="3" s="1"/>
  <c r="AB51" i="3" a="1"/>
  <c r="AB51" i="3" s="1"/>
  <c r="AB63" i="3" a="1"/>
  <c r="AB63" i="3" s="1"/>
  <c r="AB70" i="3" a="1"/>
  <c r="AB70" i="3" s="1"/>
  <c r="AB82" i="3" a="1"/>
  <c r="AB82" i="3" s="1"/>
  <c r="AB94" i="3" a="1"/>
  <c r="AB94" i="3" s="1"/>
  <c r="AB127" i="3" a="1"/>
  <c r="AB127" i="3" s="1"/>
  <c r="AB144" i="3" a="1"/>
  <c r="AB144" i="3" s="1"/>
  <c r="AB147" i="3" a="1"/>
  <c r="AB147" i="3" s="1"/>
  <c r="AB150" i="3" a="1"/>
  <c r="AB150" i="3" s="1"/>
  <c r="AB153" i="3" a="1"/>
  <c r="AB153" i="3" s="1"/>
  <c r="AB747" i="3" a="1"/>
  <c r="AB747" i="3" s="1"/>
  <c r="AB180" i="3" a="1"/>
  <c r="AB180" i="3" s="1"/>
  <c r="AB208" i="3" a="1"/>
  <c r="AB208" i="3" s="1"/>
  <c r="AB217" i="3" a="1"/>
  <c r="AB217" i="3" s="1"/>
  <c r="AB241" i="3" a="1"/>
  <c r="AB241" i="3" s="1"/>
  <c r="AB243" i="3" a="1"/>
  <c r="AB243" i="3" s="1"/>
  <c r="AB247" i="3" a="1"/>
  <c r="AB247" i="3" s="1"/>
  <c r="AB250" i="3" a="1"/>
  <c r="AB250" i="3" s="1"/>
  <c r="AB255" i="3" a="1"/>
  <c r="AB255" i="3" s="1"/>
  <c r="AB985" i="3" a="1"/>
  <c r="AB985" i="3" s="1"/>
  <c r="AB298" i="3" a="1"/>
  <c r="AB298" i="3" s="1"/>
  <c r="AB321" i="3" a="1"/>
  <c r="AB321" i="3" s="1"/>
  <c r="AB324" i="3" a="1"/>
  <c r="AB324" i="3" s="1"/>
  <c r="AB327" i="3" a="1"/>
  <c r="AB327" i="3" s="1"/>
  <c r="AB330" i="3" a="1"/>
  <c r="AB330" i="3" s="1"/>
  <c r="AB333" i="3" a="1"/>
  <c r="AB333" i="3" s="1"/>
  <c r="AB365" i="3" a="1"/>
  <c r="AB365" i="3" s="1"/>
  <c r="AB429" i="3" a="1"/>
  <c r="AB429" i="3" s="1"/>
  <c r="AB416" i="3" a="1"/>
  <c r="AB416" i="3" s="1"/>
  <c r="AB426" i="3" a="1"/>
  <c r="AB426" i="3" s="1"/>
  <c r="AB432" i="3" a="1"/>
  <c r="AB432" i="3" s="1"/>
  <c r="AB392" i="3" a="1"/>
  <c r="AB392" i="3" s="1"/>
  <c r="AB435" i="3" a="1"/>
  <c r="AB435" i="3" s="1"/>
  <c r="AB438" i="3" a="1"/>
  <c r="AB438" i="3" s="1"/>
  <c r="AB441" i="3" a="1"/>
  <c r="AB441" i="3" s="1"/>
  <c r="AB444" i="3" a="1"/>
  <c r="AB444" i="3" s="1"/>
  <c r="AB489" i="3" a="1"/>
  <c r="AB489" i="3" s="1"/>
  <c r="AB510" i="3" a="1"/>
  <c r="AB510" i="3" s="1"/>
  <c r="AB516" i="3" a="1"/>
  <c r="AB516" i="3" s="1"/>
  <c r="AB519" i="3" a="1"/>
  <c r="AB519" i="3" s="1"/>
  <c r="AB522" i="3" a="1"/>
  <c r="AB522" i="3" s="1"/>
  <c r="AB525" i="3" a="1"/>
  <c r="AB525" i="3" s="1"/>
  <c r="AB579" i="3" a="1"/>
  <c r="AB579" i="3" s="1"/>
  <c r="AB598" i="3" a="1"/>
  <c r="AB598" i="3" s="1"/>
  <c r="AB603" i="3" a="1"/>
  <c r="AB603" i="3" s="1"/>
  <c r="AB606" i="3" a="1"/>
  <c r="AB606" i="3" s="1"/>
  <c r="AB609" i="3" a="1"/>
  <c r="AB609" i="3" s="1"/>
  <c r="AB612" i="3" a="1"/>
  <c r="AB612" i="3" s="1"/>
  <c r="AB615" i="3" a="1"/>
  <c r="AB615" i="3" s="1"/>
  <c r="AB618" i="3" a="1"/>
  <c r="AB618" i="3" s="1"/>
  <c r="AB666" i="3" a="1"/>
  <c r="AB666" i="3" s="1"/>
  <c r="AB671" i="3" a="1"/>
  <c r="AB671" i="3" s="1"/>
  <c r="AB676" i="3" a="1"/>
  <c r="AB676" i="3" s="1"/>
  <c r="AB681" i="3" a="1"/>
  <c r="AB681" i="3" s="1"/>
  <c r="AB733" i="3" a="1"/>
  <c r="AB733" i="3" s="1"/>
  <c r="AB753" i="3" a="1"/>
  <c r="AB753" i="3" s="1"/>
  <c r="AB756" i="3" a="1"/>
  <c r="AB756" i="3" s="1"/>
  <c r="AB759" i="3" a="1"/>
  <c r="AB759" i="3" s="1"/>
  <c r="AB762" i="3" a="1"/>
  <c r="AB762" i="3" s="1"/>
  <c r="AB765" i="3" a="1"/>
  <c r="AB765" i="3" s="1"/>
  <c r="AB768" i="3" a="1"/>
  <c r="AB768" i="3" s="1"/>
  <c r="AB771" i="3" a="1"/>
  <c r="AB771" i="3" s="1"/>
  <c r="AB774" i="3" a="1"/>
  <c r="AB774" i="3" s="1"/>
  <c r="AB823" i="3" a="1"/>
  <c r="AB823" i="3" s="1"/>
  <c r="AB851" i="3" a="1"/>
  <c r="AB851" i="3" s="1"/>
  <c r="AB864" i="3" a="1"/>
  <c r="AB864" i="3" s="1"/>
  <c r="AB874" i="3" a="1"/>
  <c r="AB874" i="3" s="1"/>
  <c r="AB877" i="3" a="1"/>
  <c r="AB877" i="3" s="1"/>
  <c r="AB880" i="3" a="1"/>
  <c r="AB880" i="3" s="1"/>
  <c r="AB883" i="3" a="1"/>
  <c r="AB883" i="3" s="1"/>
  <c r="AB886" i="3" a="1"/>
  <c r="AB886" i="3" s="1"/>
  <c r="AB889" i="3" a="1"/>
  <c r="AB889" i="3" s="1"/>
  <c r="AB892" i="3" a="1"/>
  <c r="AB892" i="3" s="1"/>
  <c r="AB929" i="3" a="1"/>
  <c r="AB929" i="3" s="1"/>
  <c r="AB953" i="3" a="1"/>
  <c r="AB953" i="3" s="1"/>
  <c r="AB962" i="3" a="1"/>
  <c r="AB962" i="3" s="1"/>
  <c r="AB965" i="3" a="1"/>
  <c r="AB965" i="3" s="1"/>
  <c r="AB968" i="3" a="1"/>
  <c r="AB968" i="3" s="1"/>
  <c r="AB971" i="3" a="1"/>
  <c r="AB971" i="3" s="1"/>
  <c r="AB13" i="3" a="1"/>
  <c r="AB13" i="3" s="1"/>
  <c r="AB28" i="3" a="1"/>
  <c r="AB28" i="3" s="1"/>
  <c r="AB40" i="3" a="1"/>
  <c r="AB40" i="3" s="1"/>
  <c r="AB52" i="3" a="1"/>
  <c r="AB52" i="3" s="1"/>
  <c r="AB64" i="3" a="1"/>
  <c r="AB64" i="3" s="1"/>
  <c r="AB71" i="3" a="1"/>
  <c r="AB71" i="3" s="1"/>
  <c r="AB83" i="3" a="1"/>
  <c r="AB83" i="3" s="1"/>
  <c r="AB95" i="3" a="1"/>
  <c r="AB95" i="3" s="1"/>
  <c r="AB154" i="3" a="1"/>
  <c r="AB154" i="3" s="1"/>
  <c r="AB155" i="3" a="1"/>
  <c r="AB155" i="3" s="1"/>
  <c r="AB156" i="3" a="1"/>
  <c r="AB156" i="3" s="1"/>
  <c r="AB157" i="3" a="1"/>
  <c r="AB157" i="3" s="1"/>
  <c r="AB158" i="3" a="1"/>
  <c r="AB158" i="3" s="1"/>
  <c r="AB159" i="3" a="1"/>
  <c r="AB159" i="3" s="1"/>
  <c r="AB258" i="3" a="1"/>
  <c r="AB258" i="3" s="1"/>
  <c r="AB259" i="3" a="1"/>
  <c r="AB259" i="3" s="1"/>
  <c r="AB260" i="3" a="1"/>
  <c r="AB260" i="3" s="1"/>
  <c r="AB261" i="3" a="1"/>
  <c r="AB261" i="3" s="1"/>
  <c r="AB262" i="3" a="1"/>
  <c r="AB262" i="3" s="1"/>
  <c r="AB263" i="3" a="1"/>
  <c r="AB263" i="3" s="1"/>
  <c r="AB264" i="3" a="1"/>
  <c r="AB264" i="3" s="1"/>
  <c r="AB265" i="3" a="1"/>
  <c r="AB265" i="3" s="1"/>
  <c r="AB266" i="3" a="1"/>
  <c r="AB266" i="3" s="1"/>
  <c r="AB334" i="3" a="1"/>
  <c r="AB334" i="3" s="1"/>
  <c r="AB335" i="3" a="1"/>
  <c r="AB335" i="3" s="1"/>
  <c r="AB336" i="3" a="1"/>
  <c r="AB336" i="3" s="1"/>
  <c r="AB337" i="3" a="1"/>
  <c r="AB337" i="3" s="1"/>
  <c r="AB338" i="3" a="1"/>
  <c r="AB338" i="3" s="1"/>
  <c r="AB339" i="3" a="1"/>
  <c r="AB339" i="3" s="1"/>
  <c r="AB445" i="3" a="1"/>
  <c r="AB445" i="3" s="1"/>
  <c r="AB446" i="3" a="1"/>
  <c r="AB446" i="3" s="1"/>
  <c r="AB447" i="3" a="1"/>
  <c r="AB447" i="3" s="1"/>
  <c r="AB448" i="3" a="1"/>
  <c r="AB448" i="3" s="1"/>
  <c r="AB449" i="3" a="1"/>
  <c r="AB449" i="3" s="1"/>
  <c r="AB450" i="3" a="1"/>
  <c r="AB450" i="3" s="1"/>
  <c r="AB451" i="3" a="1"/>
  <c r="AB451" i="3" s="1"/>
  <c r="AB452" i="3" a="1"/>
  <c r="AB452" i="3" s="1"/>
  <c r="AB453" i="3" a="1"/>
  <c r="AB453" i="3" s="1"/>
  <c r="AB454" i="3" a="1"/>
  <c r="AB454" i="3" s="1"/>
  <c r="AB526" i="3" a="1"/>
  <c r="AB526" i="3" s="1"/>
  <c r="AB527" i="3" a="1"/>
  <c r="AB527" i="3" s="1"/>
  <c r="AB528" i="3" a="1"/>
  <c r="AB528" i="3" s="1"/>
  <c r="AB529" i="3" a="1"/>
  <c r="AB529" i="3" s="1"/>
  <c r="AB530" i="3" a="1"/>
  <c r="AB530" i="3" s="1"/>
  <c r="AB531" i="3" a="1"/>
  <c r="AB531" i="3" s="1"/>
  <c r="AB619" i="3" a="1"/>
  <c r="AB619" i="3" s="1"/>
  <c r="AB620" i="3" a="1"/>
  <c r="AB620" i="3" s="1"/>
  <c r="AB621" i="3" a="1"/>
  <c r="AB621" i="3" s="1"/>
  <c r="AB622" i="3" a="1"/>
  <c r="AB622" i="3" s="1"/>
  <c r="AB623" i="3" a="1"/>
  <c r="AB623" i="3" s="1"/>
  <c r="AB624" i="3" a="1"/>
  <c r="AB624" i="3" s="1"/>
  <c r="AB625" i="3" a="1"/>
  <c r="AB625" i="3" s="1"/>
  <c r="AB626" i="3" a="1"/>
  <c r="AB626" i="3" s="1"/>
  <c r="AB667" i="3" a="1"/>
  <c r="AB667" i="3" s="1"/>
  <c r="AB672" i="3" a="1"/>
  <c r="AB672" i="3" s="1"/>
  <c r="AB677" i="3" a="1"/>
  <c r="AB677" i="3" s="1"/>
  <c r="AB682" i="3" a="1"/>
  <c r="AB682" i="3" s="1"/>
  <c r="AB775" i="3" a="1"/>
  <c r="AB775" i="3" s="1"/>
  <c r="AB776" i="3" a="1"/>
  <c r="AB776" i="3" s="1"/>
  <c r="AB777" i="3" a="1"/>
  <c r="AB777" i="3" s="1"/>
  <c r="AB778" i="3" a="1"/>
  <c r="AB778" i="3" s="1"/>
  <c r="AB779" i="3" a="1"/>
  <c r="AB779" i="3" s="1"/>
  <c r="AB780" i="3" a="1"/>
  <c r="AB780" i="3" s="1"/>
  <c r="AB781" i="3" a="1"/>
  <c r="AB781" i="3" s="1"/>
  <c r="AB782" i="3" a="1"/>
  <c r="AB782" i="3" s="1"/>
  <c r="AB783" i="3" a="1"/>
  <c r="AB783" i="3" s="1"/>
  <c r="AB893" i="3" a="1"/>
  <c r="AB893" i="3" s="1"/>
  <c r="AB894" i="3" a="1"/>
  <c r="AB894" i="3" s="1"/>
  <c r="AB895" i="3" a="1"/>
  <c r="AB895" i="3" s="1"/>
  <c r="AB896" i="3" a="1"/>
  <c r="AB896" i="3" s="1"/>
  <c r="AB897" i="3" a="1"/>
  <c r="AB897" i="3" s="1"/>
  <c r="AB898" i="3" a="1"/>
  <c r="AB898" i="3" s="1"/>
  <c r="AB899" i="3" a="1"/>
  <c r="AB899" i="3" s="1"/>
  <c r="AB900" i="3" a="1"/>
  <c r="AB900" i="3" s="1"/>
  <c r="AB901" i="3" a="1"/>
  <c r="AB901" i="3" s="1"/>
  <c r="AB902" i="3" a="1"/>
  <c r="AB902" i="3" s="1"/>
  <c r="AB972" i="3" a="1"/>
  <c r="AB972" i="3" s="1"/>
  <c r="AB973" i="3" a="1"/>
  <c r="AB973" i="3" s="1"/>
  <c r="AB974" i="3" a="1"/>
  <c r="AB974" i="3" s="1"/>
  <c r="AB975" i="3" a="1"/>
  <c r="AB975" i="3" s="1"/>
  <c r="AB976" i="3" a="1"/>
  <c r="AB976" i="3" s="1"/>
  <c r="AB977" i="3" a="1"/>
  <c r="AB977" i="3" s="1"/>
  <c r="AB14" i="3" a="1"/>
  <c r="AB14" i="3" s="1"/>
  <c r="AB29" i="3" a="1"/>
  <c r="AB29" i="3" s="1"/>
  <c r="AB41" i="3" a="1"/>
  <c r="AB41" i="3" s="1"/>
  <c r="AB53" i="3" a="1"/>
  <c r="AB53" i="3" s="1"/>
  <c r="AB65" i="3" a="1"/>
  <c r="AB65" i="3" s="1"/>
  <c r="AB72" i="3" a="1"/>
  <c r="AB72" i="3" s="1"/>
  <c r="AB84" i="3" a="1"/>
  <c r="AB84" i="3" s="1"/>
  <c r="AB96" i="3" a="1"/>
  <c r="AB96" i="3" s="1"/>
  <c r="AB160" i="3" a="1"/>
  <c r="AB160" i="3" s="1"/>
  <c r="AB161" i="3" a="1"/>
  <c r="AB161" i="3" s="1"/>
  <c r="AB162" i="3" a="1"/>
  <c r="AB162" i="3" s="1"/>
  <c r="AB163" i="3" a="1"/>
  <c r="AB163" i="3" s="1"/>
  <c r="AB164" i="3" a="1"/>
  <c r="AB164" i="3" s="1"/>
  <c r="AB165" i="3" a="1"/>
  <c r="AB165" i="3" s="1"/>
  <c r="AB267" i="3" a="1"/>
  <c r="AB267" i="3" s="1"/>
  <c r="AB268" i="3" a="1"/>
  <c r="AB268" i="3" s="1"/>
  <c r="AB271" i="3" a="1"/>
  <c r="AB271" i="3" s="1"/>
  <c r="AB272" i="3" a="1"/>
  <c r="AB272" i="3" s="1"/>
  <c r="AB273" i="3" a="1"/>
  <c r="AB273" i="3" s="1"/>
  <c r="AB274" i="3" a="1"/>
  <c r="AB274" i="3" s="1"/>
  <c r="AB275" i="3" a="1"/>
  <c r="AB275" i="3" s="1"/>
  <c r="AB276" i="3" a="1"/>
  <c r="AB276" i="3" s="1"/>
  <c r="AB277" i="3" a="1"/>
  <c r="AB277" i="3" s="1"/>
  <c r="AB340" i="3" a="1"/>
  <c r="AB340" i="3" s="1"/>
  <c r="AB341" i="3" a="1"/>
  <c r="AB341" i="3" s="1"/>
  <c r="AB342" i="3" a="1"/>
  <c r="AB342" i="3" s="1"/>
  <c r="AB343" i="3" a="1"/>
  <c r="AB343" i="3" s="1"/>
  <c r="AB344" i="3" a="1"/>
  <c r="AB344" i="3" s="1"/>
  <c r="AB345" i="3" a="1"/>
  <c r="AB345" i="3" s="1"/>
  <c r="AB455" i="3" a="1"/>
  <c r="AB455" i="3" s="1"/>
  <c r="AB456" i="3" a="1"/>
  <c r="AB456" i="3" s="1"/>
  <c r="AB457" i="3" a="1"/>
  <c r="AB457" i="3" s="1"/>
  <c r="AB458" i="3" a="1"/>
  <c r="AB458" i="3" s="1"/>
  <c r="AB459" i="3" a="1"/>
  <c r="AB459" i="3" s="1"/>
  <c r="AB460" i="3" a="1"/>
  <c r="AB460" i="3" s="1"/>
  <c r="AB461" i="3" a="1"/>
  <c r="AB461" i="3" s="1"/>
  <c r="AB462" i="3" a="1"/>
  <c r="AB462" i="3" s="1"/>
  <c r="AB463" i="3" a="1"/>
  <c r="AB463" i="3" s="1"/>
  <c r="AB464" i="3" a="1"/>
  <c r="AB464" i="3" s="1"/>
  <c r="AB532" i="3" a="1"/>
  <c r="AB532" i="3" s="1"/>
  <c r="AB533" i="3" a="1"/>
  <c r="AB533" i="3" s="1"/>
  <c r="AB534" i="3" a="1"/>
  <c r="AB534" i="3" s="1"/>
  <c r="AB535" i="3" a="1"/>
  <c r="AB535" i="3" s="1"/>
  <c r="AB536" i="3" a="1"/>
  <c r="AB536" i="3" s="1"/>
  <c r="AB537" i="3" a="1"/>
  <c r="AB537" i="3" s="1"/>
  <c r="AB627" i="3" a="1"/>
  <c r="AB627" i="3" s="1"/>
  <c r="AB628" i="3" a="1"/>
  <c r="AB628" i="3" s="1"/>
  <c r="AB629" i="3" a="1"/>
  <c r="AB629" i="3" s="1"/>
  <c r="AB630" i="3" a="1"/>
  <c r="AB630" i="3" s="1"/>
  <c r="AB631" i="3" a="1"/>
  <c r="AB631" i="3" s="1"/>
  <c r="AB632" i="3" a="1"/>
  <c r="AB632" i="3" s="1"/>
  <c r="AB633" i="3" a="1"/>
  <c r="AB633" i="3" s="1"/>
  <c r="AB634" i="3" a="1"/>
  <c r="AB634" i="3" s="1"/>
  <c r="AB668" i="3" a="1"/>
  <c r="AB668" i="3" s="1"/>
  <c r="AB673" i="3" a="1"/>
  <c r="AB673" i="3" s="1"/>
  <c r="AB678" i="3" a="1"/>
  <c r="AB678" i="3" s="1"/>
  <c r="AB683" i="3" a="1"/>
  <c r="AB683" i="3" s="1"/>
  <c r="AB784" i="3" a="1"/>
  <c r="AB784" i="3" s="1"/>
  <c r="AB785" i="3" a="1"/>
  <c r="AB785" i="3" s="1"/>
  <c r="AB786" i="3" a="1"/>
  <c r="AB786" i="3" s="1"/>
  <c r="AB787" i="3" a="1"/>
  <c r="AB787" i="3" s="1"/>
  <c r="AB788" i="3" a="1"/>
  <c r="AB788" i="3" s="1"/>
  <c r="AB789" i="3" a="1"/>
  <c r="AB789" i="3" s="1"/>
  <c r="AB790" i="3" a="1"/>
  <c r="AB790" i="3" s="1"/>
  <c r="AB791" i="3" a="1"/>
  <c r="AB791" i="3" s="1"/>
  <c r="AB792" i="3" a="1"/>
  <c r="AB792" i="3" s="1"/>
  <c r="AB903" i="3" a="1"/>
  <c r="AB903" i="3" s="1"/>
  <c r="AB904" i="3" a="1"/>
  <c r="AB904" i="3" s="1"/>
  <c r="AB905" i="3" a="1"/>
  <c r="AB905" i="3" s="1"/>
  <c r="AB906" i="3" a="1"/>
  <c r="AB906" i="3" s="1"/>
  <c r="AB907" i="3" a="1"/>
  <c r="AB907" i="3" s="1"/>
  <c r="AB908" i="3" a="1"/>
  <c r="AB908" i="3" s="1"/>
  <c r="AB909" i="3" a="1"/>
  <c r="AB909" i="3" s="1"/>
  <c r="AB910" i="3" a="1"/>
  <c r="AB910" i="3" s="1"/>
  <c r="AB911" i="3" a="1"/>
  <c r="AB911" i="3" s="1"/>
  <c r="AB912" i="3" a="1"/>
  <c r="AB912" i="3" s="1"/>
  <c r="AB978" i="3" a="1"/>
  <c r="AB978" i="3" s="1"/>
  <c r="AB979" i="3" a="1"/>
  <c r="AB979" i="3" s="1"/>
  <c r="AB980" i="3" a="1"/>
  <c r="AB980" i="3" s="1"/>
  <c r="AB981" i="3" a="1"/>
  <c r="AB981" i="3" s="1"/>
  <c r="AB982" i="3" a="1"/>
  <c r="AB982" i="3" s="1"/>
  <c r="AB983" i="3" a="1"/>
  <c r="AB983" i="3" s="1"/>
  <c r="L102" i="16" l="1"/>
  <c r="M102" i="16" s="1"/>
  <c r="L104" i="16"/>
  <c r="M104" i="16" s="1"/>
  <c r="L103" i="16"/>
  <c r="M103" i="16" s="1"/>
  <c r="V213" i="3" l="1"/>
  <c r="X213" i="3" s="1"/>
  <c r="V211" i="3"/>
  <c r="X211" i="3" s="1"/>
  <c r="V192" i="3"/>
  <c r="X192" i="3" s="1"/>
  <c r="V190" i="3"/>
  <c r="X190" i="3" s="1"/>
  <c r="L4" i="15" l="1"/>
  <c r="L122" i="16"/>
  <c r="M122" i="16" s="1"/>
  <c r="L123" i="16"/>
  <c r="M123" i="16" s="1"/>
  <c r="L124" i="16"/>
  <c r="M124" i="16" s="1"/>
  <c r="V398" i="3" l="1"/>
  <c r="O124" i="17" l="1"/>
  <c r="Y119" i="17" l="1"/>
  <c r="U119" i="17"/>
  <c r="O119" i="17"/>
  <c r="L119" i="17"/>
  <c r="Y122" i="17"/>
  <c r="U122" i="17"/>
  <c r="T122" i="17"/>
  <c r="O122" i="17"/>
  <c r="L122" i="17"/>
  <c r="Y124" i="17" l="1"/>
  <c r="U124" i="17"/>
  <c r="T124" i="17"/>
  <c r="L124" i="17"/>
  <c r="Y121" i="17"/>
  <c r="U121" i="17"/>
  <c r="T121" i="17"/>
  <c r="O121" i="17"/>
  <c r="L121" i="17"/>
  <c r="Y120" i="17"/>
  <c r="U120" i="17"/>
  <c r="T120" i="17"/>
  <c r="O120" i="17"/>
  <c r="L120" i="17"/>
  <c r="O188" i="17" l="1"/>
  <c r="O189" i="17"/>
  <c r="L197" i="17"/>
  <c r="L190" i="17"/>
  <c r="L189" i="17"/>
  <c r="L175" i="17"/>
  <c r="L174" i="17"/>
  <c r="T189" i="17"/>
  <c r="U189" i="17"/>
  <c r="Y189" i="17"/>
  <c r="T188" i="17"/>
  <c r="U188" i="17"/>
  <c r="Y188" i="17"/>
  <c r="Y185" i="17"/>
  <c r="U185" i="17"/>
  <c r="T185" i="17"/>
  <c r="O185" i="17"/>
  <c r="L185" i="17"/>
  <c r="Y187" i="17"/>
  <c r="U187" i="17"/>
  <c r="T187" i="17"/>
  <c r="O187" i="17"/>
  <c r="O186" i="17" l="1"/>
  <c r="T186" i="17"/>
  <c r="U186" i="17"/>
  <c r="Y186" i="17"/>
  <c r="O190" i="17"/>
  <c r="T190" i="17"/>
  <c r="U190" i="17"/>
  <c r="Y190" i="17"/>
  <c r="L288" i="17" l="1"/>
  <c r="O288" i="17"/>
  <c r="T288" i="17"/>
  <c r="U288" i="17"/>
  <c r="Y288" i="17"/>
  <c r="L285" i="17"/>
  <c r="O285" i="17"/>
  <c r="T285" i="17"/>
  <c r="U285" i="17"/>
  <c r="Y285" i="17"/>
  <c r="S251" i="3"/>
  <c r="S238" i="3"/>
  <c r="M238" i="3" l="1"/>
  <c r="O287" i="17"/>
  <c r="L287" i="17"/>
  <c r="L286" i="17"/>
  <c r="O286" i="17"/>
  <c r="T286" i="17"/>
  <c r="U286" i="17"/>
  <c r="Y286" i="17"/>
  <c r="Y284" i="17"/>
  <c r="U284" i="17"/>
  <c r="T284" i="17"/>
  <c r="O284" i="17"/>
  <c r="L284" i="17"/>
  <c r="L62" i="17" l="1"/>
  <c r="O62" i="17"/>
  <c r="T62" i="17"/>
  <c r="U62" i="17"/>
  <c r="Y62" i="17"/>
  <c r="L63" i="17"/>
  <c r="O63" i="17"/>
  <c r="T63" i="17"/>
  <c r="U63" i="17"/>
  <c r="Y63" i="17"/>
  <c r="L64" i="17"/>
  <c r="O64" i="17"/>
  <c r="T64" i="17"/>
  <c r="U64" i="17"/>
  <c r="Y64" i="17"/>
  <c r="L65" i="17"/>
  <c r="O65" i="17"/>
  <c r="T65" i="17"/>
  <c r="U65" i="17"/>
  <c r="Y65" i="17"/>
  <c r="L66" i="17"/>
  <c r="O66" i="17"/>
  <c r="T66" i="17"/>
  <c r="U66" i="17"/>
  <c r="Y66" i="17"/>
  <c r="L67" i="17"/>
  <c r="O67" i="17"/>
  <c r="T67" i="17"/>
  <c r="U67" i="17"/>
  <c r="Y67" i="17"/>
  <c r="L68" i="17"/>
  <c r="O68" i="17"/>
  <c r="T68" i="17"/>
  <c r="U68" i="17"/>
  <c r="Y68" i="17"/>
  <c r="L87" i="15" l="1"/>
  <c r="V544" i="3" l="1"/>
  <c r="J43" i="15" l="1"/>
  <c r="K43" i="15" s="1"/>
  <c r="N43" i="15"/>
  <c r="Q43" i="15"/>
  <c r="R43" i="15" s="1"/>
  <c r="V742" i="3" l="1"/>
  <c r="S233" i="3" l="1"/>
  <c r="S235" i="3"/>
  <c r="S237" i="3"/>
  <c r="L340" i="17"/>
  <c r="O340" i="17"/>
  <c r="T340" i="17"/>
  <c r="U340" i="17"/>
  <c r="Y340" i="17"/>
  <c r="L341" i="17"/>
  <c r="O341" i="17"/>
  <c r="T341" i="17"/>
  <c r="U341" i="17"/>
  <c r="Y341" i="17"/>
  <c r="L342" i="17"/>
  <c r="O342" i="17"/>
  <c r="T342" i="17"/>
  <c r="U342" i="17"/>
  <c r="Y342" i="17"/>
  <c r="L343" i="17"/>
  <c r="O343" i="17"/>
  <c r="T343" i="17"/>
  <c r="U343" i="17"/>
  <c r="Y343" i="17"/>
  <c r="L349" i="17"/>
  <c r="O349" i="17"/>
  <c r="T349" i="17"/>
  <c r="U349" i="17"/>
  <c r="Y349" i="17"/>
  <c r="L127" i="17"/>
  <c r="O127" i="17"/>
  <c r="T127" i="17"/>
  <c r="U127" i="17"/>
  <c r="Y127" i="17"/>
  <c r="L24" i="15" l="1"/>
  <c r="L105" i="16"/>
  <c r="M105" i="16" s="1"/>
  <c r="L107" i="16"/>
  <c r="M107" i="16" s="1"/>
  <c r="L108" i="16"/>
  <c r="M108" i="16" s="1"/>
  <c r="L109" i="16"/>
  <c r="M109" i="16" s="1"/>
  <c r="L110" i="16"/>
  <c r="M110" i="16" s="1"/>
  <c r="L111" i="16"/>
  <c r="M111" i="16" s="1"/>
  <c r="L116" i="16"/>
  <c r="M116" i="16" s="1"/>
  <c r="L117" i="16"/>
  <c r="M117" i="16" s="1"/>
  <c r="L118" i="16"/>
  <c r="M118" i="16" s="1"/>
  <c r="L119" i="16"/>
  <c r="M119" i="16" s="1"/>
  <c r="L120" i="16"/>
  <c r="M120" i="16" s="1"/>
  <c r="L121" i="16"/>
  <c r="M121" i="16" s="1"/>
  <c r="O126" i="3"/>
  <c r="O132" i="3"/>
  <c r="O110" i="3"/>
  <c r="J337" i="17"/>
  <c r="L337" i="17" s="1"/>
  <c r="L336" i="17"/>
  <c r="AK822" i="3" l="1"/>
  <c r="AJ822" i="3"/>
  <c r="V822" i="3"/>
  <c r="AL822" i="3" s="1"/>
  <c r="J42" i="15" l="1"/>
  <c r="K42" i="15" s="1"/>
  <c r="N42" i="15"/>
  <c r="Q42" i="15"/>
  <c r="R42" i="15" s="1"/>
  <c r="H37" i="11"/>
  <c r="H41" i="11"/>
  <c r="H42" i="11"/>
  <c r="H43" i="11"/>
  <c r="H36" i="11"/>
  <c r="H38" i="11"/>
  <c r="H39" i="11"/>
  <c r="H40" i="11"/>
  <c r="H51" i="11"/>
  <c r="H56" i="11"/>
  <c r="H57" i="11"/>
  <c r="H58" i="11"/>
  <c r="H59" i="11"/>
  <c r="H60" i="11"/>
  <c r="H61" i="11"/>
  <c r="J24" i="15" l="1"/>
  <c r="K24" i="15" s="1"/>
  <c r="N24" i="15"/>
  <c r="Q24" i="15"/>
  <c r="R24" i="15" s="1"/>
  <c r="J2" i="15"/>
  <c r="H75" i="11"/>
  <c r="H74" i="11"/>
  <c r="H73" i="11"/>
  <c r="H72" i="11"/>
  <c r="H71" i="11"/>
  <c r="H70" i="11"/>
  <c r="H69" i="11"/>
  <c r="H68" i="11"/>
  <c r="H67" i="11"/>
  <c r="H66" i="11"/>
  <c r="H65" i="11"/>
  <c r="P487" i="3" l="1"/>
  <c r="H64" i="11" l="1"/>
  <c r="H63" i="11"/>
  <c r="H62" i="11"/>
  <c r="H55" i="11"/>
  <c r="M54" i="15" l="1"/>
  <c r="M55" i="15"/>
  <c r="J79" i="15" l="1"/>
  <c r="K79" i="15" s="1"/>
  <c r="N79" i="15"/>
  <c r="Q79" i="15"/>
  <c r="R79" i="15" s="1"/>
  <c r="J60" i="15" l="1"/>
  <c r="K60" i="15" s="1"/>
  <c r="N60" i="15"/>
  <c r="Q60" i="15"/>
  <c r="R60" i="15" s="1"/>
  <c r="J16" i="15" l="1"/>
  <c r="K16" i="15" s="1"/>
  <c r="N16" i="15"/>
  <c r="Q16" i="15"/>
  <c r="R16" i="15" s="1"/>
  <c r="J11" i="15" l="1"/>
  <c r="K11" i="15" s="1"/>
  <c r="N11" i="15"/>
  <c r="Q11" i="15"/>
  <c r="R11" i="15" s="1"/>
  <c r="V282" i="3" l="1"/>
  <c r="G67" i="3" l="1"/>
  <c r="L49" i="15" l="1"/>
  <c r="L82" i="16"/>
  <c r="M82" i="16" s="1"/>
  <c r="L85" i="16"/>
  <c r="M85" i="16" s="1"/>
  <c r="V276" i="3"/>
  <c r="AL276" i="3" s="1"/>
  <c r="AJ276" i="3"/>
  <c r="AK276" i="3"/>
  <c r="AK252" i="3"/>
  <c r="AJ252" i="3"/>
  <c r="AK239" i="3"/>
  <c r="AJ239" i="3"/>
  <c r="AL239" i="3" l="1"/>
  <c r="X239" i="3"/>
  <c r="AL252" i="3"/>
  <c r="X252" i="3"/>
  <c r="L59" i="15"/>
  <c r="L2" i="16"/>
  <c r="M2" i="16" s="1"/>
  <c r="L3" i="16"/>
  <c r="M3" i="16" s="1"/>
  <c r="L4" i="16"/>
  <c r="M4" i="16" s="1"/>
  <c r="L5" i="16"/>
  <c r="M5" i="16" s="1"/>
  <c r="L6" i="16"/>
  <c r="M6" i="16" s="1"/>
  <c r="L7" i="16"/>
  <c r="M7" i="16" s="1"/>
  <c r="L8" i="16"/>
  <c r="M8" i="16" s="1"/>
  <c r="L9" i="16"/>
  <c r="M9" i="16" s="1"/>
  <c r="L10" i="16"/>
  <c r="M10" i="16" s="1"/>
  <c r="L11" i="16"/>
  <c r="M11" i="16" s="1"/>
  <c r="L12" i="16"/>
  <c r="M12" i="16" s="1"/>
  <c r="L13" i="16"/>
  <c r="M13" i="16" s="1"/>
  <c r="L14" i="16"/>
  <c r="M14" i="16" s="1"/>
  <c r="L15" i="16"/>
  <c r="M15" i="16" s="1"/>
  <c r="L16" i="16"/>
  <c r="M16" i="16" s="1"/>
  <c r="L17" i="16"/>
  <c r="M17" i="16" s="1"/>
  <c r="L18" i="16"/>
  <c r="M18" i="16" s="1"/>
  <c r="L19" i="16"/>
  <c r="M19" i="16" s="1"/>
  <c r="L20" i="16"/>
  <c r="M20" i="16" s="1"/>
  <c r="L21" i="16"/>
  <c r="M21" i="16" s="1"/>
  <c r="L22" i="16"/>
  <c r="M22" i="16" s="1"/>
  <c r="L23" i="16"/>
  <c r="M23" i="16" s="1"/>
  <c r="J24" i="16"/>
  <c r="L24" i="16" s="1"/>
  <c r="M24" i="16" s="1"/>
  <c r="L26" i="16"/>
  <c r="M26" i="16" s="1"/>
  <c r="L27" i="16"/>
  <c r="M27" i="16" s="1"/>
  <c r="L28" i="16"/>
  <c r="M28" i="16" s="1"/>
  <c r="L29" i="16"/>
  <c r="M29" i="16" s="1"/>
  <c r="L30" i="16"/>
  <c r="M30" i="16" s="1"/>
  <c r="L31" i="16"/>
  <c r="M31" i="16" s="1"/>
  <c r="L32" i="16"/>
  <c r="M32" i="16" s="1"/>
  <c r="L33" i="16"/>
  <c r="M33" i="16" s="1"/>
  <c r="L34" i="16"/>
  <c r="M34" i="16" s="1"/>
  <c r="L35" i="16"/>
  <c r="M35" i="16" s="1"/>
  <c r="L36" i="16"/>
  <c r="M36" i="16" s="1"/>
  <c r="L37" i="16"/>
  <c r="M37" i="16" s="1"/>
  <c r="L38" i="16"/>
  <c r="M38" i="16" s="1"/>
  <c r="L39" i="16"/>
  <c r="M39" i="16" s="1"/>
  <c r="L40" i="16"/>
  <c r="M40" i="16" s="1"/>
  <c r="L41" i="16"/>
  <c r="M41" i="16" s="1"/>
  <c r="L42" i="16"/>
  <c r="M42" i="16" s="1"/>
  <c r="L43" i="16"/>
  <c r="M43" i="16" s="1"/>
  <c r="L44" i="16"/>
  <c r="M44" i="16" s="1"/>
  <c r="L45" i="16"/>
  <c r="M45" i="16" s="1"/>
  <c r="L46" i="16"/>
  <c r="M46" i="16" s="1"/>
  <c r="L47" i="16"/>
  <c r="M47" i="16" s="1"/>
  <c r="L48" i="16"/>
  <c r="M48" i="16" s="1"/>
  <c r="L49" i="16"/>
  <c r="M49" i="16" s="1"/>
  <c r="L50" i="16"/>
  <c r="M50" i="16" s="1"/>
  <c r="L51" i="16"/>
  <c r="M51" i="16" s="1"/>
  <c r="L52" i="16"/>
  <c r="M52" i="16" s="1"/>
  <c r="L53" i="16"/>
  <c r="M53" i="16" s="1"/>
  <c r="L54" i="16"/>
  <c r="M54" i="16" s="1"/>
  <c r="L55" i="16"/>
  <c r="M55" i="16" s="1"/>
  <c r="L56" i="16"/>
  <c r="M56" i="16" s="1"/>
  <c r="L57" i="16"/>
  <c r="M57" i="16" s="1"/>
  <c r="L58" i="16"/>
  <c r="M58" i="16" s="1"/>
  <c r="L59" i="16"/>
  <c r="M59" i="16" s="1"/>
  <c r="L60" i="16"/>
  <c r="M60" i="16" s="1"/>
  <c r="L61" i="16"/>
  <c r="M61" i="16" s="1"/>
  <c r="L62" i="16"/>
  <c r="M62" i="16" s="1"/>
  <c r="L63" i="16"/>
  <c r="M63" i="16" s="1"/>
  <c r="L64" i="16"/>
  <c r="M64" i="16" s="1"/>
  <c r="L65" i="16"/>
  <c r="M65" i="16" s="1"/>
  <c r="L66" i="16"/>
  <c r="M66" i="16" s="1"/>
  <c r="L67" i="16"/>
  <c r="M67" i="16" s="1"/>
  <c r="L68" i="16"/>
  <c r="M68" i="16" s="1"/>
  <c r="L69" i="16"/>
  <c r="M69" i="16" s="1"/>
  <c r="L70" i="16"/>
  <c r="M70" i="16" s="1"/>
  <c r="L71" i="16"/>
  <c r="M71" i="16" s="1"/>
  <c r="L72" i="16"/>
  <c r="M72" i="16" s="1"/>
  <c r="L73" i="16"/>
  <c r="M73" i="16" s="1"/>
  <c r="L74" i="16"/>
  <c r="M74" i="16" s="1"/>
  <c r="L75" i="16"/>
  <c r="M75" i="16" s="1"/>
  <c r="L76" i="16"/>
  <c r="M76" i="16" s="1"/>
  <c r="L77" i="16"/>
  <c r="M77" i="16" s="1"/>
  <c r="L78" i="16"/>
  <c r="M78" i="16" s="1"/>
  <c r="L79" i="16"/>
  <c r="M79" i="16" s="1"/>
  <c r="L80" i="16"/>
  <c r="M80" i="16" s="1"/>
  <c r="L81" i="16"/>
  <c r="M81" i="16" s="1"/>
  <c r="L83" i="16"/>
  <c r="M83" i="16" s="1"/>
  <c r="L84" i="16"/>
  <c r="M84" i="16" s="1"/>
  <c r="L86" i="16"/>
  <c r="M86" i="16" s="1"/>
  <c r="L87" i="16"/>
  <c r="M87" i="16" s="1"/>
  <c r="L88" i="16"/>
  <c r="M88" i="16" s="1"/>
  <c r="L89" i="16"/>
  <c r="M89" i="16" s="1"/>
  <c r="L90" i="16"/>
  <c r="M90" i="16" s="1"/>
  <c r="L91" i="16"/>
  <c r="M91" i="16" s="1"/>
  <c r="L92" i="16"/>
  <c r="M92" i="16" s="1"/>
  <c r="L93" i="16"/>
  <c r="M93" i="16" s="1"/>
  <c r="L94" i="16"/>
  <c r="M94" i="16" s="1"/>
  <c r="L95" i="16"/>
  <c r="M95" i="16" s="1"/>
  <c r="L96" i="16"/>
  <c r="M96" i="16" s="1"/>
  <c r="L97" i="16"/>
  <c r="M97" i="16" s="1"/>
  <c r="L98" i="16"/>
  <c r="M98" i="16" s="1"/>
  <c r="L99" i="16"/>
  <c r="M99" i="16" s="1"/>
  <c r="L100" i="16"/>
  <c r="M100" i="16" s="1"/>
  <c r="L101" i="16"/>
  <c r="M101" i="16" s="1"/>
  <c r="Y964" i="3" l="1"/>
  <c r="Y961" i="3"/>
  <c r="T951" i="3"/>
  <c r="L3" i="15" l="1"/>
  <c r="P390" i="3"/>
  <c r="O414" i="3"/>
  <c r="AD319" i="3" l="1"/>
  <c r="AC918" i="3" l="1"/>
  <c r="AC950" i="3"/>
  <c r="AD950" i="3"/>
  <c r="AD918" i="3"/>
  <c r="AC958" i="3" l="1"/>
  <c r="AD958" i="3"/>
  <c r="AC957" i="3"/>
  <c r="AD957" i="3"/>
  <c r="L179" i="17" l="1"/>
  <c r="O179" i="17"/>
  <c r="T179" i="17"/>
  <c r="U179" i="17"/>
  <c r="Y179" i="17"/>
  <c r="L180" i="17"/>
  <c r="O180" i="17"/>
  <c r="T180" i="17"/>
  <c r="U180" i="17"/>
  <c r="Y180" i="17"/>
  <c r="O197" i="17"/>
  <c r="T197" i="17"/>
  <c r="U197" i="17"/>
  <c r="Y197" i="17"/>
  <c r="O336" i="17"/>
  <c r="T336" i="17"/>
  <c r="U336" i="17"/>
  <c r="Y336" i="17"/>
  <c r="O337" i="17"/>
  <c r="T337" i="17"/>
  <c r="U337" i="17"/>
  <c r="Y337" i="17"/>
  <c r="L338" i="17"/>
  <c r="O338" i="17"/>
  <c r="T338" i="17"/>
  <c r="U338" i="17"/>
  <c r="Y338" i="17"/>
  <c r="L339" i="17"/>
  <c r="O339" i="17"/>
  <c r="T339" i="17"/>
  <c r="U339" i="17"/>
  <c r="Y339" i="17"/>
  <c r="AJ961" i="3" l="1"/>
  <c r="AJ960" i="3"/>
  <c r="AJ951" i="3"/>
  <c r="AJ950" i="3"/>
  <c r="AJ949" i="3"/>
  <c r="AJ948" i="3"/>
  <c r="AJ945" i="3"/>
  <c r="AJ939" i="3"/>
  <c r="AJ938" i="3"/>
  <c r="AJ979" i="3"/>
  <c r="AJ973" i="3"/>
  <c r="AJ953" i="3"/>
  <c r="AJ952" i="3"/>
  <c r="AJ936" i="3"/>
  <c r="AJ872" i="3"/>
  <c r="AJ957" i="3"/>
  <c r="AJ959" i="3"/>
  <c r="AJ956" i="3"/>
  <c r="AJ955" i="3"/>
  <c r="AJ954" i="3"/>
  <c r="AJ978" i="3"/>
  <c r="AJ972" i="3"/>
  <c r="AJ929" i="3"/>
  <c r="AJ921" i="3"/>
  <c r="AJ919" i="3"/>
  <c r="AJ947" i="3"/>
  <c r="AJ946" i="3"/>
  <c r="AJ944" i="3"/>
  <c r="AJ943" i="3"/>
  <c r="AJ942" i="3"/>
  <c r="P958" i="3" l="1"/>
  <c r="M958" i="3"/>
  <c r="AJ958" i="3" s="1"/>
  <c r="M61" i="17" l="1"/>
  <c r="L55" i="17" l="1"/>
  <c r="O55" i="17"/>
  <c r="T55" i="17"/>
  <c r="U55" i="17"/>
  <c r="Y55" i="17"/>
  <c r="L56" i="17"/>
  <c r="O56" i="17"/>
  <c r="T56" i="17"/>
  <c r="U56" i="17"/>
  <c r="Y56" i="17"/>
  <c r="L57" i="17"/>
  <c r="O57" i="17"/>
  <c r="T57" i="17"/>
  <c r="U57" i="17"/>
  <c r="Y57" i="17"/>
  <c r="L58" i="17"/>
  <c r="O58" i="17"/>
  <c r="T58" i="17"/>
  <c r="U58" i="17"/>
  <c r="Y58" i="17"/>
  <c r="L59" i="17"/>
  <c r="O59" i="17"/>
  <c r="T59" i="17"/>
  <c r="U59" i="17"/>
  <c r="Y59" i="17"/>
  <c r="L60" i="17"/>
  <c r="O60" i="17"/>
  <c r="T60" i="17"/>
  <c r="U60" i="17"/>
  <c r="Y60" i="17"/>
  <c r="AK950" i="3" l="1"/>
  <c r="AK958" i="3"/>
  <c r="L15" i="15"/>
  <c r="L72" i="15" l="1"/>
  <c r="L19" i="15" l="1"/>
  <c r="L18" i="15"/>
  <c r="J18" i="15"/>
  <c r="P237" i="3" l="1"/>
  <c r="M237" i="3"/>
  <c r="AC225" i="3" l="1"/>
  <c r="AD225" i="3"/>
  <c r="J72" i="15" l="1"/>
  <c r="K72" i="15" s="1"/>
  <c r="N72" i="15"/>
  <c r="Q72" i="15"/>
  <c r="R72" i="15" s="1"/>
  <c r="H54" i="11" l="1"/>
  <c r="H53" i="11"/>
  <c r="H52" i="11"/>
  <c r="H50" i="11"/>
  <c r="H49" i="11"/>
  <c r="H48" i="11"/>
  <c r="H47" i="11"/>
  <c r="H46" i="11"/>
  <c r="H45" i="11"/>
  <c r="H44" i="11"/>
  <c r="H35" i="11"/>
  <c r="AK857" i="3"/>
  <c r="AJ857" i="3"/>
  <c r="V857" i="3"/>
  <c r="AL857" i="3" s="1"/>
  <c r="N849" i="3"/>
  <c r="O849" i="3"/>
  <c r="P849" i="3" l="1"/>
  <c r="J79" i="17"/>
  <c r="L79" i="17" s="1"/>
  <c r="J72" i="17"/>
  <c r="L72" i="17" s="1"/>
  <c r="J71" i="17"/>
  <c r="L71" i="17" s="1"/>
  <c r="J70" i="17"/>
  <c r="L70" i="17" s="1"/>
  <c r="J69" i="17"/>
  <c r="O69" i="17"/>
  <c r="T69" i="17"/>
  <c r="U69" i="17"/>
  <c r="Y69" i="17"/>
  <c r="O70" i="17"/>
  <c r="T70" i="17"/>
  <c r="U70" i="17"/>
  <c r="Y70" i="17"/>
  <c r="O71" i="17"/>
  <c r="T71" i="17"/>
  <c r="U71" i="17"/>
  <c r="Y71" i="17"/>
  <c r="O72" i="17"/>
  <c r="T72" i="17"/>
  <c r="U72" i="17"/>
  <c r="Y72" i="17"/>
  <c r="O79" i="17"/>
  <c r="T79" i="17"/>
  <c r="U79" i="17"/>
  <c r="Y79" i="17"/>
  <c r="L61" i="17"/>
  <c r="O61" i="17"/>
  <c r="T61" i="17"/>
  <c r="U61" i="17"/>
  <c r="Y61" i="17"/>
  <c r="L69" i="17" l="1"/>
  <c r="P494" i="3"/>
  <c r="Q498" i="3"/>
  <c r="P12" i="3"/>
  <c r="M102" i="3"/>
  <c r="M140" i="3"/>
  <c r="L335" i="17" l="1"/>
  <c r="O335" i="17"/>
  <c r="T335" i="17"/>
  <c r="U335" i="17"/>
  <c r="Y335" i="17"/>
  <c r="L331" i="17" l="1"/>
  <c r="O331" i="17"/>
  <c r="T331" i="17"/>
  <c r="U331" i="17"/>
  <c r="Y331" i="17"/>
  <c r="L332" i="17"/>
  <c r="O332" i="17"/>
  <c r="T332" i="17"/>
  <c r="U332" i="17"/>
  <c r="Y332" i="17"/>
  <c r="L333" i="17"/>
  <c r="O333" i="17"/>
  <c r="T333" i="17"/>
  <c r="U333" i="17"/>
  <c r="Y333" i="17"/>
  <c r="V206" i="3" l="1"/>
  <c r="X206" i="3" s="1"/>
  <c r="H34" i="11"/>
  <c r="H32" i="11"/>
  <c r="H33" i="11"/>
  <c r="H28" i="11"/>
  <c r="H31" i="11"/>
  <c r="H30" i="11"/>
  <c r="H29" i="11"/>
  <c r="H27" i="11"/>
  <c r="H26" i="11"/>
  <c r="H25" i="11"/>
  <c r="H24" i="11"/>
  <c r="H23" i="11"/>
  <c r="H22" i="11"/>
  <c r="H21" i="11"/>
  <c r="H18" i="11"/>
  <c r="H17" i="11"/>
  <c r="H19" i="11"/>
  <c r="H20" i="11"/>
  <c r="H16" i="11"/>
  <c r="H15" i="11"/>
  <c r="H14" i="11"/>
  <c r="H13" i="11"/>
  <c r="H12" i="11"/>
  <c r="H11" i="11"/>
  <c r="H10" i="11"/>
  <c r="H9" i="11"/>
  <c r="H8" i="11"/>
  <c r="H7" i="11"/>
  <c r="H6" i="11"/>
  <c r="H5" i="11"/>
  <c r="H4" i="11"/>
  <c r="H3" i="11"/>
  <c r="H2" i="11"/>
  <c r="Q59" i="15"/>
  <c r="R59" i="15" s="1"/>
  <c r="N59" i="15"/>
  <c r="J59" i="15"/>
  <c r="K59" i="15" s="1"/>
  <c r="Q78" i="15"/>
  <c r="R78" i="15" s="1"/>
  <c r="N78" i="15"/>
  <c r="J78" i="15"/>
  <c r="K78" i="15" s="1"/>
  <c r="Q77" i="15"/>
  <c r="R77" i="15" s="1"/>
  <c r="N77" i="15"/>
  <c r="J77" i="15"/>
  <c r="K77" i="15" s="1"/>
  <c r="Q58" i="15"/>
  <c r="R58" i="15" s="1"/>
  <c r="N58" i="15"/>
  <c r="J58" i="15"/>
  <c r="K58" i="15" s="1"/>
  <c r="Q57" i="15"/>
  <c r="R57" i="15" s="1"/>
  <c r="N57" i="15"/>
  <c r="J57" i="15"/>
  <c r="K57" i="15" s="1"/>
  <c r="Q63" i="15"/>
  <c r="R63" i="15" s="1"/>
  <c r="J63" i="15"/>
  <c r="Q41" i="15"/>
  <c r="R41" i="15" s="1"/>
  <c r="N41" i="15"/>
  <c r="J41" i="15"/>
  <c r="K41" i="15" s="1"/>
  <c r="Q40" i="15"/>
  <c r="R40" i="15" s="1"/>
  <c r="N40" i="15"/>
  <c r="J40" i="15"/>
  <c r="K40" i="15" s="1"/>
  <c r="Q39" i="15"/>
  <c r="R39" i="15" s="1"/>
  <c r="N39" i="15"/>
  <c r="J39" i="15"/>
  <c r="K39" i="15" s="1"/>
  <c r="Q38" i="15"/>
  <c r="R38" i="15" s="1"/>
  <c r="N38" i="15"/>
  <c r="J38" i="15"/>
  <c r="K38" i="15" s="1"/>
  <c r="Q37" i="15"/>
  <c r="R37" i="15" s="1"/>
  <c r="N37" i="15"/>
  <c r="J37" i="15"/>
  <c r="K37" i="15" s="1"/>
  <c r="Q36" i="15"/>
  <c r="R36" i="15" s="1"/>
  <c r="N36" i="15"/>
  <c r="J36" i="15"/>
  <c r="K36" i="15" s="1"/>
  <c r="Q10" i="15"/>
  <c r="R10" i="15" s="1"/>
  <c r="N10" i="15"/>
  <c r="J10" i="15"/>
  <c r="K10" i="15" s="1"/>
  <c r="Q56" i="15"/>
  <c r="R56" i="15" s="1"/>
  <c r="N56" i="15"/>
  <c r="J56" i="15"/>
  <c r="K56" i="15" s="1"/>
  <c r="Q71" i="15"/>
  <c r="R71" i="15" s="1"/>
  <c r="N71" i="15"/>
  <c r="J71" i="15"/>
  <c r="K71" i="15" s="1"/>
  <c r="Q49" i="15"/>
  <c r="R49" i="15" s="1"/>
  <c r="N49" i="15"/>
  <c r="J49" i="15"/>
  <c r="K49" i="15" s="1"/>
  <c r="Q62" i="15"/>
  <c r="R62" i="15" s="1"/>
  <c r="N62" i="15"/>
  <c r="J62" i="15"/>
  <c r="K62" i="15" s="1"/>
  <c r="Q48" i="15"/>
  <c r="R48" i="15" s="1"/>
  <c r="J48" i="15"/>
  <c r="K48" i="15" s="1"/>
  <c r="Q47" i="15"/>
  <c r="R47" i="15" s="1"/>
  <c r="J47" i="15"/>
  <c r="Q70" i="15"/>
  <c r="R70" i="15" s="1"/>
  <c r="N70" i="15"/>
  <c r="J70" i="15"/>
  <c r="K70" i="15" s="1"/>
  <c r="Q69" i="15"/>
  <c r="R69" i="15" s="1"/>
  <c r="N69" i="15"/>
  <c r="J69" i="15"/>
  <c r="K69" i="15" s="1"/>
  <c r="Q68" i="15"/>
  <c r="R68" i="15" s="1"/>
  <c r="N68" i="15"/>
  <c r="J68" i="15"/>
  <c r="K68" i="15" s="1"/>
  <c r="Q67" i="15"/>
  <c r="R67" i="15" s="1"/>
  <c r="N67" i="15"/>
  <c r="J67" i="15"/>
  <c r="K67" i="15" s="1"/>
  <c r="Q66" i="15"/>
  <c r="R66" i="15" s="1"/>
  <c r="N66" i="15"/>
  <c r="J66" i="15"/>
  <c r="K66" i="15" s="1"/>
  <c r="Q65" i="15"/>
  <c r="R65" i="15" s="1"/>
  <c r="N65" i="15"/>
  <c r="J65" i="15"/>
  <c r="K65" i="15" s="1"/>
  <c r="P61" i="15"/>
  <c r="Q61" i="15" s="1"/>
  <c r="R61" i="15" s="1"/>
  <c r="N61" i="15"/>
  <c r="J61" i="15"/>
  <c r="K61" i="15" s="1"/>
  <c r="Q55" i="15"/>
  <c r="R55" i="15" s="1"/>
  <c r="N55" i="15"/>
  <c r="J55" i="15"/>
  <c r="K55" i="15" s="1"/>
  <c r="Q54" i="15"/>
  <c r="R54" i="15" s="1"/>
  <c r="N54" i="15"/>
  <c r="J54" i="15"/>
  <c r="K54" i="15" s="1"/>
  <c r="Q52" i="15"/>
  <c r="R52" i="15" s="1"/>
  <c r="N52" i="15"/>
  <c r="J52" i="15"/>
  <c r="K52" i="15" s="1"/>
  <c r="P23" i="15"/>
  <c r="Q23" i="15" s="1"/>
  <c r="R23" i="15" s="1"/>
  <c r="N23" i="15"/>
  <c r="J23" i="15"/>
  <c r="K23" i="15" s="1"/>
  <c r="Q22" i="15"/>
  <c r="R22" i="15" s="1"/>
  <c r="N22" i="15"/>
  <c r="I22" i="15"/>
  <c r="J22" i="15" s="1"/>
  <c r="K22" i="15" s="1"/>
  <c r="P21" i="15"/>
  <c r="Q21" i="15" s="1"/>
  <c r="R21" i="15" s="1"/>
  <c r="N21" i="15"/>
  <c r="J21" i="15"/>
  <c r="K21" i="15" s="1"/>
  <c r="Q20" i="15"/>
  <c r="R20" i="15" s="1"/>
  <c r="N20" i="15"/>
  <c r="I20" i="15"/>
  <c r="J20" i="15" s="1"/>
  <c r="K20" i="15" s="1"/>
  <c r="Q19" i="15"/>
  <c r="R19" i="15" s="1"/>
  <c r="N19" i="15"/>
  <c r="J19" i="15"/>
  <c r="K19" i="15" s="1"/>
  <c r="Q9" i="15"/>
  <c r="R9" i="15" s="1"/>
  <c r="N9" i="15"/>
  <c r="J9" i="15"/>
  <c r="K9" i="15" s="1"/>
  <c r="Q8" i="15"/>
  <c r="R8" i="15" s="1"/>
  <c r="N8" i="15"/>
  <c r="J8" i="15"/>
  <c r="K8" i="15" s="1"/>
  <c r="Q18" i="15"/>
  <c r="R18" i="15" s="1"/>
  <c r="N18" i="15"/>
  <c r="K18" i="15"/>
  <c r="Q15" i="15"/>
  <c r="R15" i="15" s="1"/>
  <c r="N15" i="15"/>
  <c r="J15" i="15"/>
  <c r="K15" i="15" s="1"/>
  <c r="Q7" i="15"/>
  <c r="R7" i="15" s="1"/>
  <c r="N7" i="15"/>
  <c r="J7" i="15"/>
  <c r="K7" i="15" s="1"/>
  <c r="Q6" i="15"/>
  <c r="R6" i="15" s="1"/>
  <c r="N6" i="15"/>
  <c r="J6" i="15"/>
  <c r="K6" i="15" s="1"/>
  <c r="Q5" i="15"/>
  <c r="R5" i="15" s="1"/>
  <c r="N5" i="15"/>
  <c r="J5" i="15"/>
  <c r="K5" i="15" s="1"/>
  <c r="Q14" i="15"/>
  <c r="R14" i="15" s="1"/>
  <c r="N14" i="15"/>
  <c r="J14" i="15"/>
  <c r="K14" i="15" s="1"/>
  <c r="Q13" i="15"/>
  <c r="R13" i="15" s="1"/>
  <c r="N13" i="15"/>
  <c r="J13" i="15"/>
  <c r="K13" i="15" s="1"/>
  <c r="Q4" i="15"/>
  <c r="R4" i="15" s="1"/>
  <c r="N4" i="15"/>
  <c r="J4" i="15"/>
  <c r="K4" i="15" s="1"/>
  <c r="Q89" i="15"/>
  <c r="R89" i="15" s="1"/>
  <c r="N89" i="15"/>
  <c r="J89" i="15"/>
  <c r="K89" i="15" s="1"/>
  <c r="Q88" i="15"/>
  <c r="R88" i="15" s="1"/>
  <c r="N88" i="15"/>
  <c r="J88" i="15"/>
  <c r="K88" i="15" s="1"/>
  <c r="Q87" i="15"/>
  <c r="R87" i="15" s="1"/>
  <c r="N87" i="15"/>
  <c r="J87" i="15"/>
  <c r="K87" i="15" s="1"/>
  <c r="Q76" i="15"/>
  <c r="R76" i="15" s="1"/>
  <c r="N76" i="15"/>
  <c r="J76" i="15"/>
  <c r="K76" i="15" s="1"/>
  <c r="Q75" i="15"/>
  <c r="R75" i="15" s="1"/>
  <c r="N75" i="15"/>
  <c r="J75" i="15"/>
  <c r="K75" i="15" s="1"/>
  <c r="Q46" i="15"/>
  <c r="R46" i="15" s="1"/>
  <c r="L46" i="15"/>
  <c r="N46" i="15" s="1"/>
  <c r="J46" i="15"/>
  <c r="K46" i="15" s="1"/>
  <c r="Q45" i="15"/>
  <c r="R45" i="15" s="1"/>
  <c r="L45" i="15"/>
  <c r="N45" i="15" s="1"/>
  <c r="J45" i="15"/>
  <c r="K45" i="15" s="1"/>
  <c r="Q74" i="15"/>
  <c r="R74" i="15" s="1"/>
  <c r="L74" i="15"/>
  <c r="N74" i="15" s="1"/>
  <c r="J74" i="15"/>
  <c r="K74" i="15" s="1"/>
  <c r="Q86" i="15"/>
  <c r="R86" i="15" s="1"/>
  <c r="N86" i="15"/>
  <c r="J86" i="15"/>
  <c r="K86" i="15" s="1"/>
  <c r="P73" i="15"/>
  <c r="Q73" i="15" s="1"/>
  <c r="R73" i="15" s="1"/>
  <c r="N73" i="15"/>
  <c r="J73" i="15"/>
  <c r="K73" i="15" s="1"/>
  <c r="P35" i="15"/>
  <c r="Q35" i="15" s="1"/>
  <c r="R35" i="15" s="1"/>
  <c r="L35" i="15"/>
  <c r="N35" i="15" s="1"/>
  <c r="J35" i="15"/>
  <c r="K35" i="15" s="1"/>
  <c r="Q64" i="15"/>
  <c r="R64" i="15" s="1"/>
  <c r="L64" i="15"/>
  <c r="N64" i="15" s="1"/>
  <c r="J64" i="15"/>
  <c r="K64" i="15" s="1"/>
  <c r="Q85" i="15"/>
  <c r="R85" i="15" s="1"/>
  <c r="N85" i="15"/>
  <c r="J85" i="15"/>
  <c r="K85" i="15" s="1"/>
  <c r="Q84" i="15"/>
  <c r="R84" i="15" s="1"/>
  <c r="N84" i="15"/>
  <c r="J84" i="15"/>
  <c r="K84" i="15" s="1"/>
  <c r="P50" i="15"/>
  <c r="Q50" i="15" s="1"/>
  <c r="R50" i="15" s="1"/>
  <c r="N50" i="15"/>
  <c r="J50" i="15"/>
  <c r="K50" i="15" s="1"/>
  <c r="P44" i="15"/>
  <c r="Q44" i="15" s="1"/>
  <c r="R44" i="15" s="1"/>
  <c r="N44" i="15"/>
  <c r="J44" i="15"/>
  <c r="K44" i="15" s="1"/>
  <c r="Q34" i="15"/>
  <c r="R34" i="15" s="1"/>
  <c r="L34" i="15"/>
  <c r="N34" i="15" s="1"/>
  <c r="J34" i="15"/>
  <c r="K34" i="15" s="1"/>
  <c r="Q33" i="15"/>
  <c r="R33" i="15" s="1"/>
  <c r="L33" i="15"/>
  <c r="N33" i="15" s="1"/>
  <c r="J33" i="15"/>
  <c r="K33" i="15" s="1"/>
  <c r="P32" i="15"/>
  <c r="Q32" i="15" s="1"/>
  <c r="R32" i="15" s="1"/>
  <c r="N32" i="15"/>
  <c r="J32" i="15"/>
  <c r="K32" i="15" s="1"/>
  <c r="Q31" i="15"/>
  <c r="R31" i="15" s="1"/>
  <c r="N31" i="15"/>
  <c r="J31" i="15"/>
  <c r="K31" i="15" s="1"/>
  <c r="P30" i="15"/>
  <c r="Q30" i="15" s="1"/>
  <c r="R30" i="15" s="1"/>
  <c r="N30" i="15"/>
  <c r="J30" i="15"/>
  <c r="K30" i="15" s="1"/>
  <c r="P29" i="15"/>
  <c r="Q29" i="15" s="1"/>
  <c r="R29" i="15" s="1"/>
  <c r="N29" i="15"/>
  <c r="J29" i="15"/>
  <c r="K29" i="15" s="1"/>
  <c r="Q28" i="15"/>
  <c r="R28" i="15" s="1"/>
  <c r="N28" i="15"/>
  <c r="J28" i="15"/>
  <c r="K28" i="15" s="1"/>
  <c r="P27" i="15"/>
  <c r="Q27" i="15" s="1"/>
  <c r="R27" i="15" s="1"/>
  <c r="N27" i="15"/>
  <c r="J27" i="15"/>
  <c r="K27" i="15" s="1"/>
  <c r="Q26" i="15"/>
  <c r="R26" i="15" s="1"/>
  <c r="N26" i="15"/>
  <c r="J26" i="15"/>
  <c r="K26" i="15" s="1"/>
  <c r="Q25" i="15"/>
  <c r="R25" i="15" s="1"/>
  <c r="N25" i="15"/>
  <c r="J25" i="15"/>
  <c r="K25" i="15" s="1"/>
  <c r="P17" i="15"/>
  <c r="Q17" i="15" s="1"/>
  <c r="R17" i="15" s="1"/>
  <c r="J17" i="15"/>
  <c r="M17" i="15" s="1"/>
  <c r="L17" i="15" s="1"/>
  <c r="N17" i="15" s="1"/>
  <c r="Q83" i="15"/>
  <c r="R83" i="15" s="1"/>
  <c r="N83" i="15"/>
  <c r="J83" i="15"/>
  <c r="K83" i="15" s="1"/>
  <c r="Q82" i="15"/>
  <c r="R82" i="15" s="1"/>
  <c r="N82" i="15"/>
  <c r="J82" i="15"/>
  <c r="K82" i="15" s="1"/>
  <c r="P12" i="15"/>
  <c r="Q12" i="15" s="1"/>
  <c r="R12" i="15" s="1"/>
  <c r="N12" i="15"/>
  <c r="J12" i="15"/>
  <c r="K12" i="15" s="1"/>
  <c r="P3" i="15"/>
  <c r="Q3" i="15" s="1"/>
  <c r="R3" i="15" s="1"/>
  <c r="N3" i="15"/>
  <c r="J3" i="15"/>
  <c r="K3" i="15" s="1"/>
  <c r="Q2" i="15"/>
  <c r="R2" i="15" s="1"/>
  <c r="N2" i="15"/>
  <c r="K2" i="15"/>
  <c r="Y330" i="17"/>
  <c r="U330" i="17"/>
  <c r="T330" i="17"/>
  <c r="O330" i="17"/>
  <c r="L330" i="17"/>
  <c r="Y329" i="17"/>
  <c r="U329" i="17"/>
  <c r="T329" i="17"/>
  <c r="O329" i="17"/>
  <c r="L329" i="17"/>
  <c r="Y328" i="17"/>
  <c r="U328" i="17"/>
  <c r="T328" i="17"/>
  <c r="O328" i="17"/>
  <c r="J328" i="17"/>
  <c r="Y359" i="17"/>
  <c r="U359" i="17"/>
  <c r="T359" i="17"/>
  <c r="O359" i="17"/>
  <c r="L359" i="17"/>
  <c r="Y366" i="17"/>
  <c r="U366" i="17"/>
  <c r="T366" i="17"/>
  <c r="O366" i="17"/>
  <c r="L366" i="17"/>
  <c r="Y354" i="17"/>
  <c r="U354" i="17"/>
  <c r="T354" i="17"/>
  <c r="O354" i="17"/>
  <c r="L354" i="17"/>
  <c r="Y290" i="17"/>
  <c r="U290" i="17"/>
  <c r="T290" i="17"/>
  <c r="O289" i="17"/>
  <c r="L289" i="17"/>
  <c r="Y289" i="17"/>
  <c r="U289" i="17"/>
  <c r="T289" i="17"/>
  <c r="O290" i="17"/>
  <c r="L290" i="17"/>
  <c r="Y283" i="17"/>
  <c r="U283" i="17"/>
  <c r="T283" i="17"/>
  <c r="O283" i="17"/>
  <c r="L283" i="17"/>
  <c r="Y126" i="17"/>
  <c r="U126" i="17"/>
  <c r="T126" i="17"/>
  <c r="O126" i="17"/>
  <c r="L126" i="17"/>
  <c r="Y327" i="17"/>
  <c r="U327" i="17"/>
  <c r="T327" i="17"/>
  <c r="O327" i="17"/>
  <c r="J327" i="17"/>
  <c r="L327" i="17" s="1"/>
  <c r="Y323" i="17"/>
  <c r="U323" i="17"/>
  <c r="T323" i="17"/>
  <c r="O323" i="17"/>
  <c r="J323" i="17"/>
  <c r="L323" i="17" s="1"/>
  <c r="Y322" i="17"/>
  <c r="U322" i="17"/>
  <c r="T322" i="17"/>
  <c r="O322" i="17"/>
  <c r="J322" i="17"/>
  <c r="L322" i="17" s="1"/>
  <c r="Y321" i="17"/>
  <c r="U321" i="17"/>
  <c r="T321" i="17"/>
  <c r="O321" i="17"/>
  <c r="L321" i="17"/>
  <c r="Y229" i="17"/>
  <c r="U229" i="17"/>
  <c r="T229" i="17"/>
  <c r="O229" i="17"/>
  <c r="L229" i="17"/>
  <c r="Y228" i="17"/>
  <c r="U228" i="17"/>
  <c r="T228" i="17"/>
  <c r="O228" i="17"/>
  <c r="L228" i="17"/>
  <c r="Y223" i="17"/>
  <c r="U223" i="17"/>
  <c r="T223" i="17"/>
  <c r="O223" i="17"/>
  <c r="L223" i="17"/>
  <c r="Y222" i="17"/>
  <c r="U222" i="17"/>
  <c r="T222" i="17"/>
  <c r="O222" i="17"/>
  <c r="L222" i="17"/>
  <c r="Y221" i="17"/>
  <c r="U221" i="17"/>
  <c r="T221" i="17"/>
  <c r="O221" i="17"/>
  <c r="L221" i="17"/>
  <c r="Y220" i="17"/>
  <c r="U220" i="17"/>
  <c r="T220" i="17"/>
  <c r="O220" i="17"/>
  <c r="L220" i="17"/>
  <c r="Y219" i="17"/>
  <c r="U219" i="17"/>
  <c r="T219" i="17"/>
  <c r="O219" i="17"/>
  <c r="L219" i="17"/>
  <c r="Y218" i="17"/>
  <c r="U218" i="17"/>
  <c r="T218" i="17"/>
  <c r="O218" i="17"/>
  <c r="L218" i="17"/>
  <c r="Y217" i="17"/>
  <c r="U217" i="17"/>
  <c r="T217" i="17"/>
  <c r="O217" i="17"/>
  <c r="L217" i="17"/>
  <c r="Y216" i="17"/>
  <c r="U216" i="17"/>
  <c r="T216" i="17"/>
  <c r="O216" i="17"/>
  <c r="L216" i="17"/>
  <c r="Y358" i="17"/>
  <c r="U358" i="17"/>
  <c r="T358" i="17"/>
  <c r="O358" i="17"/>
  <c r="L358" i="17"/>
  <c r="Y365" i="17"/>
  <c r="U365" i="17"/>
  <c r="T365" i="17"/>
  <c r="O365" i="17"/>
  <c r="L365" i="17"/>
  <c r="Y363" i="17"/>
  <c r="U363" i="17"/>
  <c r="T363" i="17"/>
  <c r="O363" i="17"/>
  <c r="L363" i="17"/>
  <c r="Y353" i="17"/>
  <c r="U353" i="17"/>
  <c r="T353" i="17"/>
  <c r="O353" i="17"/>
  <c r="L353" i="17"/>
  <c r="Y320" i="17"/>
  <c r="U320" i="17"/>
  <c r="T320" i="17"/>
  <c r="O320" i="17"/>
  <c r="J320" i="17"/>
  <c r="L320" i="17" s="1"/>
  <c r="Y319" i="17"/>
  <c r="U319" i="17"/>
  <c r="T319" i="17"/>
  <c r="O319" i="17"/>
  <c r="J319" i="17"/>
  <c r="L319" i="17" s="1"/>
  <c r="Y318" i="17"/>
  <c r="U318" i="17"/>
  <c r="T318" i="17"/>
  <c r="O318" i="17"/>
  <c r="J318" i="17"/>
  <c r="L318" i="17" s="1"/>
  <c r="Y54" i="17"/>
  <c r="U54" i="17"/>
  <c r="T54" i="17"/>
  <c r="O54" i="17"/>
  <c r="L54" i="17"/>
  <c r="Y53" i="17"/>
  <c r="U53" i="17"/>
  <c r="T53" i="17"/>
  <c r="O53" i="17"/>
  <c r="L53" i="17"/>
  <c r="Y52" i="17"/>
  <c r="U52" i="17"/>
  <c r="T52" i="17"/>
  <c r="O52" i="17"/>
  <c r="L52" i="17"/>
  <c r="Y51" i="17"/>
  <c r="U51" i="17"/>
  <c r="T51" i="17"/>
  <c r="O51" i="17"/>
  <c r="L51" i="17"/>
  <c r="Y50" i="17"/>
  <c r="U50" i="17"/>
  <c r="T50" i="17"/>
  <c r="O50" i="17"/>
  <c r="L50" i="17"/>
  <c r="Y49" i="17"/>
  <c r="U49" i="17"/>
  <c r="T49" i="17"/>
  <c r="O49" i="17"/>
  <c r="L49" i="17"/>
  <c r="Y215" i="17"/>
  <c r="U215" i="17"/>
  <c r="T215" i="17"/>
  <c r="O215" i="17"/>
  <c r="L215" i="17"/>
  <c r="Y317" i="17"/>
  <c r="U317" i="17"/>
  <c r="T317" i="17"/>
  <c r="O317" i="17"/>
  <c r="L317" i="17"/>
  <c r="Y178" i="17"/>
  <c r="U178" i="17"/>
  <c r="T178" i="17"/>
  <c r="O178" i="17"/>
  <c r="J178" i="17"/>
  <c r="L178" i="17" s="1"/>
  <c r="Y177" i="17"/>
  <c r="U177" i="17"/>
  <c r="T177" i="17"/>
  <c r="O177" i="17"/>
  <c r="J177" i="17"/>
  <c r="L177" i="17" s="1"/>
  <c r="Y176" i="17"/>
  <c r="U176" i="17"/>
  <c r="T176" i="17"/>
  <c r="O176" i="17"/>
  <c r="J176" i="17"/>
  <c r="L176" i="17" s="1"/>
  <c r="Y175" i="17"/>
  <c r="U175" i="17"/>
  <c r="T175" i="17"/>
  <c r="O175" i="17"/>
  <c r="Y174" i="17"/>
  <c r="U174" i="17"/>
  <c r="T174" i="17"/>
  <c r="O174" i="17"/>
  <c r="Y173" i="17"/>
  <c r="U173" i="17"/>
  <c r="T173" i="17"/>
  <c r="O173" i="17"/>
  <c r="J173" i="17"/>
  <c r="L173" i="17" s="1"/>
  <c r="Y282" i="17"/>
  <c r="U282" i="17"/>
  <c r="T282" i="17"/>
  <c r="O282" i="17"/>
  <c r="L282" i="17"/>
  <c r="Y281" i="17"/>
  <c r="U281" i="17"/>
  <c r="T281" i="17"/>
  <c r="O281" i="17"/>
  <c r="L281" i="17"/>
  <c r="U280" i="17"/>
  <c r="T280" i="17"/>
  <c r="O280" i="17"/>
  <c r="L280" i="17"/>
  <c r="Y316" i="17"/>
  <c r="U316" i="17"/>
  <c r="T316" i="17"/>
  <c r="O316" i="17"/>
  <c r="L316" i="17"/>
  <c r="Y315" i="17"/>
  <c r="U315" i="17"/>
  <c r="T315" i="17"/>
  <c r="O315" i="17"/>
  <c r="L315" i="17"/>
  <c r="Y172" i="17"/>
  <c r="U172" i="17"/>
  <c r="T172" i="17"/>
  <c r="O172" i="17"/>
  <c r="L172" i="17"/>
  <c r="Y171" i="17"/>
  <c r="U171" i="17"/>
  <c r="T171" i="17"/>
  <c r="O171" i="17"/>
  <c r="L171" i="17"/>
  <c r="Y170" i="17"/>
  <c r="U170" i="17"/>
  <c r="T170" i="17"/>
  <c r="O170" i="17"/>
  <c r="L170" i="17"/>
  <c r="Y169" i="17"/>
  <c r="U169" i="17"/>
  <c r="T169" i="17"/>
  <c r="O169" i="17"/>
  <c r="L169" i="17"/>
  <c r="Y168" i="17"/>
  <c r="U168" i="17"/>
  <c r="T168" i="17"/>
  <c r="O168" i="17"/>
  <c r="L168" i="17"/>
  <c r="Y167" i="17"/>
  <c r="U167" i="17"/>
  <c r="T167" i="17"/>
  <c r="O167" i="17"/>
  <c r="L167" i="17"/>
  <c r="Y166" i="17"/>
  <c r="U166" i="17"/>
  <c r="T166" i="17"/>
  <c r="O166" i="17"/>
  <c r="L166" i="17"/>
  <c r="Y165" i="17"/>
  <c r="U165" i="17"/>
  <c r="T165" i="17"/>
  <c r="O165" i="17"/>
  <c r="L165" i="17"/>
  <c r="Y164" i="17"/>
  <c r="U164" i="17"/>
  <c r="T164" i="17"/>
  <c r="O164" i="17"/>
  <c r="L164" i="17"/>
  <c r="Y163" i="17"/>
  <c r="U163" i="17"/>
  <c r="T163" i="17"/>
  <c r="O163" i="17"/>
  <c r="L163" i="17"/>
  <c r="Y162" i="17"/>
  <c r="U162" i="17"/>
  <c r="T162" i="17"/>
  <c r="O162" i="17"/>
  <c r="L162" i="17"/>
  <c r="Y161" i="17"/>
  <c r="U161" i="17"/>
  <c r="T161" i="17"/>
  <c r="O161" i="17"/>
  <c r="J161" i="17"/>
  <c r="L161" i="17" s="1"/>
  <c r="Y160" i="17"/>
  <c r="U160" i="17"/>
  <c r="T160" i="17"/>
  <c r="O160" i="17"/>
  <c r="L160" i="17"/>
  <c r="Y159" i="17"/>
  <c r="U159" i="17"/>
  <c r="T159" i="17"/>
  <c r="O159" i="17"/>
  <c r="L159" i="17"/>
  <c r="Y158" i="17"/>
  <c r="U158" i="17"/>
  <c r="T158" i="17"/>
  <c r="O158" i="17"/>
  <c r="L158" i="17"/>
  <c r="Y157" i="17"/>
  <c r="U157" i="17"/>
  <c r="T157" i="17"/>
  <c r="O157" i="17"/>
  <c r="L157" i="17"/>
  <c r="Y156" i="17"/>
  <c r="U156" i="17"/>
  <c r="T156" i="17"/>
  <c r="O156" i="17"/>
  <c r="L156" i="17"/>
  <c r="Y155" i="17"/>
  <c r="U155" i="17"/>
  <c r="T155" i="17"/>
  <c r="O155" i="17"/>
  <c r="L155" i="17"/>
  <c r="Y154" i="17"/>
  <c r="U154" i="17"/>
  <c r="T154" i="17"/>
  <c r="O154" i="17"/>
  <c r="L154" i="17"/>
  <c r="Y153" i="17"/>
  <c r="U153" i="17"/>
  <c r="T153" i="17"/>
  <c r="O153" i="17"/>
  <c r="L153" i="17"/>
  <c r="Y152" i="17"/>
  <c r="U152" i="17"/>
  <c r="T152" i="17"/>
  <c r="O152" i="17"/>
  <c r="L152" i="17"/>
  <c r="Y151" i="17"/>
  <c r="U151" i="17"/>
  <c r="T151" i="17"/>
  <c r="O151" i="17"/>
  <c r="L151" i="17"/>
  <c r="Y150" i="17"/>
  <c r="U150" i="17"/>
  <c r="T150" i="17"/>
  <c r="O150" i="17"/>
  <c r="L150" i="17"/>
  <c r="Y149" i="17"/>
  <c r="U149" i="17"/>
  <c r="T149" i="17"/>
  <c r="O149" i="17"/>
  <c r="L149" i="17"/>
  <c r="Y148" i="17"/>
  <c r="U148" i="17"/>
  <c r="T148" i="17"/>
  <c r="O148" i="17"/>
  <c r="L148" i="17"/>
  <c r="Y147" i="17"/>
  <c r="U147" i="17"/>
  <c r="T147" i="17"/>
  <c r="O147" i="17"/>
  <c r="L147" i="17"/>
  <c r="Y146" i="17"/>
  <c r="U146" i="17"/>
  <c r="T146" i="17"/>
  <c r="O146" i="17"/>
  <c r="L146" i="17"/>
  <c r="Y145" i="17"/>
  <c r="U145" i="17"/>
  <c r="T145" i="17"/>
  <c r="O145" i="17"/>
  <c r="L145" i="17"/>
  <c r="Y144" i="17"/>
  <c r="U144" i="17"/>
  <c r="T144" i="17"/>
  <c r="O144" i="17"/>
  <c r="J144" i="17"/>
  <c r="Y143" i="17"/>
  <c r="U143" i="17"/>
  <c r="T143" i="17"/>
  <c r="O143" i="17"/>
  <c r="L143" i="17"/>
  <c r="Y142" i="17"/>
  <c r="U142" i="17"/>
  <c r="T142" i="17"/>
  <c r="O142" i="17"/>
  <c r="L142" i="17"/>
  <c r="Y141" i="17"/>
  <c r="U141" i="17"/>
  <c r="T141" i="17"/>
  <c r="O141" i="17"/>
  <c r="L141" i="17"/>
  <c r="Y140" i="17"/>
  <c r="U140" i="17"/>
  <c r="T140" i="17"/>
  <c r="O140" i="17"/>
  <c r="L140" i="17"/>
  <c r="Y139" i="17"/>
  <c r="U139" i="17"/>
  <c r="T139" i="17"/>
  <c r="O139" i="17"/>
  <c r="L139" i="17"/>
  <c r="Y138" i="17"/>
  <c r="U138" i="17"/>
  <c r="T138" i="17"/>
  <c r="O138" i="17"/>
  <c r="L138" i="17"/>
  <c r="Y137" i="17"/>
  <c r="U137" i="17"/>
  <c r="T137" i="17"/>
  <c r="O137" i="17"/>
  <c r="J137" i="17"/>
  <c r="Y136" i="17"/>
  <c r="U136" i="17"/>
  <c r="T136" i="17"/>
  <c r="O136" i="17"/>
  <c r="L136" i="17"/>
  <c r="Y135" i="17"/>
  <c r="U135" i="17"/>
  <c r="T135" i="17"/>
  <c r="O135" i="17"/>
  <c r="L135" i="17"/>
  <c r="Y134" i="17"/>
  <c r="U134" i="17"/>
  <c r="T134" i="17"/>
  <c r="O134" i="17"/>
  <c r="L134" i="17"/>
  <c r="Y133" i="17"/>
  <c r="U133" i="17"/>
  <c r="T133" i="17"/>
  <c r="O133" i="17"/>
  <c r="L133" i="17"/>
  <c r="Y48" i="17"/>
  <c r="U48" i="17"/>
  <c r="T48" i="17"/>
  <c r="O48" i="17"/>
  <c r="L48" i="17"/>
  <c r="Y47" i="17"/>
  <c r="U47" i="17"/>
  <c r="T47" i="17"/>
  <c r="O47" i="17"/>
  <c r="L47" i="17"/>
  <c r="Y46" i="17"/>
  <c r="U46" i="17"/>
  <c r="T46" i="17"/>
  <c r="O46" i="17"/>
  <c r="L46" i="17"/>
  <c r="Y45" i="17"/>
  <c r="U45" i="17"/>
  <c r="T45" i="17"/>
  <c r="O45" i="17"/>
  <c r="L45" i="17"/>
  <c r="Y44" i="17"/>
  <c r="U44" i="17"/>
  <c r="T44" i="17"/>
  <c r="O44" i="17"/>
  <c r="L44" i="17"/>
  <c r="Y43" i="17"/>
  <c r="U43" i="17"/>
  <c r="T43" i="17"/>
  <c r="O43" i="17"/>
  <c r="L43" i="17"/>
  <c r="Y42" i="17"/>
  <c r="U42" i="17"/>
  <c r="T42" i="17"/>
  <c r="O42" i="17"/>
  <c r="L42" i="17"/>
  <c r="Y41" i="17"/>
  <c r="U41" i="17"/>
  <c r="T41" i="17"/>
  <c r="O41" i="17"/>
  <c r="L41" i="17"/>
  <c r="Y40" i="17"/>
  <c r="U40" i="17"/>
  <c r="T40" i="17"/>
  <c r="O40" i="17"/>
  <c r="L40" i="17"/>
  <c r="Y39" i="17"/>
  <c r="U39" i="17"/>
  <c r="T39" i="17"/>
  <c r="O39" i="17"/>
  <c r="L39" i="17"/>
  <c r="Y38" i="17"/>
  <c r="U38" i="17"/>
  <c r="T38" i="17"/>
  <c r="O38" i="17"/>
  <c r="L38" i="17"/>
  <c r="Y37" i="17"/>
  <c r="U37" i="17"/>
  <c r="T37" i="17"/>
  <c r="O37" i="17"/>
  <c r="L37" i="17"/>
  <c r="Y36" i="17"/>
  <c r="U36" i="17"/>
  <c r="T36" i="17"/>
  <c r="O36" i="17"/>
  <c r="L36" i="17"/>
  <c r="Y35" i="17"/>
  <c r="U35" i="17"/>
  <c r="T35" i="17"/>
  <c r="O35" i="17"/>
  <c r="L35" i="17"/>
  <c r="Y34" i="17"/>
  <c r="U34" i="17"/>
  <c r="T34" i="17"/>
  <c r="O34" i="17"/>
  <c r="L34" i="17"/>
  <c r="Y33" i="17"/>
  <c r="U33" i="17"/>
  <c r="T33" i="17"/>
  <c r="O33" i="17"/>
  <c r="L33" i="17"/>
  <c r="Y213" i="17"/>
  <c r="U213" i="17"/>
  <c r="T213" i="17"/>
  <c r="O213" i="17"/>
  <c r="L213" i="17"/>
  <c r="Y212" i="17"/>
  <c r="U212" i="17"/>
  <c r="T212" i="17"/>
  <c r="O212" i="17"/>
  <c r="L212" i="17"/>
  <c r="Y211" i="17"/>
  <c r="U211" i="17"/>
  <c r="T211" i="17"/>
  <c r="O211" i="17"/>
  <c r="L211" i="17"/>
  <c r="Y210" i="17"/>
  <c r="U210" i="17"/>
  <c r="T210" i="17"/>
  <c r="O210" i="17"/>
  <c r="L210" i="17"/>
  <c r="Y209" i="17"/>
  <c r="U209" i="17"/>
  <c r="T209" i="17"/>
  <c r="O209" i="17"/>
  <c r="L209" i="17"/>
  <c r="Y208" i="17"/>
  <c r="U208" i="17"/>
  <c r="T208" i="17"/>
  <c r="O208" i="17"/>
  <c r="L208" i="17"/>
  <c r="W279" i="17"/>
  <c r="Y279" i="17" s="1"/>
  <c r="U279" i="17"/>
  <c r="T279" i="17"/>
  <c r="O279" i="17"/>
  <c r="L279" i="17"/>
  <c r="W278" i="17"/>
  <c r="Y278" i="17" s="1"/>
  <c r="U278" i="17"/>
  <c r="T278" i="17"/>
  <c r="O278" i="17"/>
  <c r="L278" i="17"/>
  <c r="Y125" i="17"/>
  <c r="U125" i="17"/>
  <c r="T125" i="17"/>
  <c r="O125" i="17"/>
  <c r="L125" i="17"/>
  <c r="Y115" i="17"/>
  <c r="U115" i="17"/>
  <c r="T115" i="17"/>
  <c r="O115" i="17"/>
  <c r="L115" i="17"/>
  <c r="Y114" i="17"/>
  <c r="U114" i="17"/>
  <c r="T114" i="17"/>
  <c r="O114" i="17"/>
  <c r="L114" i="17"/>
  <c r="Y113" i="17"/>
  <c r="U113" i="17"/>
  <c r="T113" i="17"/>
  <c r="O113" i="17"/>
  <c r="L113" i="17"/>
  <c r="Y118" i="17"/>
  <c r="U118" i="17"/>
  <c r="T118" i="17"/>
  <c r="O118" i="17"/>
  <c r="L118" i="17"/>
  <c r="Y117" i="17"/>
  <c r="U117" i="17"/>
  <c r="T117" i="17"/>
  <c r="O117" i="17"/>
  <c r="L117" i="17"/>
  <c r="Y116" i="17"/>
  <c r="U116" i="17"/>
  <c r="T116" i="17"/>
  <c r="O116" i="17"/>
  <c r="L116" i="17"/>
  <c r="Y112" i="17"/>
  <c r="U112" i="17"/>
  <c r="T112" i="17"/>
  <c r="O112" i="17"/>
  <c r="L112" i="17"/>
  <c r="Y111" i="17"/>
  <c r="U111" i="17"/>
  <c r="T111" i="17"/>
  <c r="O111" i="17"/>
  <c r="L111" i="17"/>
  <c r="Y277" i="17"/>
  <c r="U277" i="17"/>
  <c r="T277" i="17"/>
  <c r="O277" i="17"/>
  <c r="L277" i="17"/>
  <c r="Y314" i="17"/>
  <c r="U314" i="17"/>
  <c r="T314" i="17"/>
  <c r="O314" i="17"/>
  <c r="L314" i="17"/>
  <c r="Y313" i="17"/>
  <c r="U313" i="17"/>
  <c r="T313" i="17"/>
  <c r="O313" i="17"/>
  <c r="L313" i="17"/>
  <c r="Y312" i="17"/>
  <c r="U312" i="17"/>
  <c r="T312" i="17"/>
  <c r="O312" i="17"/>
  <c r="L312" i="17"/>
  <c r="Y311" i="17"/>
  <c r="U311" i="17"/>
  <c r="T311" i="17"/>
  <c r="O311" i="17"/>
  <c r="L311" i="17"/>
  <c r="Y310" i="17"/>
  <c r="U310" i="17"/>
  <c r="T310" i="17"/>
  <c r="O310" i="17"/>
  <c r="L310" i="17"/>
  <c r="W309" i="17"/>
  <c r="Y309" i="17" s="1"/>
  <c r="U309" i="17"/>
  <c r="T309" i="17"/>
  <c r="O309" i="17"/>
  <c r="L309" i="17"/>
  <c r="Y357" i="17"/>
  <c r="U357" i="17"/>
  <c r="T357" i="17"/>
  <c r="O357" i="17"/>
  <c r="L357" i="17"/>
  <c r="Y362" i="17"/>
  <c r="U362" i="17"/>
  <c r="T362" i="17"/>
  <c r="O362" i="17"/>
  <c r="L362" i="17"/>
  <c r="Y364" i="17"/>
  <c r="U364" i="17"/>
  <c r="T364" i="17"/>
  <c r="O364" i="17"/>
  <c r="L364" i="17"/>
  <c r="Y352" i="17"/>
  <c r="U352" i="17"/>
  <c r="T352" i="17"/>
  <c r="O352" i="17"/>
  <c r="L352" i="17"/>
  <c r="Y276" i="17"/>
  <c r="U276" i="17"/>
  <c r="T276" i="17"/>
  <c r="O276" i="17"/>
  <c r="L276" i="17"/>
  <c r="Y275" i="17"/>
  <c r="U275" i="17"/>
  <c r="T275" i="17"/>
  <c r="O275" i="17"/>
  <c r="L275" i="17"/>
  <c r="Y274" i="17"/>
  <c r="U274" i="17"/>
  <c r="T274" i="17"/>
  <c r="O274" i="17"/>
  <c r="L274" i="17"/>
  <c r="Y273" i="17"/>
  <c r="U273" i="17"/>
  <c r="T273" i="17"/>
  <c r="O273" i="17"/>
  <c r="L273" i="17"/>
  <c r="Y272" i="17"/>
  <c r="U272" i="17"/>
  <c r="T272" i="17"/>
  <c r="O272" i="17"/>
  <c r="L272" i="17"/>
  <c r="Y271" i="17"/>
  <c r="U271" i="17"/>
  <c r="T271" i="17"/>
  <c r="O271" i="17"/>
  <c r="L271" i="17"/>
  <c r="Y270" i="17"/>
  <c r="U270" i="17"/>
  <c r="T270" i="17"/>
  <c r="O270" i="17"/>
  <c r="L270" i="17"/>
  <c r="Y269" i="17"/>
  <c r="U269" i="17"/>
  <c r="T269" i="17"/>
  <c r="O269" i="17"/>
  <c r="L269" i="17"/>
  <c r="Y268" i="17"/>
  <c r="U268" i="17"/>
  <c r="T268" i="17"/>
  <c r="O268" i="17"/>
  <c r="L268" i="17"/>
  <c r="Y267" i="17"/>
  <c r="U267" i="17"/>
  <c r="T267" i="17"/>
  <c r="O267" i="17"/>
  <c r="L267" i="17"/>
  <c r="Y266" i="17"/>
  <c r="U266" i="17"/>
  <c r="T266" i="17"/>
  <c r="O266" i="17"/>
  <c r="L266" i="17"/>
  <c r="Y265" i="17"/>
  <c r="U265" i="17"/>
  <c r="T265" i="17"/>
  <c r="O265" i="17"/>
  <c r="L265" i="17"/>
  <c r="Y207" i="17"/>
  <c r="U207" i="17"/>
  <c r="T207" i="17"/>
  <c r="O207" i="17"/>
  <c r="L207" i="17"/>
  <c r="Y32" i="17"/>
  <c r="U32" i="17"/>
  <c r="T32" i="17"/>
  <c r="O32" i="17"/>
  <c r="L32" i="17"/>
  <c r="Y31" i="17"/>
  <c r="U31" i="17"/>
  <c r="T31" i="17"/>
  <c r="O31" i="17"/>
  <c r="L31" i="17"/>
  <c r="Y30" i="17"/>
  <c r="U30" i="17"/>
  <c r="T30" i="17"/>
  <c r="O30" i="17"/>
  <c r="L30" i="17"/>
  <c r="Y29" i="17"/>
  <c r="U29" i="17"/>
  <c r="T29" i="17"/>
  <c r="O29" i="17"/>
  <c r="L29" i="17"/>
  <c r="Y28" i="17"/>
  <c r="U28" i="17"/>
  <c r="T28" i="17"/>
  <c r="O28" i="17"/>
  <c r="L28" i="17"/>
  <c r="Y27" i="17"/>
  <c r="U27" i="17"/>
  <c r="T27" i="17"/>
  <c r="O27" i="17"/>
  <c r="L27" i="17"/>
  <c r="Y26" i="17"/>
  <c r="U26" i="17"/>
  <c r="T26" i="17"/>
  <c r="O26" i="17"/>
  <c r="L26" i="17"/>
  <c r="Y25" i="17"/>
  <c r="U25" i="17"/>
  <c r="T25" i="17"/>
  <c r="O25" i="17"/>
  <c r="L25" i="17"/>
  <c r="Y24" i="17"/>
  <c r="U24" i="17"/>
  <c r="T24" i="17"/>
  <c r="O24" i="17"/>
  <c r="L24" i="17"/>
  <c r="Y23" i="17"/>
  <c r="U23" i="17"/>
  <c r="T23" i="17"/>
  <c r="O23" i="17"/>
  <c r="L23" i="17"/>
  <c r="Y22" i="17"/>
  <c r="U22" i="17"/>
  <c r="T22" i="17"/>
  <c r="O22" i="17"/>
  <c r="L22" i="17"/>
  <c r="Y21" i="17"/>
  <c r="U21" i="17"/>
  <c r="T21" i="17"/>
  <c r="O21" i="17"/>
  <c r="L21" i="17"/>
  <c r="Y20" i="17"/>
  <c r="U20" i="17"/>
  <c r="T20" i="17"/>
  <c r="O20" i="17"/>
  <c r="L20" i="17"/>
  <c r="Y19" i="17"/>
  <c r="U19" i="17"/>
  <c r="T19" i="17"/>
  <c r="O19" i="17"/>
  <c r="L19" i="17"/>
  <c r="Y18" i="17"/>
  <c r="U18" i="17"/>
  <c r="T18" i="17"/>
  <c r="O18" i="17"/>
  <c r="L18" i="17"/>
  <c r="Y17" i="17"/>
  <c r="U17" i="17"/>
  <c r="T17" i="17"/>
  <c r="O17" i="17"/>
  <c r="L17" i="17"/>
  <c r="Y16" i="17"/>
  <c r="U16" i="17"/>
  <c r="T16" i="17"/>
  <c r="O16" i="17"/>
  <c r="L16" i="17"/>
  <c r="Y110" i="17"/>
  <c r="U110" i="17"/>
  <c r="T110" i="17"/>
  <c r="O110" i="17"/>
  <c r="L110" i="17"/>
  <c r="Y109" i="17"/>
  <c r="U109" i="17"/>
  <c r="T109" i="17"/>
  <c r="O109" i="17"/>
  <c r="L109" i="17"/>
  <c r="Y108" i="17"/>
  <c r="U108" i="17"/>
  <c r="T108" i="17"/>
  <c r="O108" i="17"/>
  <c r="L108" i="17"/>
  <c r="Y107" i="17"/>
  <c r="U107" i="17"/>
  <c r="T107" i="17"/>
  <c r="O107" i="17"/>
  <c r="L107" i="17"/>
  <c r="Y106" i="17"/>
  <c r="U106" i="17"/>
  <c r="T106" i="17"/>
  <c r="O106" i="17"/>
  <c r="L106" i="17"/>
  <c r="Y105" i="17"/>
  <c r="U105" i="17"/>
  <c r="T105" i="17"/>
  <c r="O105" i="17"/>
  <c r="L105" i="17"/>
  <c r="Y104" i="17"/>
  <c r="U104" i="17"/>
  <c r="T104" i="17"/>
  <c r="O104" i="17"/>
  <c r="L104" i="17"/>
  <c r="Y103" i="17"/>
  <c r="U103" i="17"/>
  <c r="T103" i="17"/>
  <c r="O103" i="17"/>
  <c r="L103" i="17"/>
  <c r="Y102" i="17"/>
  <c r="U102" i="17"/>
  <c r="T102" i="17"/>
  <c r="O102" i="17"/>
  <c r="L102" i="17"/>
  <c r="Y101" i="17"/>
  <c r="U101" i="17"/>
  <c r="T101" i="17"/>
  <c r="O101" i="17"/>
  <c r="L101" i="17"/>
  <c r="Y100" i="17"/>
  <c r="U100" i="17"/>
  <c r="T100" i="17"/>
  <c r="O100" i="17"/>
  <c r="L100" i="17"/>
  <c r="Y99" i="17"/>
  <c r="U99" i="17"/>
  <c r="T99" i="17"/>
  <c r="O99" i="17"/>
  <c r="L99" i="17"/>
  <c r="Y98" i="17"/>
  <c r="U98" i="17"/>
  <c r="T98" i="17"/>
  <c r="O98" i="17"/>
  <c r="L98" i="17"/>
  <c r="Y97" i="17"/>
  <c r="U97" i="17"/>
  <c r="T97" i="17"/>
  <c r="O97" i="17"/>
  <c r="L97" i="17"/>
  <c r="Y96" i="17"/>
  <c r="U96" i="17"/>
  <c r="T96" i="17"/>
  <c r="O96" i="17"/>
  <c r="L96" i="17"/>
  <c r="Y95" i="17"/>
  <c r="U95" i="17"/>
  <c r="T95" i="17"/>
  <c r="O95" i="17"/>
  <c r="L95" i="17"/>
  <c r="Y94" i="17"/>
  <c r="U94" i="17"/>
  <c r="T94" i="17"/>
  <c r="O94" i="17"/>
  <c r="L94" i="17"/>
  <c r="Y264" i="17"/>
  <c r="U264" i="17"/>
  <c r="T264" i="17"/>
  <c r="O264" i="17"/>
  <c r="L264" i="17"/>
  <c r="Y263" i="17"/>
  <c r="U263" i="17"/>
  <c r="T263" i="17"/>
  <c r="O263" i="17"/>
  <c r="L263" i="17"/>
  <c r="Y262" i="17"/>
  <c r="U262" i="17"/>
  <c r="T262" i="17"/>
  <c r="O262" i="17"/>
  <c r="L262" i="17"/>
  <c r="Y261" i="17"/>
  <c r="U261" i="17"/>
  <c r="T261" i="17"/>
  <c r="O261" i="17"/>
  <c r="L261" i="17"/>
  <c r="Y260" i="17"/>
  <c r="U260" i="17"/>
  <c r="T260" i="17"/>
  <c r="O260" i="17"/>
  <c r="L260" i="17"/>
  <c r="Y259" i="17"/>
  <c r="U259" i="17"/>
  <c r="T259" i="17"/>
  <c r="O259" i="17"/>
  <c r="L259" i="17"/>
  <c r="Y258" i="17"/>
  <c r="U258" i="17"/>
  <c r="T258" i="17"/>
  <c r="O258" i="17"/>
  <c r="L258" i="17"/>
  <c r="Y257" i="17"/>
  <c r="U257" i="17"/>
  <c r="T257" i="17"/>
  <c r="O257" i="17"/>
  <c r="L257" i="17"/>
  <c r="Y256" i="17"/>
  <c r="U256" i="17"/>
  <c r="T256" i="17"/>
  <c r="O256" i="17"/>
  <c r="L256" i="17"/>
  <c r="Y255" i="17"/>
  <c r="U255" i="17"/>
  <c r="T255" i="17"/>
  <c r="O255" i="17"/>
  <c r="L255" i="17"/>
  <c r="Y254" i="17"/>
  <c r="U254" i="17"/>
  <c r="T254" i="17"/>
  <c r="O254" i="17"/>
  <c r="L254" i="17"/>
  <c r="Y361" i="17"/>
  <c r="U361" i="17"/>
  <c r="T361" i="17"/>
  <c r="O361" i="17"/>
  <c r="L361" i="17"/>
  <c r="Y351" i="17"/>
  <c r="U351" i="17"/>
  <c r="T351" i="17"/>
  <c r="O351" i="17"/>
  <c r="L351" i="17"/>
  <c r="Y356" i="17"/>
  <c r="U356" i="17"/>
  <c r="T356" i="17"/>
  <c r="O356" i="17"/>
  <c r="L356" i="17"/>
  <c r="Y206" i="17"/>
  <c r="U206" i="17"/>
  <c r="T206" i="17"/>
  <c r="O206" i="17"/>
  <c r="L206" i="17"/>
  <c r="Y93" i="17"/>
  <c r="U93" i="17"/>
  <c r="T93" i="17"/>
  <c r="O93" i="17"/>
  <c r="J93" i="17"/>
  <c r="Y308" i="17"/>
  <c r="U308" i="17"/>
  <c r="T308" i="17"/>
  <c r="O308" i="17"/>
  <c r="L308" i="17"/>
  <c r="Y307" i="17"/>
  <c r="U307" i="17"/>
  <c r="T307" i="17"/>
  <c r="O307" i="17"/>
  <c r="L307" i="17"/>
  <c r="Y306" i="17"/>
  <c r="U306" i="17"/>
  <c r="T306" i="17"/>
  <c r="O306" i="17"/>
  <c r="L306" i="17"/>
  <c r="Y305" i="17"/>
  <c r="U305" i="17"/>
  <c r="T305" i="17"/>
  <c r="O305" i="17"/>
  <c r="L305" i="17"/>
  <c r="Y304" i="17"/>
  <c r="U304" i="17"/>
  <c r="T304" i="17"/>
  <c r="O304" i="17"/>
  <c r="L304" i="17"/>
  <c r="Y303" i="17"/>
  <c r="U303" i="17"/>
  <c r="T303" i="17"/>
  <c r="O303" i="17"/>
  <c r="L303" i="17"/>
  <c r="Y360" i="17"/>
  <c r="U360" i="17"/>
  <c r="T360" i="17"/>
  <c r="O360" i="17"/>
  <c r="L360" i="17"/>
  <c r="Y350" i="17"/>
  <c r="U350" i="17"/>
  <c r="T350" i="17"/>
  <c r="O350" i="17"/>
  <c r="L350" i="17"/>
  <c r="Y355" i="17"/>
  <c r="U355" i="17"/>
  <c r="T355" i="17"/>
  <c r="O355" i="17"/>
  <c r="L355" i="17"/>
  <c r="Y205" i="17"/>
  <c r="U205" i="17"/>
  <c r="T205" i="17"/>
  <c r="O205" i="17"/>
  <c r="L205" i="17"/>
  <c r="Y204" i="17"/>
  <c r="U204" i="17"/>
  <c r="T204" i="17"/>
  <c r="O204" i="17"/>
  <c r="L204" i="17"/>
  <c r="Y15" i="17"/>
  <c r="U15" i="17"/>
  <c r="T15" i="17"/>
  <c r="O15" i="17"/>
  <c r="L15" i="17"/>
  <c r="Y14" i="17"/>
  <c r="U14" i="17"/>
  <c r="T14" i="17"/>
  <c r="O14" i="17"/>
  <c r="L14" i="17"/>
  <c r="Y13" i="17"/>
  <c r="U13" i="17"/>
  <c r="T13" i="17"/>
  <c r="O13" i="17"/>
  <c r="L13" i="17"/>
  <c r="Y12" i="17"/>
  <c r="U12" i="17"/>
  <c r="T12" i="17"/>
  <c r="O12" i="17"/>
  <c r="L12" i="17"/>
  <c r="Y11" i="17"/>
  <c r="U11" i="17"/>
  <c r="T11" i="17"/>
  <c r="O11" i="17"/>
  <c r="L11" i="17"/>
  <c r="Y10" i="17"/>
  <c r="U10" i="17"/>
  <c r="T10" i="17"/>
  <c r="O10" i="17"/>
  <c r="L10" i="17"/>
  <c r="Y9" i="17"/>
  <c r="U9" i="17"/>
  <c r="T9" i="17"/>
  <c r="O9" i="17"/>
  <c r="L9" i="17"/>
  <c r="Y8" i="17"/>
  <c r="U8" i="17"/>
  <c r="T8" i="17"/>
  <c r="O8" i="17"/>
  <c r="L8" i="17"/>
  <c r="Y7" i="17"/>
  <c r="U7" i="17"/>
  <c r="T7" i="17"/>
  <c r="O7" i="17"/>
  <c r="L7" i="17"/>
  <c r="Y6" i="17"/>
  <c r="U6" i="17"/>
  <c r="T6" i="17"/>
  <c r="O6" i="17"/>
  <c r="L6" i="17"/>
  <c r="Y5" i="17"/>
  <c r="U5" i="17"/>
  <c r="T5" i="17"/>
  <c r="O5" i="17"/>
  <c r="L5" i="17"/>
  <c r="Y4" i="17"/>
  <c r="U4" i="17"/>
  <c r="T4" i="17"/>
  <c r="O4" i="17"/>
  <c r="L4" i="17"/>
  <c r="Y3" i="17"/>
  <c r="U3" i="17"/>
  <c r="T3" i="17"/>
  <c r="O3" i="17"/>
  <c r="L3" i="17"/>
  <c r="Y2" i="17"/>
  <c r="U2" i="17"/>
  <c r="T2" i="17"/>
  <c r="O2" i="17"/>
  <c r="L2" i="17"/>
  <c r="Y203" i="17"/>
  <c r="U203" i="17"/>
  <c r="T203" i="17"/>
  <c r="O203" i="17"/>
  <c r="L203" i="17"/>
  <c r="Y202" i="17"/>
  <c r="U202" i="17"/>
  <c r="T202" i="17"/>
  <c r="O202" i="17"/>
  <c r="L202" i="17"/>
  <c r="Y201" i="17"/>
  <c r="U201" i="17"/>
  <c r="T201" i="17"/>
  <c r="O201" i="17"/>
  <c r="L201" i="17"/>
  <c r="Y200" i="17"/>
  <c r="U200" i="17"/>
  <c r="T200" i="17"/>
  <c r="O200" i="17"/>
  <c r="L200" i="17"/>
  <c r="Y199" i="17"/>
  <c r="U199" i="17"/>
  <c r="T199" i="17"/>
  <c r="O199" i="17"/>
  <c r="L199" i="17"/>
  <c r="Y198" i="17"/>
  <c r="U198" i="17"/>
  <c r="T198" i="17"/>
  <c r="O198" i="17"/>
  <c r="L198" i="17"/>
  <c r="Y132" i="17"/>
  <c r="U132" i="17"/>
  <c r="T132" i="17"/>
  <c r="O132" i="17"/>
  <c r="L132" i="17"/>
  <c r="Y131" i="17"/>
  <c r="U131" i="17"/>
  <c r="T131" i="17"/>
  <c r="O131" i="17"/>
  <c r="L131" i="17"/>
  <c r="Y130" i="17"/>
  <c r="U130" i="17"/>
  <c r="T130" i="17"/>
  <c r="O130" i="17"/>
  <c r="L130" i="17"/>
  <c r="Y128" i="17"/>
  <c r="U128" i="17"/>
  <c r="T128" i="17"/>
  <c r="O128" i="17"/>
  <c r="L128" i="17"/>
  <c r="Y302" i="17"/>
  <c r="U302" i="17"/>
  <c r="T302" i="17"/>
  <c r="O302" i="17"/>
  <c r="L302" i="17"/>
  <c r="Y301" i="17"/>
  <c r="U301" i="17"/>
  <c r="T301" i="17"/>
  <c r="O301" i="17"/>
  <c r="L301" i="17"/>
  <c r="Y300" i="17"/>
  <c r="U300" i="17"/>
  <c r="T300" i="17"/>
  <c r="O300" i="17"/>
  <c r="L300" i="17"/>
  <c r="Y299" i="17"/>
  <c r="U299" i="17"/>
  <c r="T299" i="17"/>
  <c r="O299" i="17"/>
  <c r="L299" i="17"/>
  <c r="Y298" i="17"/>
  <c r="U298" i="17"/>
  <c r="T298" i="17"/>
  <c r="O298" i="17"/>
  <c r="L298" i="17"/>
  <c r="Y297" i="17"/>
  <c r="U297" i="17"/>
  <c r="T297" i="17"/>
  <c r="O297" i="17"/>
  <c r="L297" i="17"/>
  <c r="Y296" i="17"/>
  <c r="U296" i="17"/>
  <c r="T296" i="17"/>
  <c r="O296" i="17"/>
  <c r="L296" i="17"/>
  <c r="Y295" i="17"/>
  <c r="U295" i="17"/>
  <c r="T295" i="17"/>
  <c r="O295" i="17"/>
  <c r="L295" i="17"/>
  <c r="Y294" i="17"/>
  <c r="U294" i="17"/>
  <c r="T294" i="17"/>
  <c r="O294" i="17"/>
  <c r="L294" i="17"/>
  <c r="Y293" i="17"/>
  <c r="U293" i="17"/>
  <c r="T293" i="17"/>
  <c r="O293" i="17"/>
  <c r="L293" i="17"/>
  <c r="Y292" i="17"/>
  <c r="U292" i="17"/>
  <c r="T292" i="17"/>
  <c r="O292" i="17"/>
  <c r="L292" i="17"/>
  <c r="Y291" i="17"/>
  <c r="U291" i="17"/>
  <c r="T291" i="17"/>
  <c r="O291" i="17"/>
  <c r="L291" i="17"/>
  <c r="Y87" i="17"/>
  <c r="U87" i="17"/>
  <c r="T87" i="17"/>
  <c r="O87" i="17"/>
  <c r="L87" i="17"/>
  <c r="Y84" i="17"/>
  <c r="U84" i="17"/>
  <c r="T84" i="17"/>
  <c r="O84" i="17"/>
  <c r="L84" i="17"/>
  <c r="Y83" i="17"/>
  <c r="U83" i="17"/>
  <c r="T83" i="17"/>
  <c r="O83" i="17"/>
  <c r="L83" i="17"/>
  <c r="Y92" i="17"/>
  <c r="U92" i="17"/>
  <c r="T92" i="17"/>
  <c r="O92" i="17"/>
  <c r="L92" i="17"/>
  <c r="Y91" i="17"/>
  <c r="U91" i="17"/>
  <c r="T91" i="17"/>
  <c r="O91" i="17"/>
  <c r="L91" i="17"/>
  <c r="Y90" i="17"/>
  <c r="U90" i="17"/>
  <c r="T90" i="17"/>
  <c r="O90" i="17"/>
  <c r="L90" i="17"/>
  <c r="Y89" i="17"/>
  <c r="U89" i="17"/>
  <c r="T89" i="17"/>
  <c r="O89" i="17"/>
  <c r="L89" i="17"/>
  <c r="Y88" i="17"/>
  <c r="U88" i="17"/>
  <c r="T88" i="17"/>
  <c r="O88" i="17"/>
  <c r="L88" i="17"/>
  <c r="Y82" i="17"/>
  <c r="U82" i="17"/>
  <c r="T82" i="17"/>
  <c r="O82" i="17"/>
  <c r="L82" i="17"/>
  <c r="Y81" i="17"/>
  <c r="U81" i="17"/>
  <c r="T81" i="17"/>
  <c r="O81" i="17"/>
  <c r="L81" i="17"/>
  <c r="Y80" i="17"/>
  <c r="U80" i="17"/>
  <c r="T80" i="17"/>
  <c r="O80" i="17"/>
  <c r="L80" i="17"/>
  <c r="Y253" i="17"/>
  <c r="U253" i="17"/>
  <c r="T253" i="17"/>
  <c r="O253" i="17"/>
  <c r="L253" i="17"/>
  <c r="Y252" i="17"/>
  <c r="U252" i="17"/>
  <c r="T252" i="17"/>
  <c r="O252" i="17"/>
  <c r="L252" i="17"/>
  <c r="Y251" i="17"/>
  <c r="U251" i="17"/>
  <c r="T251" i="17"/>
  <c r="O251" i="17"/>
  <c r="L251" i="17"/>
  <c r="Y250" i="17"/>
  <c r="U250" i="17"/>
  <c r="T250" i="17"/>
  <c r="O250" i="17"/>
  <c r="L250" i="17"/>
  <c r="Y249" i="17"/>
  <c r="U249" i="17"/>
  <c r="T249" i="17"/>
  <c r="O249" i="17"/>
  <c r="L249" i="17"/>
  <c r="Y248" i="17"/>
  <c r="U248" i="17"/>
  <c r="T248" i="17"/>
  <c r="O248" i="17"/>
  <c r="L248" i="17"/>
  <c r="Y247" i="17"/>
  <c r="U247" i="17"/>
  <c r="T247" i="17"/>
  <c r="O247" i="17"/>
  <c r="L247" i="17"/>
  <c r="Y246" i="17"/>
  <c r="U246" i="17"/>
  <c r="T246" i="17"/>
  <c r="O246" i="17"/>
  <c r="L246" i="17"/>
  <c r="Y245" i="17"/>
  <c r="U245" i="17"/>
  <c r="T245" i="17"/>
  <c r="O245" i="17"/>
  <c r="L245" i="17"/>
  <c r="Y244" i="17"/>
  <c r="U244" i="17"/>
  <c r="T244" i="17"/>
  <c r="O244" i="17"/>
  <c r="L244" i="17"/>
  <c r="Y243" i="17"/>
  <c r="U243" i="17"/>
  <c r="T243" i="17"/>
  <c r="O243" i="17"/>
  <c r="L243" i="17"/>
  <c r="AK983" i="3"/>
  <c r="AJ983" i="3"/>
  <c r="V983" i="3"/>
  <c r="AL983" i="3" s="1"/>
  <c r="AK977" i="3"/>
  <c r="AJ977" i="3"/>
  <c r="V977" i="3"/>
  <c r="AL977" i="3" s="1"/>
  <c r="AK971" i="3"/>
  <c r="AJ971" i="3"/>
  <c r="V971" i="3"/>
  <c r="AL971" i="3" s="1"/>
  <c r="AK970" i="3"/>
  <c r="AJ970" i="3"/>
  <c r="V970" i="3"/>
  <c r="AL970" i="3" s="1"/>
  <c r="AK969" i="3"/>
  <c r="AJ969" i="3"/>
  <c r="V969" i="3"/>
  <c r="AL969" i="3" s="1"/>
  <c r="AK937" i="3"/>
  <c r="AJ937" i="3"/>
  <c r="V937" i="3"/>
  <c r="AL937" i="3" s="1"/>
  <c r="AK935" i="3"/>
  <c r="AJ935" i="3"/>
  <c r="V935" i="3"/>
  <c r="AL935" i="3" s="1"/>
  <c r="AK934" i="3"/>
  <c r="AJ934" i="3"/>
  <c r="V934" i="3"/>
  <c r="AL934" i="3" s="1"/>
  <c r="AK933" i="3"/>
  <c r="AJ933" i="3"/>
  <c r="V933" i="3"/>
  <c r="AL933" i="3" s="1"/>
  <c r="AK932" i="3"/>
  <c r="AJ932" i="3"/>
  <c r="V932" i="3"/>
  <c r="AL932" i="3" s="1"/>
  <c r="AK931" i="3"/>
  <c r="AJ931" i="3"/>
  <c r="V931" i="3"/>
  <c r="AL931" i="3" s="1"/>
  <c r="AK924" i="3"/>
  <c r="AJ924" i="3"/>
  <c r="V924" i="3"/>
  <c r="AL924" i="3" s="1"/>
  <c r="AK912" i="3"/>
  <c r="AJ912" i="3"/>
  <c r="V912" i="3"/>
  <c r="AL912" i="3" s="1"/>
  <c r="AK902" i="3"/>
  <c r="AJ902" i="3"/>
  <c r="V902" i="3"/>
  <c r="AL902" i="3" s="1"/>
  <c r="AK892" i="3"/>
  <c r="AJ892" i="3"/>
  <c r="V892" i="3"/>
  <c r="AL892" i="3" s="1"/>
  <c r="AK891" i="3"/>
  <c r="AJ891" i="3"/>
  <c r="AL891" i="3"/>
  <c r="AK890" i="3"/>
  <c r="AJ890" i="3"/>
  <c r="V890" i="3"/>
  <c r="AL890" i="3" s="1"/>
  <c r="AK850" i="3"/>
  <c r="AJ850" i="3"/>
  <c r="V850" i="3"/>
  <c r="AL850" i="3" s="1"/>
  <c r="AK856" i="3"/>
  <c r="AJ856" i="3"/>
  <c r="V856" i="3"/>
  <c r="AL856" i="3" s="1"/>
  <c r="AK860" i="3"/>
  <c r="AJ860" i="3"/>
  <c r="AK848" i="3"/>
  <c r="AJ848" i="3"/>
  <c r="AK847" i="3"/>
  <c r="AJ847" i="3"/>
  <c r="V847" i="3"/>
  <c r="AL847" i="3" s="1"/>
  <c r="AK846" i="3"/>
  <c r="AJ846" i="3"/>
  <c r="V846" i="3"/>
  <c r="AL846" i="3" s="1"/>
  <c r="AK840" i="3"/>
  <c r="AJ840" i="3"/>
  <c r="V840" i="3"/>
  <c r="AL840" i="3" s="1"/>
  <c r="AK345" i="3"/>
  <c r="AJ345" i="3"/>
  <c r="V345" i="3"/>
  <c r="AL345" i="3" s="1"/>
  <c r="AK339" i="3"/>
  <c r="AJ339" i="3"/>
  <c r="V339" i="3"/>
  <c r="AL339" i="3" s="1"/>
  <c r="AK333" i="3"/>
  <c r="AJ333" i="3"/>
  <c r="V333" i="3"/>
  <c r="AL333" i="3" s="1"/>
  <c r="AK332" i="3"/>
  <c r="AJ332" i="3"/>
  <c r="V332" i="3"/>
  <c r="AL332" i="3" s="1"/>
  <c r="AK331" i="3"/>
  <c r="AJ331" i="3"/>
  <c r="V331" i="3"/>
  <c r="AL331" i="3" s="1"/>
  <c r="AK302" i="3"/>
  <c r="AJ302" i="3"/>
  <c r="V302" i="3"/>
  <c r="AL302" i="3" s="1"/>
  <c r="AK301" i="3"/>
  <c r="M301" i="3"/>
  <c r="AJ301" i="3" s="1"/>
  <c r="AK300" i="3"/>
  <c r="AJ300" i="3"/>
  <c r="V300" i="3"/>
  <c r="AL300" i="3" s="1"/>
  <c r="AK299" i="3"/>
  <c r="AJ299" i="3"/>
  <c r="V299" i="3"/>
  <c r="AL299" i="3" s="1"/>
  <c r="AK288" i="3"/>
  <c r="AJ288" i="3"/>
  <c r="V288" i="3"/>
  <c r="AL288" i="3" s="1"/>
  <c r="AK287" i="3"/>
  <c r="AJ287" i="3"/>
  <c r="V287" i="3"/>
  <c r="AL287" i="3" s="1"/>
  <c r="AK286" i="3"/>
  <c r="AJ286" i="3"/>
  <c r="V286" i="3"/>
  <c r="AL286" i="3" s="1"/>
  <c r="AK570" i="3"/>
  <c r="AJ570" i="3"/>
  <c r="V570" i="3"/>
  <c r="AL570" i="3" s="1"/>
  <c r="AK792" i="3"/>
  <c r="AJ792" i="3"/>
  <c r="V792" i="3"/>
  <c r="AL792" i="3" s="1"/>
  <c r="AK783" i="3"/>
  <c r="AJ783" i="3"/>
  <c r="V783" i="3"/>
  <c r="AL783" i="3" s="1"/>
  <c r="AK774" i="3"/>
  <c r="AJ774" i="3"/>
  <c r="V774" i="3"/>
  <c r="AL774" i="3" s="1"/>
  <c r="AK773" i="3"/>
  <c r="AJ773" i="3"/>
  <c r="V773" i="3"/>
  <c r="AL773" i="3" s="1"/>
  <c r="AK772" i="3"/>
  <c r="AJ772" i="3"/>
  <c r="V772" i="3"/>
  <c r="AL772" i="3" s="1"/>
  <c r="AK719" i="3"/>
  <c r="AJ719" i="3"/>
  <c r="V719" i="3"/>
  <c r="AL719" i="3" s="1"/>
  <c r="AK731" i="3"/>
  <c r="AJ731" i="3"/>
  <c r="V731" i="3"/>
  <c r="AL731" i="3" s="1"/>
  <c r="AJ730" i="3"/>
  <c r="AD730" i="3"/>
  <c r="AK730" i="3" s="1"/>
  <c r="V730" i="3"/>
  <c r="AL730" i="3" s="1"/>
  <c r="AK729" i="3"/>
  <c r="AJ729" i="3"/>
  <c r="V729" i="3"/>
  <c r="AL729" i="3" s="1"/>
  <c r="AK723" i="3"/>
  <c r="AJ723" i="3"/>
  <c r="V723" i="3"/>
  <c r="AL723" i="3" s="1"/>
  <c r="AK722" i="3"/>
  <c r="AJ722" i="3"/>
  <c r="V722" i="3"/>
  <c r="AL722" i="3" s="1"/>
  <c r="AK724" i="3"/>
  <c r="AJ724" i="3"/>
  <c r="V724" i="3"/>
  <c r="AL724" i="3" s="1"/>
  <c r="AK634" i="3"/>
  <c r="AJ634" i="3"/>
  <c r="V634" i="3"/>
  <c r="AL634" i="3" s="1"/>
  <c r="AK626" i="3"/>
  <c r="AJ626" i="3"/>
  <c r="V626" i="3"/>
  <c r="AL626" i="3" s="1"/>
  <c r="AK618" i="3"/>
  <c r="AJ618" i="3"/>
  <c r="V618" i="3"/>
  <c r="AL618" i="3" s="1"/>
  <c r="AK617" i="3"/>
  <c r="AJ617" i="3"/>
  <c r="V617" i="3"/>
  <c r="AL617" i="3" s="1"/>
  <c r="AK616" i="3"/>
  <c r="AJ616" i="3"/>
  <c r="V616" i="3"/>
  <c r="AL616" i="3" s="1"/>
  <c r="AK560" i="3"/>
  <c r="AJ560" i="3"/>
  <c r="V560" i="3"/>
  <c r="AL560" i="3" s="1"/>
  <c r="AK573" i="3"/>
  <c r="AJ573" i="3"/>
  <c r="V573" i="3"/>
  <c r="AL573" i="3" s="1"/>
  <c r="AK571" i="3"/>
  <c r="AJ571" i="3"/>
  <c r="V571" i="3"/>
  <c r="AL571" i="3" s="1"/>
  <c r="AK569" i="3"/>
  <c r="AJ569" i="3"/>
  <c r="V569" i="3"/>
  <c r="AL569" i="3" s="1"/>
  <c r="AK568" i="3"/>
  <c r="AJ568" i="3"/>
  <c r="V568" i="3"/>
  <c r="AL568" i="3" s="1"/>
  <c r="AK567" i="3"/>
  <c r="AJ567" i="3"/>
  <c r="V567" i="3"/>
  <c r="AL567" i="3" s="1"/>
  <c r="AK537" i="3"/>
  <c r="AJ537" i="3"/>
  <c r="V537" i="3"/>
  <c r="AL537" i="3" s="1"/>
  <c r="AK531" i="3"/>
  <c r="AJ531" i="3"/>
  <c r="V531" i="3"/>
  <c r="AL531" i="3" s="1"/>
  <c r="AK525" i="3"/>
  <c r="AJ525" i="3"/>
  <c r="V525" i="3"/>
  <c r="AL525" i="3" s="1"/>
  <c r="AK524" i="3"/>
  <c r="AJ524" i="3"/>
  <c r="V524" i="3"/>
  <c r="AL524" i="3" s="1"/>
  <c r="AK523" i="3"/>
  <c r="AJ523" i="3"/>
  <c r="V523" i="3"/>
  <c r="AL523" i="3" s="1"/>
  <c r="AK479" i="3"/>
  <c r="AJ479" i="3"/>
  <c r="V479" i="3"/>
  <c r="AL479" i="3" s="1"/>
  <c r="AK478" i="3"/>
  <c r="AJ478" i="3"/>
  <c r="V478" i="3"/>
  <c r="AL478" i="3" s="1"/>
  <c r="AK477" i="3"/>
  <c r="AJ477" i="3"/>
  <c r="V477" i="3"/>
  <c r="AL477" i="3" s="1"/>
  <c r="AK476" i="3"/>
  <c r="AJ476" i="3"/>
  <c r="V476" i="3"/>
  <c r="AL476" i="3" s="1"/>
  <c r="AK475" i="3"/>
  <c r="AJ475" i="3"/>
  <c r="V475" i="3"/>
  <c r="AL475" i="3" s="1"/>
  <c r="AK474" i="3"/>
  <c r="AJ474" i="3"/>
  <c r="V474" i="3"/>
  <c r="AL474" i="3" s="1"/>
  <c r="AK473" i="3"/>
  <c r="AJ473" i="3"/>
  <c r="V473" i="3"/>
  <c r="AL473" i="3" s="1"/>
  <c r="AK464" i="3"/>
  <c r="AJ464" i="3"/>
  <c r="V464" i="3"/>
  <c r="AL464" i="3" s="1"/>
  <c r="AK454" i="3"/>
  <c r="AJ454" i="3"/>
  <c r="V454" i="3"/>
  <c r="AL454" i="3" s="1"/>
  <c r="AK444" i="3"/>
  <c r="AJ444" i="3"/>
  <c r="V444" i="3"/>
  <c r="AL444" i="3" s="1"/>
  <c r="AK443" i="3"/>
  <c r="AJ443" i="3"/>
  <c r="V443" i="3"/>
  <c r="AL443" i="3" s="1"/>
  <c r="AK442" i="3"/>
  <c r="AJ442" i="3"/>
  <c r="V442" i="3"/>
  <c r="AL442" i="3" s="1"/>
  <c r="AK415" i="3"/>
  <c r="AJ415" i="3"/>
  <c r="V415" i="3"/>
  <c r="AL415" i="3" s="1"/>
  <c r="AK414" i="3"/>
  <c r="AJ414" i="3"/>
  <c r="V414" i="3"/>
  <c r="AL414" i="3" s="1"/>
  <c r="AK413" i="3"/>
  <c r="AJ413" i="3"/>
  <c r="O413" i="3"/>
  <c r="V413" i="3" s="1"/>
  <c r="AL413" i="3" s="1"/>
  <c r="AK412" i="3"/>
  <c r="AJ412" i="3"/>
  <c r="V412" i="3"/>
  <c r="AL412" i="3" s="1"/>
  <c r="AK411" i="3"/>
  <c r="AJ411" i="3"/>
  <c r="V411" i="3"/>
  <c r="AL411" i="3" s="1"/>
  <c r="AK410" i="3"/>
  <c r="AJ410" i="3"/>
  <c r="V410" i="3"/>
  <c r="AL410" i="3" s="1"/>
  <c r="AK409" i="3"/>
  <c r="AJ409" i="3"/>
  <c r="V409" i="3"/>
  <c r="AL409" i="3" s="1"/>
  <c r="AK277" i="3"/>
  <c r="AJ277" i="3"/>
  <c r="V277" i="3"/>
  <c r="AL277" i="3" s="1"/>
  <c r="AK266" i="3"/>
  <c r="AJ266" i="3"/>
  <c r="V266" i="3"/>
  <c r="AL266" i="3" s="1"/>
  <c r="AK985" i="3"/>
  <c r="AJ985" i="3"/>
  <c r="V985" i="3"/>
  <c r="AK257" i="3"/>
  <c r="AJ257" i="3"/>
  <c r="V257" i="3"/>
  <c r="AK256" i="3"/>
  <c r="AJ256" i="3"/>
  <c r="V256" i="3"/>
  <c r="AK232" i="3"/>
  <c r="AJ232" i="3"/>
  <c r="V232" i="3"/>
  <c r="AK231" i="3"/>
  <c r="AJ231" i="3"/>
  <c r="V231" i="3"/>
  <c r="X231" i="3" s="1"/>
  <c r="AK230" i="3"/>
  <c r="AJ230" i="3"/>
  <c r="V230" i="3"/>
  <c r="X230" i="3" s="1"/>
  <c r="AK229" i="3"/>
  <c r="AJ229" i="3"/>
  <c r="V229" i="3"/>
  <c r="X229" i="3" s="1"/>
  <c r="AK228" i="3"/>
  <c r="AJ228" i="3"/>
  <c r="V228" i="3"/>
  <c r="X228" i="3" s="1"/>
  <c r="AK227" i="3"/>
  <c r="AJ227" i="3"/>
  <c r="V227" i="3"/>
  <c r="X227" i="3" s="1"/>
  <c r="AK226" i="3"/>
  <c r="AJ226" i="3"/>
  <c r="V226" i="3"/>
  <c r="X226" i="3" s="1"/>
  <c r="AK165" i="3"/>
  <c r="AJ165" i="3"/>
  <c r="V165" i="3"/>
  <c r="AL165" i="3" s="1"/>
  <c r="AK159" i="3"/>
  <c r="AJ159" i="3"/>
  <c r="V159" i="3"/>
  <c r="AL159" i="3" s="1"/>
  <c r="AK747" i="3"/>
  <c r="AJ747" i="3"/>
  <c r="V747" i="3"/>
  <c r="AL747" i="3" s="1"/>
  <c r="AK664" i="3"/>
  <c r="AJ664" i="3"/>
  <c r="V664" i="3"/>
  <c r="AL664" i="3" s="1"/>
  <c r="AK572" i="3"/>
  <c r="AJ572" i="3"/>
  <c r="V572" i="3"/>
  <c r="AL572" i="3" s="1"/>
  <c r="AK126" i="3"/>
  <c r="AJ126" i="3"/>
  <c r="V126" i="3"/>
  <c r="AL126" i="3" s="1"/>
  <c r="AK132" i="3"/>
  <c r="AJ132" i="3"/>
  <c r="V132" i="3"/>
  <c r="AL132" i="3" s="1"/>
  <c r="AK131" i="3"/>
  <c r="AJ131" i="3"/>
  <c r="V131" i="3"/>
  <c r="AL131" i="3" s="1"/>
  <c r="AK130" i="3"/>
  <c r="AJ130" i="3"/>
  <c r="V130" i="3"/>
  <c r="AL130" i="3" s="1"/>
  <c r="AK129" i="3"/>
  <c r="AJ129" i="3"/>
  <c r="V129" i="3"/>
  <c r="AL129" i="3" s="1"/>
  <c r="AK128" i="3"/>
  <c r="AJ128" i="3"/>
  <c r="V128" i="3"/>
  <c r="AL128" i="3" s="1"/>
  <c r="AK124" i="3"/>
  <c r="AJ124" i="3"/>
  <c r="V124" i="3"/>
  <c r="AL124" i="3" s="1"/>
  <c r="AK96" i="3"/>
  <c r="AJ96" i="3"/>
  <c r="V96" i="3"/>
  <c r="AL96" i="3" s="1"/>
  <c r="AK95" i="3"/>
  <c r="AJ95" i="3"/>
  <c r="V95" i="3"/>
  <c r="AL95" i="3" s="1"/>
  <c r="AK94" i="3"/>
  <c r="AJ94" i="3"/>
  <c r="V94" i="3"/>
  <c r="AL94" i="3" s="1"/>
  <c r="AK93" i="3"/>
  <c r="AJ93" i="3"/>
  <c r="V93" i="3"/>
  <c r="AL93" i="3" s="1"/>
  <c r="AK89" i="3"/>
  <c r="AJ89" i="3"/>
  <c r="V89" i="3"/>
  <c r="AL89" i="3" s="1"/>
  <c r="AK79" i="3"/>
  <c r="AJ79" i="3"/>
  <c r="V79" i="3"/>
  <c r="AL79" i="3" s="1"/>
  <c r="AK91" i="3"/>
  <c r="AJ91" i="3"/>
  <c r="V91" i="3"/>
  <c r="AL91" i="3" s="1"/>
  <c r="AK90" i="3"/>
  <c r="AJ90" i="3"/>
  <c r="V90" i="3"/>
  <c r="AL90" i="3" s="1"/>
  <c r="AK88" i="3"/>
  <c r="AJ88" i="3"/>
  <c r="V88" i="3"/>
  <c r="AL88" i="3" s="1"/>
  <c r="AK87" i="3"/>
  <c r="AJ87" i="3"/>
  <c r="V87" i="3"/>
  <c r="AL87" i="3" s="1"/>
  <c r="AK86" i="3"/>
  <c r="AJ86" i="3"/>
  <c r="V86" i="3"/>
  <c r="AL86" i="3" s="1"/>
  <c r="AK85" i="3"/>
  <c r="AJ85" i="3"/>
  <c r="V85" i="3"/>
  <c r="AL85" i="3" s="1"/>
  <c r="AK463" i="3"/>
  <c r="AJ463" i="3"/>
  <c r="V463" i="3"/>
  <c r="AL463" i="3" s="1"/>
  <c r="AK453" i="3"/>
  <c r="AJ453" i="3"/>
  <c r="V453" i="3"/>
  <c r="AL453" i="3" s="1"/>
  <c r="AK441" i="3"/>
  <c r="AJ441" i="3"/>
  <c r="V441" i="3"/>
  <c r="AL441" i="3" s="1"/>
  <c r="AK440" i="3"/>
  <c r="AJ440" i="3"/>
  <c r="V440" i="3"/>
  <c r="AL440" i="3" s="1"/>
  <c r="AK439" i="3"/>
  <c r="AJ439" i="3"/>
  <c r="V439" i="3"/>
  <c r="AL439" i="3" s="1"/>
  <c r="AK376" i="3"/>
  <c r="AJ376" i="3"/>
  <c r="V376" i="3"/>
  <c r="AL376" i="3" s="1"/>
  <c r="AK374" i="3"/>
  <c r="AJ374" i="3"/>
  <c r="V374" i="3"/>
  <c r="AL374" i="3" s="1"/>
  <c r="AK373" i="3"/>
  <c r="AJ373" i="3"/>
  <c r="V373" i="3"/>
  <c r="AL373" i="3" s="1"/>
  <c r="AK371" i="3"/>
  <c r="AJ371" i="3"/>
  <c r="V371" i="3"/>
  <c r="AL371" i="3" s="1"/>
  <c r="AK370" i="3"/>
  <c r="AJ370" i="3"/>
  <c r="V370" i="3"/>
  <c r="AL370" i="3" s="1"/>
  <c r="AK369" i="3"/>
  <c r="AJ369" i="3"/>
  <c r="V369" i="3"/>
  <c r="AL369" i="3" s="1"/>
  <c r="AK368" i="3"/>
  <c r="AJ368" i="3"/>
  <c r="V368" i="3"/>
  <c r="AL368" i="3" s="1"/>
  <c r="AK910" i="3"/>
  <c r="AJ910" i="3"/>
  <c r="V910" i="3"/>
  <c r="AL910" i="3" s="1"/>
  <c r="AK901" i="3"/>
  <c r="AJ901" i="3"/>
  <c r="V901" i="3"/>
  <c r="AL901" i="3" s="1"/>
  <c r="AK889" i="3"/>
  <c r="AJ889" i="3"/>
  <c r="V889" i="3"/>
  <c r="AL889" i="3" s="1"/>
  <c r="AK888" i="3"/>
  <c r="AJ888" i="3"/>
  <c r="V888" i="3"/>
  <c r="AL888" i="3" s="1"/>
  <c r="AK887" i="3"/>
  <c r="AJ887" i="3"/>
  <c r="V887" i="3"/>
  <c r="AL887" i="3" s="1"/>
  <c r="AK831" i="3"/>
  <c r="AJ831" i="3"/>
  <c r="V831" i="3"/>
  <c r="AL831" i="3" s="1"/>
  <c r="AK839" i="3"/>
  <c r="AJ839" i="3"/>
  <c r="V839" i="3"/>
  <c r="AL839" i="3" s="1"/>
  <c r="AK838" i="3"/>
  <c r="AJ838" i="3"/>
  <c r="V838" i="3"/>
  <c r="AL838" i="3" s="1"/>
  <c r="AK835" i="3"/>
  <c r="AJ835" i="3"/>
  <c r="V835" i="3"/>
  <c r="AL835" i="3" s="1"/>
  <c r="AK834" i="3"/>
  <c r="AJ834" i="3"/>
  <c r="V834" i="3"/>
  <c r="AL834" i="3" s="1"/>
  <c r="AK833" i="3"/>
  <c r="AJ833" i="3"/>
  <c r="V833" i="3"/>
  <c r="AL833" i="3" s="1"/>
  <c r="AK824" i="3"/>
  <c r="AJ824" i="3"/>
  <c r="V824" i="3"/>
  <c r="AL824" i="3" s="1"/>
  <c r="AK709" i="3"/>
  <c r="AJ709" i="3"/>
  <c r="V709" i="3"/>
  <c r="AL709" i="3" s="1"/>
  <c r="AK791" i="3"/>
  <c r="AJ791" i="3"/>
  <c r="V791" i="3"/>
  <c r="AL791" i="3" s="1"/>
  <c r="AK782" i="3"/>
  <c r="AJ782" i="3"/>
  <c r="V782" i="3"/>
  <c r="AL782" i="3" s="1"/>
  <c r="AK771" i="3"/>
  <c r="AJ771" i="3"/>
  <c r="V771" i="3"/>
  <c r="AL771" i="3" s="1"/>
  <c r="AK770" i="3"/>
  <c r="AJ770" i="3"/>
  <c r="V770" i="3"/>
  <c r="AL770" i="3" s="1"/>
  <c r="AK769" i="3"/>
  <c r="AJ769" i="3"/>
  <c r="V769" i="3"/>
  <c r="AL769" i="3" s="1"/>
  <c r="AK705" i="3"/>
  <c r="AJ705" i="3"/>
  <c r="V705" i="3"/>
  <c r="AL705" i="3" s="1"/>
  <c r="AK711" i="3"/>
  <c r="AJ711" i="3"/>
  <c r="V711" i="3"/>
  <c r="AL711" i="3" s="1"/>
  <c r="AK710" i="3"/>
  <c r="AJ710" i="3"/>
  <c r="V710" i="3"/>
  <c r="AL710" i="3" s="1"/>
  <c r="AK708" i="3"/>
  <c r="AJ708" i="3"/>
  <c r="V708" i="3"/>
  <c r="AL708" i="3" s="1"/>
  <c r="AK707" i="3"/>
  <c r="AJ707" i="3"/>
  <c r="V707" i="3"/>
  <c r="AL707" i="3" s="1"/>
  <c r="AK706" i="3"/>
  <c r="AJ706" i="3"/>
  <c r="V706" i="3"/>
  <c r="AL706" i="3" s="1"/>
  <c r="AK462" i="3"/>
  <c r="AJ462" i="3"/>
  <c r="V462" i="3"/>
  <c r="AL462" i="3" s="1"/>
  <c r="AK452" i="3"/>
  <c r="AJ452" i="3"/>
  <c r="V452" i="3"/>
  <c r="AL452" i="3" s="1"/>
  <c r="AK438" i="3"/>
  <c r="AJ438" i="3"/>
  <c r="V438" i="3"/>
  <c r="AL438" i="3" s="1"/>
  <c r="AK437" i="3"/>
  <c r="AJ437" i="3"/>
  <c r="V437" i="3"/>
  <c r="AL437" i="3" s="1"/>
  <c r="AK436" i="3"/>
  <c r="AJ436" i="3"/>
  <c r="V436" i="3"/>
  <c r="AL436" i="3" s="1"/>
  <c r="AK366" i="3"/>
  <c r="AJ366" i="3"/>
  <c r="V366" i="3"/>
  <c r="AL366" i="3" s="1"/>
  <c r="AK364" i="3"/>
  <c r="AJ364" i="3"/>
  <c r="V364" i="3"/>
  <c r="AL364" i="3" s="1"/>
  <c r="AK363" i="3"/>
  <c r="AJ363" i="3"/>
  <c r="V363" i="3"/>
  <c r="AL363" i="3" s="1"/>
  <c r="AK362" i="3"/>
  <c r="AJ362" i="3"/>
  <c r="V362" i="3"/>
  <c r="AL362" i="3" s="1"/>
  <c r="AK361" i="3"/>
  <c r="AJ361" i="3"/>
  <c r="V361" i="3"/>
  <c r="AL361" i="3" s="1"/>
  <c r="AK372" i="3"/>
  <c r="AJ372" i="3"/>
  <c r="V372" i="3"/>
  <c r="AL372" i="3" s="1"/>
  <c r="AK367" i="3"/>
  <c r="AJ367" i="3"/>
  <c r="V367" i="3"/>
  <c r="AL367" i="3" s="1"/>
  <c r="AK167" i="3"/>
  <c r="AJ167" i="3"/>
  <c r="V167" i="3"/>
  <c r="X167" i="3" s="1"/>
  <c r="AK265" i="3"/>
  <c r="AJ265" i="3"/>
  <c r="V265" i="3"/>
  <c r="AL265" i="3" s="1"/>
  <c r="AK255" i="3"/>
  <c r="AJ255" i="3"/>
  <c r="V255" i="3"/>
  <c r="AK254" i="3"/>
  <c r="AJ254" i="3"/>
  <c r="V254" i="3"/>
  <c r="AK251" i="3"/>
  <c r="AJ251" i="3"/>
  <c r="V251" i="3"/>
  <c r="AK175" i="3"/>
  <c r="AJ175" i="3"/>
  <c r="V175" i="3"/>
  <c r="X175" i="3" s="1"/>
  <c r="AK170" i="3"/>
  <c r="AJ170" i="3"/>
  <c r="V170" i="3"/>
  <c r="AK169" i="3"/>
  <c r="AJ169" i="3"/>
  <c r="V169" i="3"/>
  <c r="X169" i="3" s="1"/>
  <c r="AK168" i="3"/>
  <c r="AJ168" i="3"/>
  <c r="V168" i="3"/>
  <c r="X168" i="3" s="1"/>
  <c r="AK171" i="3"/>
  <c r="AJ171" i="3"/>
  <c r="V171" i="3"/>
  <c r="X171" i="3" s="1"/>
  <c r="AK172" i="3"/>
  <c r="AJ172" i="3"/>
  <c r="V172" i="3"/>
  <c r="AK164" i="3"/>
  <c r="AJ164" i="3"/>
  <c r="V164" i="3"/>
  <c r="AL164" i="3" s="1"/>
  <c r="AK158" i="3"/>
  <c r="AJ158" i="3"/>
  <c r="V158" i="3"/>
  <c r="AL158" i="3" s="1"/>
  <c r="AK153" i="3"/>
  <c r="AJ153" i="3"/>
  <c r="V153" i="3"/>
  <c r="AL153" i="3" s="1"/>
  <c r="AK152" i="3"/>
  <c r="AJ152" i="3"/>
  <c r="V152" i="3"/>
  <c r="AL152" i="3" s="1"/>
  <c r="AK151" i="3"/>
  <c r="AJ151" i="3"/>
  <c r="V151" i="3"/>
  <c r="AL151" i="3" s="1"/>
  <c r="AK92" i="3"/>
  <c r="AJ92" i="3"/>
  <c r="V92" i="3"/>
  <c r="AL92" i="3" s="1"/>
  <c r="AK102" i="3"/>
  <c r="AJ102" i="3"/>
  <c r="V102" i="3"/>
  <c r="AL102" i="3" s="1"/>
  <c r="AK101" i="3"/>
  <c r="AJ101" i="3"/>
  <c r="V101" i="3"/>
  <c r="AL101" i="3" s="1"/>
  <c r="AK100" i="3"/>
  <c r="AJ100" i="3"/>
  <c r="V100" i="3"/>
  <c r="AL100" i="3" s="1"/>
  <c r="AK99" i="3"/>
  <c r="AJ99" i="3"/>
  <c r="V99" i="3"/>
  <c r="AL99" i="3" s="1"/>
  <c r="AK98" i="3"/>
  <c r="AJ98" i="3"/>
  <c r="V98" i="3"/>
  <c r="AL98" i="3" s="1"/>
  <c r="AK97" i="3"/>
  <c r="AJ97" i="3"/>
  <c r="V97" i="3"/>
  <c r="AL97" i="3" s="1"/>
  <c r="AK84" i="3"/>
  <c r="AJ84" i="3"/>
  <c r="V84" i="3"/>
  <c r="AL84" i="3" s="1"/>
  <c r="AK83" i="3"/>
  <c r="AJ83" i="3"/>
  <c r="V83" i="3"/>
  <c r="AL83" i="3" s="1"/>
  <c r="AK82" i="3"/>
  <c r="AJ82" i="3"/>
  <c r="V82" i="3"/>
  <c r="AL82" i="3" s="1"/>
  <c r="AK81" i="3"/>
  <c r="AJ81" i="3"/>
  <c r="V81" i="3"/>
  <c r="AL81" i="3" s="1"/>
  <c r="AK80" i="3"/>
  <c r="AJ80" i="3"/>
  <c r="V80" i="3"/>
  <c r="AL80" i="3" s="1"/>
  <c r="AK67" i="3"/>
  <c r="AJ67" i="3"/>
  <c r="AL67" i="3"/>
  <c r="AK78" i="3"/>
  <c r="AJ78" i="3"/>
  <c r="V78" i="3"/>
  <c r="AL78" i="3" s="1"/>
  <c r="AK77" i="3"/>
  <c r="AJ77" i="3"/>
  <c r="V77" i="3"/>
  <c r="AL77" i="3" s="1"/>
  <c r="AK76" i="3"/>
  <c r="AJ76" i="3"/>
  <c r="V76" i="3"/>
  <c r="AL76" i="3" s="1"/>
  <c r="AK75" i="3"/>
  <c r="AJ75" i="3"/>
  <c r="V75" i="3"/>
  <c r="AL75" i="3" s="1"/>
  <c r="AK74" i="3"/>
  <c r="AJ74" i="3"/>
  <c r="V74" i="3"/>
  <c r="AL74" i="3" s="1"/>
  <c r="AK73" i="3"/>
  <c r="AJ73" i="3"/>
  <c r="V73" i="3"/>
  <c r="AL73" i="3" s="1"/>
  <c r="AK72" i="3"/>
  <c r="AJ72" i="3"/>
  <c r="V72" i="3"/>
  <c r="AL72" i="3" s="1"/>
  <c r="AK71" i="3"/>
  <c r="AJ71" i="3"/>
  <c r="V71" i="3"/>
  <c r="AL71" i="3" s="1"/>
  <c r="AK70" i="3"/>
  <c r="AJ70" i="3"/>
  <c r="V70" i="3"/>
  <c r="AL70" i="3" s="1"/>
  <c r="AK69" i="3"/>
  <c r="AJ69" i="3"/>
  <c r="V69" i="3"/>
  <c r="AL69" i="3" s="1"/>
  <c r="AK68" i="3"/>
  <c r="AJ68" i="3"/>
  <c r="V68" i="3"/>
  <c r="AL68" i="3" s="1"/>
  <c r="AK61" i="3"/>
  <c r="AJ61" i="3"/>
  <c r="V61" i="3"/>
  <c r="AL61" i="3" s="1"/>
  <c r="AK66" i="3"/>
  <c r="AJ66" i="3"/>
  <c r="V66" i="3"/>
  <c r="AL66" i="3" s="1"/>
  <c r="AK982" i="3"/>
  <c r="AJ982" i="3"/>
  <c r="V982" i="3"/>
  <c r="AL982" i="3" s="1"/>
  <c r="AK976" i="3"/>
  <c r="AJ976" i="3"/>
  <c r="V976" i="3"/>
  <c r="AL976" i="3" s="1"/>
  <c r="AK968" i="3"/>
  <c r="AJ968" i="3"/>
  <c r="V968" i="3"/>
  <c r="AL968" i="3" s="1"/>
  <c r="AK967" i="3"/>
  <c r="AJ967" i="3"/>
  <c r="AL967" i="3"/>
  <c r="AK966" i="3"/>
  <c r="AJ966" i="3"/>
  <c r="V966" i="3"/>
  <c r="AL966" i="3" s="1"/>
  <c r="AK930" i="3"/>
  <c r="AJ930" i="3"/>
  <c r="V930" i="3"/>
  <c r="AL930" i="3" s="1"/>
  <c r="AK928" i="3"/>
  <c r="AJ928" i="3"/>
  <c r="V928" i="3"/>
  <c r="AL928" i="3" s="1"/>
  <c r="AK927" i="3"/>
  <c r="AJ927" i="3"/>
  <c r="V927" i="3"/>
  <c r="AL927" i="3" s="1"/>
  <c r="AK926" i="3"/>
  <c r="AJ926" i="3"/>
  <c r="V926" i="3"/>
  <c r="AL926" i="3" s="1"/>
  <c r="AK925" i="3"/>
  <c r="AJ925" i="3"/>
  <c r="V925" i="3"/>
  <c r="AL925" i="3" s="1"/>
  <c r="AK923" i="3"/>
  <c r="AJ923" i="3"/>
  <c r="V923" i="3"/>
  <c r="AL923" i="3" s="1"/>
  <c r="AK922" i="3"/>
  <c r="AJ922" i="3"/>
  <c r="V922" i="3"/>
  <c r="AL922" i="3" s="1"/>
  <c r="AK909" i="3"/>
  <c r="AJ909" i="3"/>
  <c r="V909" i="3"/>
  <c r="AL909" i="3" s="1"/>
  <c r="AK899" i="3"/>
  <c r="AJ899" i="3"/>
  <c r="V899" i="3"/>
  <c r="AL899" i="3" s="1"/>
  <c r="AK886" i="3"/>
  <c r="AJ886" i="3"/>
  <c r="V886" i="3"/>
  <c r="AL886" i="3" s="1"/>
  <c r="AK885" i="3"/>
  <c r="AJ885" i="3"/>
  <c r="V885" i="3"/>
  <c r="AL885" i="3" s="1"/>
  <c r="AK884" i="3"/>
  <c r="AJ884" i="3"/>
  <c r="V884" i="3"/>
  <c r="AL884" i="3" s="1"/>
  <c r="AK862" i="3"/>
  <c r="AJ862" i="3"/>
  <c r="V862" i="3"/>
  <c r="AL862" i="3" s="1"/>
  <c r="AK861" i="3"/>
  <c r="AJ861" i="3"/>
  <c r="V861" i="3"/>
  <c r="AL861" i="3" s="1"/>
  <c r="AK855" i="3"/>
  <c r="AJ855" i="3"/>
  <c r="V855" i="3"/>
  <c r="AL855" i="3" s="1"/>
  <c r="AK854" i="3"/>
  <c r="AJ854" i="3"/>
  <c r="V854" i="3"/>
  <c r="AL854" i="3" s="1"/>
  <c r="AK853" i="3"/>
  <c r="AJ853" i="3"/>
  <c r="V853" i="3"/>
  <c r="AL853" i="3" s="1"/>
  <c r="AK852" i="3"/>
  <c r="AJ852" i="3"/>
  <c r="V852" i="3"/>
  <c r="AL852" i="3" s="1"/>
  <c r="AK344" i="3"/>
  <c r="AJ344" i="3"/>
  <c r="V344" i="3"/>
  <c r="AL344" i="3" s="1"/>
  <c r="AK338" i="3"/>
  <c r="AJ338" i="3"/>
  <c r="V338" i="3"/>
  <c r="AL338" i="3" s="1"/>
  <c r="AK330" i="3"/>
  <c r="AJ330" i="3"/>
  <c r="V330" i="3"/>
  <c r="AL330" i="3" s="1"/>
  <c r="AK329" i="3"/>
  <c r="AJ329" i="3"/>
  <c r="V329" i="3"/>
  <c r="AL329" i="3" s="1"/>
  <c r="AK328" i="3"/>
  <c r="AJ328" i="3"/>
  <c r="V328" i="3"/>
  <c r="AL328" i="3" s="1"/>
  <c r="AK296" i="3"/>
  <c r="AJ296" i="3"/>
  <c r="V296" i="3"/>
  <c r="AL296" i="3" s="1"/>
  <c r="AK295" i="3"/>
  <c r="AJ295" i="3"/>
  <c r="V295" i="3"/>
  <c r="AL295" i="3" s="1"/>
  <c r="AK293" i="3"/>
  <c r="AJ293" i="3"/>
  <c r="O293" i="3"/>
  <c r="V293" i="3" s="1"/>
  <c r="AL293" i="3" s="1"/>
  <c r="AK292" i="3"/>
  <c r="AJ292" i="3"/>
  <c r="V292" i="3"/>
  <c r="AL292" i="3" s="1"/>
  <c r="AK291" i="3"/>
  <c r="AJ291" i="3"/>
  <c r="V291" i="3"/>
  <c r="AL291" i="3" s="1"/>
  <c r="AK290" i="3"/>
  <c r="AJ290" i="3"/>
  <c r="V290" i="3"/>
  <c r="AL290" i="3" s="1"/>
  <c r="AK289" i="3"/>
  <c r="AJ289" i="3"/>
  <c r="V289" i="3"/>
  <c r="AL289" i="3" s="1"/>
  <c r="AK789" i="3"/>
  <c r="AJ789" i="3"/>
  <c r="V789" i="3"/>
  <c r="AL789" i="3" s="1"/>
  <c r="AK781" i="3"/>
  <c r="AJ781" i="3"/>
  <c r="V781" i="3"/>
  <c r="AL781" i="3" s="1"/>
  <c r="AK768" i="3"/>
  <c r="AJ768" i="3"/>
  <c r="V768" i="3"/>
  <c r="AL768" i="3" s="1"/>
  <c r="AK767" i="3"/>
  <c r="AJ767" i="3"/>
  <c r="V767" i="3"/>
  <c r="AL767" i="3" s="1"/>
  <c r="AK766" i="3"/>
  <c r="AJ766" i="3"/>
  <c r="V766" i="3"/>
  <c r="AL766" i="3" s="1"/>
  <c r="AK741" i="3"/>
  <c r="AJ741" i="3"/>
  <c r="V741" i="3"/>
  <c r="AL741" i="3" s="1"/>
  <c r="AJ739" i="3"/>
  <c r="AC739" i="3"/>
  <c r="AK739" i="3" s="1"/>
  <c r="V739" i="3"/>
  <c r="AL739" i="3" s="1"/>
  <c r="AJ738" i="3"/>
  <c r="AD738" i="3"/>
  <c r="AK738" i="3" s="1"/>
  <c r="V738" i="3"/>
  <c r="AL738" i="3" s="1"/>
  <c r="AK737" i="3"/>
  <c r="AJ737" i="3"/>
  <c r="V737" i="3"/>
  <c r="AL737" i="3" s="1"/>
  <c r="AK736" i="3"/>
  <c r="AJ736" i="3"/>
  <c r="V736" i="3"/>
  <c r="AL736" i="3" s="1"/>
  <c r="AK735" i="3"/>
  <c r="AJ735" i="3"/>
  <c r="V735" i="3"/>
  <c r="AL735" i="3" s="1"/>
  <c r="AK734" i="3"/>
  <c r="AJ734" i="3"/>
  <c r="V734" i="3"/>
  <c r="AL734" i="3" s="1"/>
  <c r="AK683" i="3"/>
  <c r="AJ683" i="3"/>
  <c r="V683" i="3"/>
  <c r="AL683" i="3" s="1"/>
  <c r="AK682" i="3"/>
  <c r="AJ682" i="3"/>
  <c r="V682" i="3"/>
  <c r="AL682" i="3" s="1"/>
  <c r="AK681" i="3"/>
  <c r="AJ681" i="3"/>
  <c r="V681" i="3"/>
  <c r="AL681" i="3" s="1"/>
  <c r="AK680" i="3"/>
  <c r="AJ680" i="3"/>
  <c r="V680" i="3"/>
  <c r="AL680" i="3" s="1"/>
  <c r="AK679" i="3"/>
  <c r="AJ679" i="3"/>
  <c r="V679" i="3"/>
  <c r="AL679" i="3" s="1"/>
  <c r="AK641" i="3"/>
  <c r="AJ641" i="3"/>
  <c r="V641" i="3"/>
  <c r="AL641" i="3" s="1"/>
  <c r="AK647" i="3"/>
  <c r="AJ647" i="3"/>
  <c r="V647" i="3"/>
  <c r="AL647" i="3" s="1"/>
  <c r="AK646" i="3"/>
  <c r="AJ646" i="3"/>
  <c r="V646" i="3"/>
  <c r="AL646" i="3" s="1"/>
  <c r="AK645" i="3"/>
  <c r="AJ645" i="3"/>
  <c r="V645" i="3"/>
  <c r="AL645" i="3" s="1"/>
  <c r="AK644" i="3"/>
  <c r="AJ644" i="3"/>
  <c r="V644" i="3"/>
  <c r="AL644" i="3" s="1"/>
  <c r="AK643" i="3"/>
  <c r="AJ643" i="3"/>
  <c r="V643" i="3"/>
  <c r="AL643" i="3" s="1"/>
  <c r="AK642" i="3"/>
  <c r="AJ642" i="3"/>
  <c r="V642" i="3"/>
  <c r="AL642" i="3" s="1"/>
  <c r="AK633" i="3"/>
  <c r="AJ633" i="3"/>
  <c r="V633" i="3"/>
  <c r="AL633" i="3" s="1"/>
  <c r="AK625" i="3"/>
  <c r="AJ625" i="3"/>
  <c r="V625" i="3"/>
  <c r="AL625" i="3" s="1"/>
  <c r="AK615" i="3"/>
  <c r="AJ615" i="3"/>
  <c r="V615" i="3"/>
  <c r="AL615" i="3" s="1"/>
  <c r="AK614" i="3"/>
  <c r="AJ614" i="3"/>
  <c r="V614" i="3"/>
  <c r="AL614" i="3" s="1"/>
  <c r="AK613" i="3"/>
  <c r="AJ613" i="3"/>
  <c r="V613" i="3"/>
  <c r="AL613" i="3" s="1"/>
  <c r="AK574" i="3"/>
  <c r="AJ574" i="3"/>
  <c r="V574" i="3"/>
  <c r="AL574" i="3" s="1"/>
  <c r="AK575" i="3"/>
  <c r="AJ575" i="3"/>
  <c r="V575" i="3"/>
  <c r="AL575" i="3" s="1"/>
  <c r="AK566" i="3"/>
  <c r="AJ566" i="3"/>
  <c r="V566" i="3"/>
  <c r="AL566" i="3" s="1"/>
  <c r="AK565" i="3"/>
  <c r="AJ565" i="3"/>
  <c r="V565" i="3"/>
  <c r="AL565" i="3" s="1"/>
  <c r="AK564" i="3"/>
  <c r="AJ564" i="3"/>
  <c r="V564" i="3"/>
  <c r="AL564" i="3" s="1"/>
  <c r="AK563" i="3"/>
  <c r="AJ563" i="3"/>
  <c r="V563" i="3"/>
  <c r="AL563" i="3" s="1"/>
  <c r="AK562" i="3"/>
  <c r="AJ562" i="3"/>
  <c r="V562" i="3"/>
  <c r="AL562" i="3" s="1"/>
  <c r="AK536" i="3"/>
  <c r="AJ536" i="3"/>
  <c r="V536" i="3"/>
  <c r="AL536" i="3" s="1"/>
  <c r="AK530" i="3"/>
  <c r="AJ530" i="3"/>
  <c r="V530" i="3"/>
  <c r="AL530" i="3" s="1"/>
  <c r="AK522" i="3"/>
  <c r="AJ522" i="3"/>
  <c r="V522" i="3"/>
  <c r="AL522" i="3" s="1"/>
  <c r="AK521" i="3"/>
  <c r="AJ521" i="3"/>
  <c r="V521" i="3"/>
  <c r="AL521" i="3" s="1"/>
  <c r="AK520" i="3"/>
  <c r="AJ520" i="3"/>
  <c r="V520" i="3"/>
  <c r="AL520" i="3" s="1"/>
  <c r="AK488" i="3"/>
  <c r="AJ488" i="3"/>
  <c r="V488" i="3"/>
  <c r="AL488" i="3" s="1"/>
  <c r="AK487" i="3"/>
  <c r="AJ487" i="3"/>
  <c r="V487" i="3"/>
  <c r="AL487" i="3" s="1"/>
  <c r="AK486" i="3"/>
  <c r="AJ486" i="3"/>
  <c r="V486" i="3"/>
  <c r="AL486" i="3" s="1"/>
  <c r="AK484" i="3"/>
  <c r="AJ484" i="3"/>
  <c r="V484" i="3"/>
  <c r="AL484" i="3" s="1"/>
  <c r="AK483" i="3"/>
  <c r="AJ483" i="3"/>
  <c r="V483" i="3"/>
  <c r="AL483" i="3" s="1"/>
  <c r="AK482" i="3"/>
  <c r="AJ482" i="3"/>
  <c r="V482" i="3"/>
  <c r="AL482" i="3" s="1"/>
  <c r="AK481" i="3"/>
  <c r="AJ481" i="3"/>
  <c r="V481" i="3"/>
  <c r="AL481" i="3" s="1"/>
  <c r="AK461" i="3"/>
  <c r="AJ461" i="3"/>
  <c r="V461" i="3"/>
  <c r="AL461" i="3" s="1"/>
  <c r="AK451" i="3"/>
  <c r="AJ451" i="3"/>
  <c r="V451" i="3"/>
  <c r="AL451" i="3" s="1"/>
  <c r="AK435" i="3"/>
  <c r="AJ435" i="3"/>
  <c r="V435" i="3"/>
  <c r="AL435" i="3" s="1"/>
  <c r="AK434" i="3"/>
  <c r="AJ434" i="3"/>
  <c r="V434" i="3"/>
  <c r="AL434" i="3" s="1"/>
  <c r="AK433" i="3"/>
  <c r="AJ433" i="3"/>
  <c r="V433" i="3"/>
  <c r="AL433" i="3" s="1"/>
  <c r="AK391" i="3"/>
  <c r="AJ391" i="3"/>
  <c r="V391" i="3"/>
  <c r="AL391" i="3" s="1"/>
  <c r="AK390" i="3"/>
  <c r="AJ390" i="3"/>
  <c r="V390" i="3"/>
  <c r="AL390" i="3" s="1"/>
  <c r="AK389" i="3"/>
  <c r="AJ389" i="3"/>
  <c r="O389" i="3"/>
  <c r="V389" i="3" s="1"/>
  <c r="AL389" i="3" s="1"/>
  <c r="AK388" i="3"/>
  <c r="AJ388" i="3"/>
  <c r="O388" i="3"/>
  <c r="V388" i="3" s="1"/>
  <c r="AL388" i="3" s="1"/>
  <c r="AK387" i="3"/>
  <c r="AJ387" i="3"/>
  <c r="V387" i="3"/>
  <c r="AL387" i="3" s="1"/>
  <c r="AK386" i="3"/>
  <c r="AJ386" i="3"/>
  <c r="V386" i="3"/>
  <c r="AL386" i="3" s="1"/>
  <c r="AK385" i="3"/>
  <c r="AJ385" i="3"/>
  <c r="V385" i="3"/>
  <c r="AL385" i="3" s="1"/>
  <c r="AK275" i="3"/>
  <c r="AJ275" i="3"/>
  <c r="V275" i="3"/>
  <c r="AL275" i="3" s="1"/>
  <c r="AK264" i="3"/>
  <c r="AJ264" i="3"/>
  <c r="V264" i="3"/>
  <c r="AL264" i="3" s="1"/>
  <c r="AK250" i="3"/>
  <c r="AJ250" i="3"/>
  <c r="V250" i="3"/>
  <c r="AK249" i="3"/>
  <c r="AJ249" i="3"/>
  <c r="V249" i="3"/>
  <c r="AK248" i="3"/>
  <c r="AJ248" i="3"/>
  <c r="V248" i="3"/>
  <c r="AK225" i="3"/>
  <c r="AJ225" i="3"/>
  <c r="V225" i="3"/>
  <c r="AK224" i="3"/>
  <c r="AJ224" i="3"/>
  <c r="V224" i="3"/>
  <c r="X224" i="3" s="1"/>
  <c r="AK223" i="3"/>
  <c r="AJ223" i="3"/>
  <c r="V223" i="3"/>
  <c r="AK222" i="3"/>
  <c r="AJ222" i="3"/>
  <c r="V222" i="3"/>
  <c r="AK221" i="3"/>
  <c r="AJ221" i="3"/>
  <c r="V221" i="3"/>
  <c r="X221" i="3" s="1"/>
  <c r="AK220" i="3"/>
  <c r="AJ220" i="3"/>
  <c r="V220" i="3"/>
  <c r="AK219" i="3"/>
  <c r="AJ219" i="3"/>
  <c r="V219" i="3"/>
  <c r="X219" i="3" s="1"/>
  <c r="AK163" i="3"/>
  <c r="AJ163" i="3"/>
  <c r="V163" i="3"/>
  <c r="AL163" i="3" s="1"/>
  <c r="AK157" i="3"/>
  <c r="AJ157" i="3"/>
  <c r="V157" i="3"/>
  <c r="AL157" i="3" s="1"/>
  <c r="AK150" i="3"/>
  <c r="AJ150" i="3"/>
  <c r="V150" i="3"/>
  <c r="AL150" i="3" s="1"/>
  <c r="AK149" i="3"/>
  <c r="AJ149" i="3"/>
  <c r="V149" i="3"/>
  <c r="AL149" i="3" s="1"/>
  <c r="AK148" i="3"/>
  <c r="AJ148" i="3"/>
  <c r="V148" i="3"/>
  <c r="AL148" i="3" s="1"/>
  <c r="AK110" i="3"/>
  <c r="AJ110" i="3"/>
  <c r="V110" i="3"/>
  <c r="AL110" i="3" s="1"/>
  <c r="AK125" i="3"/>
  <c r="AJ125" i="3"/>
  <c r="V125" i="3"/>
  <c r="AL125" i="3" s="1"/>
  <c r="AK123" i="3"/>
  <c r="AJ123" i="3"/>
  <c r="V123" i="3"/>
  <c r="AL123" i="3" s="1"/>
  <c r="AK122" i="3"/>
  <c r="AJ122" i="3"/>
  <c r="V122" i="3"/>
  <c r="AL122" i="3" s="1"/>
  <c r="AK120" i="3"/>
  <c r="AJ120" i="3"/>
  <c r="V120" i="3"/>
  <c r="AL120" i="3" s="1"/>
  <c r="AK119" i="3"/>
  <c r="AJ119" i="3"/>
  <c r="V119" i="3"/>
  <c r="AL119" i="3" s="1"/>
  <c r="AK118" i="3"/>
  <c r="AJ118" i="3"/>
  <c r="V118" i="3"/>
  <c r="AL118" i="3" s="1"/>
  <c r="AK65" i="3"/>
  <c r="AJ65" i="3"/>
  <c r="V65" i="3"/>
  <c r="AL65" i="3" s="1"/>
  <c r="AK64" i="3"/>
  <c r="AJ64" i="3"/>
  <c r="V64" i="3"/>
  <c r="AL64" i="3" s="1"/>
  <c r="AK63" i="3"/>
  <c r="AJ63" i="3"/>
  <c r="V63" i="3"/>
  <c r="AL63" i="3" s="1"/>
  <c r="AK62" i="3"/>
  <c r="AJ62" i="3"/>
  <c r="V62" i="3"/>
  <c r="AL62" i="3" s="1"/>
  <c r="AK60" i="3"/>
  <c r="AJ60" i="3"/>
  <c r="V60" i="3"/>
  <c r="AL60" i="3" s="1"/>
  <c r="AK49" i="3"/>
  <c r="AJ49" i="3"/>
  <c r="V49" i="3"/>
  <c r="AL49" i="3" s="1"/>
  <c r="AK59" i="3"/>
  <c r="AJ59" i="3"/>
  <c r="V59" i="3"/>
  <c r="AL59" i="3" s="1"/>
  <c r="AK58" i="3"/>
  <c r="AJ58" i="3"/>
  <c r="V58" i="3"/>
  <c r="AL58" i="3" s="1"/>
  <c r="AK57" i="3"/>
  <c r="AJ57" i="3"/>
  <c r="V57" i="3"/>
  <c r="AL57" i="3" s="1"/>
  <c r="AK56" i="3"/>
  <c r="AJ56" i="3"/>
  <c r="V56" i="3"/>
  <c r="AL56" i="3" s="1"/>
  <c r="AK55" i="3"/>
  <c r="AJ55" i="3"/>
  <c r="V55" i="3"/>
  <c r="AL55" i="3" s="1"/>
  <c r="AK54" i="3"/>
  <c r="AJ54" i="3"/>
  <c r="V54" i="3"/>
  <c r="AL54" i="3" s="1"/>
  <c r="AK981" i="3"/>
  <c r="AJ981" i="3"/>
  <c r="V981" i="3"/>
  <c r="AL981" i="3" s="1"/>
  <c r="AK975" i="3"/>
  <c r="AJ975" i="3"/>
  <c r="V975" i="3"/>
  <c r="AL975" i="3" s="1"/>
  <c r="AK965" i="3"/>
  <c r="AJ965" i="3"/>
  <c r="V965" i="3"/>
  <c r="AL965" i="3" s="1"/>
  <c r="AK964" i="3"/>
  <c r="AJ964" i="3"/>
  <c r="AL964" i="3"/>
  <c r="AK963" i="3"/>
  <c r="AJ963" i="3"/>
  <c r="V963" i="3"/>
  <c r="AL963" i="3" s="1"/>
  <c r="AK920" i="3"/>
  <c r="AJ920" i="3"/>
  <c r="V920" i="3"/>
  <c r="AL920" i="3" s="1"/>
  <c r="AK918" i="3"/>
  <c r="AJ918" i="3"/>
  <c r="V918" i="3"/>
  <c r="AL918" i="3" s="1"/>
  <c r="AK917" i="3"/>
  <c r="AJ917" i="3"/>
  <c r="V917" i="3"/>
  <c r="AL917" i="3" s="1"/>
  <c r="AK916" i="3"/>
  <c r="AJ916" i="3"/>
  <c r="V916" i="3"/>
  <c r="AL916" i="3" s="1"/>
  <c r="AK915" i="3"/>
  <c r="AJ915" i="3"/>
  <c r="V915" i="3"/>
  <c r="AL915" i="3" s="1"/>
  <c r="AK914" i="3"/>
  <c r="AJ914" i="3"/>
  <c r="V914" i="3"/>
  <c r="AL914" i="3" s="1"/>
  <c r="AK913" i="3"/>
  <c r="AJ913" i="3"/>
  <c r="V913" i="3"/>
  <c r="AL913" i="3" s="1"/>
  <c r="AK908" i="3"/>
  <c r="AJ908" i="3"/>
  <c r="V908" i="3"/>
  <c r="AL908" i="3" s="1"/>
  <c r="AK898" i="3"/>
  <c r="AJ898" i="3"/>
  <c r="V898" i="3"/>
  <c r="AL898" i="3" s="1"/>
  <c r="AK883" i="3"/>
  <c r="AJ883" i="3"/>
  <c r="V883" i="3"/>
  <c r="AL883" i="3" s="1"/>
  <c r="AK882" i="3"/>
  <c r="AJ882" i="3"/>
  <c r="V882" i="3"/>
  <c r="AL882" i="3" s="1"/>
  <c r="AK881" i="3"/>
  <c r="AJ881" i="3"/>
  <c r="V881" i="3"/>
  <c r="AL881" i="3" s="1"/>
  <c r="AK807" i="3"/>
  <c r="AJ807" i="3"/>
  <c r="V807" i="3"/>
  <c r="AL807" i="3" s="1"/>
  <c r="AK814" i="3"/>
  <c r="AJ814" i="3"/>
  <c r="V814" i="3"/>
  <c r="AL814" i="3" s="1"/>
  <c r="AK813" i="3"/>
  <c r="AJ813" i="3"/>
  <c r="V813" i="3"/>
  <c r="AL813" i="3" s="1"/>
  <c r="AK812" i="3"/>
  <c r="AJ812" i="3"/>
  <c r="V812" i="3"/>
  <c r="AL812" i="3" s="1"/>
  <c r="AK811" i="3"/>
  <c r="AJ811" i="3"/>
  <c r="V811" i="3"/>
  <c r="AL811" i="3" s="1"/>
  <c r="AK810" i="3"/>
  <c r="AJ810" i="3"/>
  <c r="V810" i="3"/>
  <c r="AL810" i="3" s="1"/>
  <c r="AK809" i="3"/>
  <c r="AJ809" i="3"/>
  <c r="V809" i="3"/>
  <c r="AL809" i="3" s="1"/>
  <c r="AK343" i="3"/>
  <c r="AJ343" i="3"/>
  <c r="V343" i="3"/>
  <c r="AL343" i="3" s="1"/>
  <c r="AK337" i="3"/>
  <c r="AJ337" i="3"/>
  <c r="V337" i="3"/>
  <c r="AL337" i="3" s="1"/>
  <c r="AK327" i="3"/>
  <c r="AJ327" i="3"/>
  <c r="V327" i="3"/>
  <c r="AL327" i="3" s="1"/>
  <c r="AK326" i="3"/>
  <c r="AJ326" i="3"/>
  <c r="V326" i="3"/>
  <c r="AL326" i="3" s="1"/>
  <c r="AK325" i="3"/>
  <c r="AJ325" i="3"/>
  <c r="V325" i="3"/>
  <c r="AL325" i="3" s="1"/>
  <c r="AK284" i="3"/>
  <c r="AJ284" i="3"/>
  <c r="V284" i="3"/>
  <c r="AL284" i="3" s="1"/>
  <c r="AK283" i="3"/>
  <c r="AJ283" i="3"/>
  <c r="V283" i="3"/>
  <c r="AL283" i="3" s="1"/>
  <c r="AK282" i="3"/>
  <c r="AJ282" i="3"/>
  <c r="AL282" i="3"/>
  <c r="AK281" i="3"/>
  <c r="AJ281" i="3"/>
  <c r="V281" i="3"/>
  <c r="AL281" i="3" s="1"/>
  <c r="AK280" i="3"/>
  <c r="AJ280" i="3"/>
  <c r="V280" i="3"/>
  <c r="AL280" i="3" s="1"/>
  <c r="AK279" i="3"/>
  <c r="AJ279" i="3"/>
  <c r="V279" i="3"/>
  <c r="AL279" i="3" s="1"/>
  <c r="AK278" i="3"/>
  <c r="AJ278" i="3"/>
  <c r="V278" i="3"/>
  <c r="AL278" i="3" s="1"/>
  <c r="AK788" i="3"/>
  <c r="AJ788" i="3"/>
  <c r="V788" i="3"/>
  <c r="AL788" i="3" s="1"/>
  <c r="AK779" i="3"/>
  <c r="AJ779" i="3"/>
  <c r="V779" i="3"/>
  <c r="AL779" i="3" s="1"/>
  <c r="AK765" i="3"/>
  <c r="AJ765" i="3"/>
  <c r="V765" i="3"/>
  <c r="AL765" i="3" s="1"/>
  <c r="AK764" i="3"/>
  <c r="AJ764" i="3"/>
  <c r="V764" i="3"/>
  <c r="AL764" i="3" s="1"/>
  <c r="AK763" i="3"/>
  <c r="AJ763" i="3"/>
  <c r="V763" i="3"/>
  <c r="AL763" i="3" s="1"/>
  <c r="AK697" i="3"/>
  <c r="AJ697" i="3"/>
  <c r="V697" i="3"/>
  <c r="AL697" i="3" s="1"/>
  <c r="AK704" i="3"/>
  <c r="AJ704" i="3"/>
  <c r="V704" i="3"/>
  <c r="AL704" i="3" s="1"/>
  <c r="AK703" i="3"/>
  <c r="AJ703" i="3"/>
  <c r="V703" i="3"/>
  <c r="AL703" i="3" s="1"/>
  <c r="AK701" i="3"/>
  <c r="AJ701" i="3"/>
  <c r="V701" i="3"/>
  <c r="AL701" i="3" s="1"/>
  <c r="AK700" i="3"/>
  <c r="AJ700" i="3"/>
  <c r="V700" i="3"/>
  <c r="AL700" i="3" s="1"/>
  <c r="AK699" i="3"/>
  <c r="AJ699" i="3"/>
  <c r="V699" i="3"/>
  <c r="AL699" i="3" s="1"/>
  <c r="AK702" i="3"/>
  <c r="AJ702" i="3"/>
  <c r="V702" i="3"/>
  <c r="AL702" i="3" s="1"/>
  <c r="AK632" i="3"/>
  <c r="AJ632" i="3"/>
  <c r="V632" i="3"/>
  <c r="AL632" i="3" s="1"/>
  <c r="AK624" i="3"/>
  <c r="AJ624" i="3"/>
  <c r="V624" i="3"/>
  <c r="AL624" i="3" s="1"/>
  <c r="AK612" i="3"/>
  <c r="AJ612" i="3"/>
  <c r="V612" i="3"/>
  <c r="AL612" i="3" s="1"/>
  <c r="AK611" i="3"/>
  <c r="AJ611" i="3"/>
  <c r="V611" i="3"/>
  <c r="AL611" i="3" s="1"/>
  <c r="AK610" i="3"/>
  <c r="AJ610" i="3"/>
  <c r="V610" i="3"/>
  <c r="AL610" i="3" s="1"/>
  <c r="AK509" i="3"/>
  <c r="AJ509" i="3"/>
  <c r="V509" i="3"/>
  <c r="AL509" i="3" s="1"/>
  <c r="AK543" i="3"/>
  <c r="AJ543" i="3"/>
  <c r="V543" i="3"/>
  <c r="AL543" i="3" s="1"/>
  <c r="AK542" i="3"/>
  <c r="AJ542" i="3"/>
  <c r="V542" i="3"/>
  <c r="AL542" i="3" s="1"/>
  <c r="AK541" i="3"/>
  <c r="AJ541" i="3"/>
  <c r="V541" i="3"/>
  <c r="AL541" i="3" s="1"/>
  <c r="AK540" i="3"/>
  <c r="AJ540" i="3"/>
  <c r="V540" i="3"/>
  <c r="AL540" i="3" s="1"/>
  <c r="AK539" i="3"/>
  <c r="AJ539" i="3"/>
  <c r="V539" i="3"/>
  <c r="AL539" i="3" s="1"/>
  <c r="AK538" i="3"/>
  <c r="AJ538" i="3"/>
  <c r="V538" i="3"/>
  <c r="AL538" i="3" s="1"/>
  <c r="AK535" i="3"/>
  <c r="AJ535" i="3"/>
  <c r="V535" i="3"/>
  <c r="AL535" i="3" s="1"/>
  <c r="AK529" i="3"/>
  <c r="AJ529" i="3"/>
  <c r="V529" i="3"/>
  <c r="AL529" i="3" s="1"/>
  <c r="AK519" i="3"/>
  <c r="AJ519" i="3"/>
  <c r="V519" i="3"/>
  <c r="AL519" i="3" s="1"/>
  <c r="AK518" i="3"/>
  <c r="AJ518" i="3"/>
  <c r="V518" i="3"/>
  <c r="AL518" i="3" s="1"/>
  <c r="AK517" i="3"/>
  <c r="AJ517" i="3"/>
  <c r="V517" i="3"/>
  <c r="AL517" i="3" s="1"/>
  <c r="AK471" i="3"/>
  <c r="AJ471" i="3"/>
  <c r="V471" i="3"/>
  <c r="AL471" i="3" s="1"/>
  <c r="AK470" i="3"/>
  <c r="AJ470" i="3"/>
  <c r="V470" i="3"/>
  <c r="AL470" i="3" s="1"/>
  <c r="AK469" i="3"/>
  <c r="AJ469" i="3"/>
  <c r="V469" i="3"/>
  <c r="AL469" i="3" s="1"/>
  <c r="AK468" i="3"/>
  <c r="AJ468" i="3"/>
  <c r="V468" i="3"/>
  <c r="AL468" i="3" s="1"/>
  <c r="AK467" i="3"/>
  <c r="AJ467" i="3"/>
  <c r="V467" i="3"/>
  <c r="AL467" i="3" s="1"/>
  <c r="AK466" i="3"/>
  <c r="AJ466" i="3"/>
  <c r="V466" i="3"/>
  <c r="AL466" i="3" s="1"/>
  <c r="AK465" i="3"/>
  <c r="AJ465" i="3"/>
  <c r="V465" i="3"/>
  <c r="AL465" i="3" s="1"/>
  <c r="AK459" i="3"/>
  <c r="AJ459" i="3"/>
  <c r="V459" i="3"/>
  <c r="AL459" i="3" s="1"/>
  <c r="AK449" i="3"/>
  <c r="AJ449" i="3"/>
  <c r="V449" i="3"/>
  <c r="AL449" i="3" s="1"/>
  <c r="AK432" i="3"/>
  <c r="AJ432" i="3"/>
  <c r="V432" i="3"/>
  <c r="AL432" i="3" s="1"/>
  <c r="AK431" i="3"/>
  <c r="AJ431" i="3"/>
  <c r="V431" i="3"/>
  <c r="AL431" i="3" s="1"/>
  <c r="AK430" i="3"/>
  <c r="AJ430" i="3"/>
  <c r="V430" i="3"/>
  <c r="AL430" i="3" s="1"/>
  <c r="AK383" i="3"/>
  <c r="AJ383" i="3"/>
  <c r="V383" i="3"/>
  <c r="AL383" i="3" s="1"/>
  <c r="AK382" i="3"/>
  <c r="AJ382" i="3"/>
  <c r="V382" i="3"/>
  <c r="AL382" i="3" s="1"/>
  <c r="AK380" i="3"/>
  <c r="AJ380" i="3"/>
  <c r="V380" i="3"/>
  <c r="AL380" i="3" s="1"/>
  <c r="AK381" i="3"/>
  <c r="AJ381" i="3"/>
  <c r="V381" i="3"/>
  <c r="AL381" i="3" s="1"/>
  <c r="AK379" i="3"/>
  <c r="AJ379" i="3"/>
  <c r="V379" i="3"/>
  <c r="AL379" i="3" s="1"/>
  <c r="AK378" i="3"/>
  <c r="AJ378" i="3"/>
  <c r="V378" i="3"/>
  <c r="AL378" i="3" s="1"/>
  <c r="AK377" i="3"/>
  <c r="AJ377" i="3"/>
  <c r="V377" i="3"/>
  <c r="AL377" i="3" s="1"/>
  <c r="AK274" i="3"/>
  <c r="AJ274" i="3"/>
  <c r="V274" i="3"/>
  <c r="AL274" i="3" s="1"/>
  <c r="AK263" i="3"/>
  <c r="AJ263" i="3"/>
  <c r="V263" i="3"/>
  <c r="AL263" i="3" s="1"/>
  <c r="AK247" i="3"/>
  <c r="AJ247" i="3"/>
  <c r="V247" i="3"/>
  <c r="AK246" i="3"/>
  <c r="AJ246" i="3"/>
  <c r="V246" i="3"/>
  <c r="AK245" i="3"/>
  <c r="AJ245" i="3"/>
  <c r="V245" i="3"/>
  <c r="AK213" i="3"/>
  <c r="AJ213" i="3"/>
  <c r="AL213" i="3"/>
  <c r="AK211" i="3"/>
  <c r="AJ211" i="3"/>
  <c r="AL211" i="3"/>
  <c r="AK192" i="3"/>
  <c r="AJ192" i="3"/>
  <c r="AK190" i="3"/>
  <c r="AJ190" i="3"/>
  <c r="AK185" i="3"/>
  <c r="AJ185" i="3"/>
  <c r="V185" i="3"/>
  <c r="X185" i="3" s="1"/>
  <c r="AK183" i="3"/>
  <c r="AJ183" i="3"/>
  <c r="V183" i="3"/>
  <c r="X183" i="3" s="1"/>
  <c r="AK181" i="3"/>
  <c r="AJ181" i="3"/>
  <c r="V181" i="3"/>
  <c r="AK53" i="3"/>
  <c r="AJ53" i="3"/>
  <c r="V53" i="3"/>
  <c r="AL53" i="3" s="1"/>
  <c r="AK52" i="3"/>
  <c r="AJ52" i="3"/>
  <c r="V52" i="3"/>
  <c r="AL52" i="3" s="1"/>
  <c r="AK51" i="3"/>
  <c r="AJ51" i="3"/>
  <c r="AL51" i="3"/>
  <c r="AK50" i="3"/>
  <c r="AJ50" i="3"/>
  <c r="AL50" i="3"/>
  <c r="AK48" i="3"/>
  <c r="AJ48" i="3"/>
  <c r="AL48" i="3"/>
  <c r="AK37" i="3"/>
  <c r="AJ37" i="3"/>
  <c r="V37" i="3"/>
  <c r="AL37" i="3" s="1"/>
  <c r="AK47" i="3"/>
  <c r="AJ47" i="3"/>
  <c r="V47" i="3"/>
  <c r="AL47" i="3" s="1"/>
  <c r="AK46" i="3"/>
  <c r="AJ46" i="3"/>
  <c r="V46" i="3"/>
  <c r="AL46" i="3" s="1"/>
  <c r="AK45" i="3"/>
  <c r="AJ45" i="3"/>
  <c r="V45" i="3"/>
  <c r="AL45" i="3" s="1"/>
  <c r="AK44" i="3"/>
  <c r="AJ44" i="3"/>
  <c r="V44" i="3"/>
  <c r="AL44" i="3" s="1"/>
  <c r="AK43" i="3"/>
  <c r="AJ43" i="3"/>
  <c r="V43" i="3"/>
  <c r="AL43" i="3" s="1"/>
  <c r="AK42" i="3"/>
  <c r="AJ42" i="3"/>
  <c r="V42" i="3"/>
  <c r="AL42" i="3" s="1"/>
  <c r="AK787" i="3"/>
  <c r="AJ787" i="3"/>
  <c r="V787" i="3"/>
  <c r="AL787" i="3" s="1"/>
  <c r="AK778" i="3"/>
  <c r="AJ778" i="3"/>
  <c r="V778" i="3"/>
  <c r="AL778" i="3" s="1"/>
  <c r="AK762" i="3"/>
  <c r="AJ762" i="3"/>
  <c r="V762" i="3"/>
  <c r="AL762" i="3" s="1"/>
  <c r="AK761" i="3"/>
  <c r="AJ761" i="3"/>
  <c r="V761" i="3"/>
  <c r="AL761" i="3" s="1"/>
  <c r="AK760" i="3"/>
  <c r="AJ760" i="3"/>
  <c r="V760" i="3"/>
  <c r="AL760" i="3" s="1"/>
  <c r="AK661" i="3"/>
  <c r="AJ661" i="3"/>
  <c r="V661" i="3"/>
  <c r="AL661" i="3" s="1"/>
  <c r="AK689" i="3"/>
  <c r="AJ689" i="3"/>
  <c r="V689" i="3"/>
  <c r="AL689" i="3" s="1"/>
  <c r="AK688" i="3"/>
  <c r="AJ688" i="3"/>
  <c r="V688" i="3"/>
  <c r="AL688" i="3" s="1"/>
  <c r="AK686" i="3"/>
  <c r="AJ686" i="3"/>
  <c r="V686" i="3"/>
  <c r="AL686" i="3" s="1"/>
  <c r="AK685" i="3"/>
  <c r="AJ685" i="3"/>
  <c r="V685" i="3"/>
  <c r="AL685" i="3" s="1"/>
  <c r="AK684" i="3"/>
  <c r="AJ684" i="3"/>
  <c r="V684" i="3"/>
  <c r="AL684" i="3" s="1"/>
  <c r="AK687" i="3"/>
  <c r="AJ687" i="3"/>
  <c r="V687" i="3"/>
  <c r="AL687" i="3" s="1"/>
  <c r="AK980" i="3"/>
  <c r="AJ980" i="3"/>
  <c r="V980" i="3"/>
  <c r="AL980" i="3" s="1"/>
  <c r="AK974" i="3"/>
  <c r="AJ974" i="3"/>
  <c r="V974" i="3"/>
  <c r="AL974" i="3" s="1"/>
  <c r="AK962" i="3"/>
  <c r="AJ962" i="3"/>
  <c r="V962" i="3"/>
  <c r="AL962" i="3" s="1"/>
  <c r="AK961" i="3"/>
  <c r="V961" i="3"/>
  <c r="AL961" i="3" s="1"/>
  <c r="AK960" i="3"/>
  <c r="V960" i="3"/>
  <c r="AL960" i="3" s="1"/>
  <c r="AK951" i="3"/>
  <c r="V951" i="3"/>
  <c r="AL951" i="3" s="1"/>
  <c r="V950" i="3"/>
  <c r="AL950" i="3" s="1"/>
  <c r="AK949" i="3"/>
  <c r="V949" i="3"/>
  <c r="AL949" i="3" s="1"/>
  <c r="AK948" i="3"/>
  <c r="V948" i="3"/>
  <c r="AL948" i="3" s="1"/>
  <c r="AK945" i="3"/>
  <c r="V945" i="3"/>
  <c r="AL945" i="3" s="1"/>
  <c r="AK939" i="3"/>
  <c r="V939" i="3"/>
  <c r="AL939" i="3" s="1"/>
  <c r="AK938" i="3"/>
  <c r="V938" i="3"/>
  <c r="AL938" i="3" s="1"/>
  <c r="AK907" i="3"/>
  <c r="AJ907" i="3"/>
  <c r="V907" i="3"/>
  <c r="AL907" i="3" s="1"/>
  <c r="AK897" i="3"/>
  <c r="AJ897" i="3"/>
  <c r="V897" i="3"/>
  <c r="AL897" i="3" s="1"/>
  <c r="AK880" i="3"/>
  <c r="AJ880" i="3"/>
  <c r="V880" i="3"/>
  <c r="AL880" i="3" s="1"/>
  <c r="AK879" i="3"/>
  <c r="AJ879" i="3"/>
  <c r="V879" i="3"/>
  <c r="AL879" i="3" s="1"/>
  <c r="AK878" i="3"/>
  <c r="AJ878" i="3"/>
  <c r="V878" i="3"/>
  <c r="AL878" i="3" s="1"/>
  <c r="AK836" i="3"/>
  <c r="AJ836" i="3"/>
  <c r="V836" i="3"/>
  <c r="AL836" i="3" s="1"/>
  <c r="AK849" i="3"/>
  <c r="AJ849" i="3"/>
  <c r="V849" i="3"/>
  <c r="AL849" i="3" s="1"/>
  <c r="AJ845" i="3"/>
  <c r="AD845" i="3"/>
  <c r="AK845" i="3" s="1"/>
  <c r="P845" i="3"/>
  <c r="O845" i="3"/>
  <c r="N845" i="3"/>
  <c r="J845" i="3"/>
  <c r="AK844" i="3"/>
  <c r="AJ844" i="3"/>
  <c r="V844" i="3"/>
  <c r="AL844" i="3" s="1"/>
  <c r="J844" i="3"/>
  <c r="AK843" i="3"/>
  <c r="AJ843" i="3"/>
  <c r="V843" i="3"/>
  <c r="AL843" i="3" s="1"/>
  <c r="AK842" i="3"/>
  <c r="AJ842" i="3"/>
  <c r="V842" i="3"/>
  <c r="AL842" i="3" s="1"/>
  <c r="AK841" i="3"/>
  <c r="AJ841" i="3"/>
  <c r="V841" i="3"/>
  <c r="AL841" i="3" s="1"/>
  <c r="AK342" i="3"/>
  <c r="AJ342" i="3"/>
  <c r="V342" i="3"/>
  <c r="AL342" i="3" s="1"/>
  <c r="AK336" i="3"/>
  <c r="AJ336" i="3"/>
  <c r="V336" i="3"/>
  <c r="AL336" i="3" s="1"/>
  <c r="AK324" i="3"/>
  <c r="AJ324" i="3"/>
  <c r="V324" i="3"/>
  <c r="AL324" i="3" s="1"/>
  <c r="AK323" i="3"/>
  <c r="AJ323" i="3"/>
  <c r="V323" i="3"/>
  <c r="AL323" i="3" s="1"/>
  <c r="AK322" i="3"/>
  <c r="AJ322" i="3"/>
  <c r="AL322" i="3"/>
  <c r="AK312" i="3"/>
  <c r="AJ312" i="3"/>
  <c r="AL312" i="3"/>
  <c r="AK270" i="3"/>
  <c r="AJ270" i="3"/>
  <c r="AL270" i="3"/>
  <c r="AK269" i="3"/>
  <c r="AJ269" i="3"/>
  <c r="AL269" i="3"/>
  <c r="AK189" i="3"/>
  <c r="AJ189" i="3"/>
  <c r="AL189" i="3"/>
  <c r="AK188" i="3"/>
  <c r="AJ188" i="3"/>
  <c r="AL188" i="3"/>
  <c r="AK311" i="3"/>
  <c r="AJ311" i="3"/>
  <c r="V311" i="3"/>
  <c r="AL311" i="3" s="1"/>
  <c r="AK310" i="3"/>
  <c r="AJ310" i="3"/>
  <c r="V310" i="3"/>
  <c r="AL310" i="3" s="1"/>
  <c r="AK786" i="3"/>
  <c r="AJ786" i="3"/>
  <c r="V786" i="3"/>
  <c r="AL786" i="3" s="1"/>
  <c r="AK777" i="3"/>
  <c r="AJ777" i="3"/>
  <c r="V777" i="3"/>
  <c r="AL777" i="3" s="1"/>
  <c r="AK759" i="3"/>
  <c r="AJ759" i="3"/>
  <c r="V759" i="3"/>
  <c r="AL759" i="3" s="1"/>
  <c r="AK758" i="3"/>
  <c r="AJ758" i="3"/>
  <c r="V758" i="3"/>
  <c r="AL758" i="3" s="1"/>
  <c r="AK757" i="3"/>
  <c r="AJ757" i="3"/>
  <c r="V757" i="3"/>
  <c r="AL757" i="3" s="1"/>
  <c r="AK732" i="3"/>
  <c r="AJ732" i="3"/>
  <c r="V732" i="3"/>
  <c r="AL732" i="3" s="1"/>
  <c r="AK740" i="3"/>
  <c r="AJ740" i="3"/>
  <c r="V740" i="3"/>
  <c r="AL740" i="3" s="1"/>
  <c r="AK728" i="3"/>
  <c r="AJ728" i="3"/>
  <c r="V728" i="3"/>
  <c r="AL728" i="3" s="1"/>
  <c r="AK727" i="3"/>
  <c r="AJ727" i="3"/>
  <c r="V727" i="3"/>
  <c r="AL727" i="3" s="1"/>
  <c r="AK726" i="3"/>
  <c r="AJ726" i="3"/>
  <c r="V726" i="3"/>
  <c r="AL726" i="3" s="1"/>
  <c r="AK725" i="3"/>
  <c r="AJ725" i="3"/>
  <c r="V725" i="3"/>
  <c r="AL725" i="3" s="1"/>
  <c r="AK721" i="3"/>
  <c r="AJ721" i="3"/>
  <c r="V721" i="3"/>
  <c r="AL721" i="3" s="1"/>
  <c r="AK631" i="3"/>
  <c r="AJ631" i="3"/>
  <c r="V631" i="3"/>
  <c r="AL631" i="3" s="1"/>
  <c r="AK623" i="3"/>
  <c r="AJ623" i="3"/>
  <c r="V623" i="3"/>
  <c r="AL623" i="3" s="1"/>
  <c r="AK609" i="3"/>
  <c r="AJ609" i="3"/>
  <c r="V609" i="3"/>
  <c r="AL609" i="3" s="1"/>
  <c r="AK608" i="3"/>
  <c r="AJ608" i="3"/>
  <c r="V608" i="3"/>
  <c r="AL608" i="3" s="1"/>
  <c r="AK607" i="3"/>
  <c r="AJ607" i="3"/>
  <c r="V607" i="3"/>
  <c r="AL607" i="3" s="1"/>
  <c r="AK578" i="3"/>
  <c r="AJ578" i="3"/>
  <c r="V578" i="3"/>
  <c r="AL578" i="3" s="1"/>
  <c r="AK591" i="3"/>
  <c r="AJ591" i="3"/>
  <c r="V591" i="3"/>
  <c r="AL591" i="3" s="1"/>
  <c r="AK590" i="3"/>
  <c r="AJ590" i="3"/>
  <c r="V590" i="3"/>
  <c r="AL590" i="3" s="1"/>
  <c r="AK589" i="3"/>
  <c r="AJ589" i="3"/>
  <c r="V589" i="3"/>
  <c r="AL589" i="3" s="1"/>
  <c r="AK588" i="3"/>
  <c r="AJ588" i="3"/>
  <c r="V588" i="3"/>
  <c r="AL588" i="3" s="1"/>
  <c r="AK587" i="3"/>
  <c r="AJ587" i="3"/>
  <c r="V587" i="3"/>
  <c r="AL587" i="3" s="1"/>
  <c r="AK586" i="3"/>
  <c r="AJ586" i="3"/>
  <c r="V586" i="3"/>
  <c r="AL586" i="3" s="1"/>
  <c r="AK534" i="3"/>
  <c r="AJ534" i="3"/>
  <c r="V534" i="3"/>
  <c r="AL534" i="3" s="1"/>
  <c r="AK528" i="3"/>
  <c r="AJ528" i="3"/>
  <c r="V528" i="3"/>
  <c r="AL528" i="3" s="1"/>
  <c r="AK516" i="3"/>
  <c r="AJ516" i="3"/>
  <c r="V516" i="3"/>
  <c r="AL516" i="3" s="1"/>
  <c r="AK515" i="3"/>
  <c r="AJ515" i="3"/>
  <c r="V515" i="3"/>
  <c r="AL515" i="3" s="1"/>
  <c r="AK514" i="3"/>
  <c r="AJ514" i="3"/>
  <c r="V514" i="3"/>
  <c r="AL514" i="3" s="1"/>
  <c r="AK502" i="3"/>
  <c r="AJ502" i="3"/>
  <c r="V502" i="3"/>
  <c r="AL502" i="3" s="1"/>
  <c r="AK508" i="3"/>
  <c r="AJ508" i="3"/>
  <c r="V508" i="3"/>
  <c r="AL508" i="3" s="1"/>
  <c r="AK507" i="3"/>
  <c r="AJ507" i="3"/>
  <c r="V507" i="3"/>
  <c r="AL507" i="3" s="1"/>
  <c r="AK506" i="3"/>
  <c r="AJ506" i="3"/>
  <c r="V506" i="3"/>
  <c r="AL506" i="3" s="1"/>
  <c r="AK511" i="3"/>
  <c r="AJ511" i="3"/>
  <c r="V511" i="3"/>
  <c r="AL511" i="3" s="1"/>
  <c r="AK513" i="3"/>
  <c r="AJ513" i="3"/>
  <c r="V513" i="3"/>
  <c r="AL513" i="3" s="1"/>
  <c r="AK512" i="3"/>
  <c r="AJ512" i="3"/>
  <c r="V512" i="3"/>
  <c r="AL512" i="3" s="1"/>
  <c r="AK457" i="3"/>
  <c r="AJ457" i="3"/>
  <c r="V457" i="3"/>
  <c r="AL457" i="3" s="1"/>
  <c r="AK447" i="3"/>
  <c r="AJ447" i="3"/>
  <c r="V447" i="3"/>
  <c r="AL447" i="3" s="1"/>
  <c r="AK429" i="3"/>
  <c r="AJ429" i="3"/>
  <c r="V429" i="3"/>
  <c r="AL429" i="3" s="1"/>
  <c r="AK428" i="3"/>
  <c r="AJ428" i="3"/>
  <c r="V428" i="3"/>
  <c r="AL428" i="3" s="1"/>
  <c r="AK427" i="3"/>
  <c r="AJ427" i="3"/>
  <c r="V427" i="3"/>
  <c r="AL427" i="3" s="1"/>
  <c r="AK399" i="3"/>
  <c r="AJ399" i="3"/>
  <c r="V399" i="3"/>
  <c r="AL399" i="3" s="1"/>
  <c r="AK398" i="3"/>
  <c r="AJ398" i="3"/>
  <c r="AL398" i="3"/>
  <c r="AK397" i="3"/>
  <c r="AJ397" i="3"/>
  <c r="V397" i="3"/>
  <c r="AL397" i="3" s="1"/>
  <c r="AK396" i="3"/>
  <c r="AJ396" i="3"/>
  <c r="V396" i="3"/>
  <c r="AL396" i="3" s="1"/>
  <c r="AK395" i="3"/>
  <c r="AJ395" i="3"/>
  <c r="V395" i="3"/>
  <c r="AL395" i="3" s="1"/>
  <c r="AK394" i="3"/>
  <c r="AJ394" i="3"/>
  <c r="V394" i="3"/>
  <c r="AL394" i="3" s="1"/>
  <c r="AK393" i="3"/>
  <c r="AJ393" i="3"/>
  <c r="V393" i="3"/>
  <c r="AL393" i="3" s="1"/>
  <c r="AK273" i="3"/>
  <c r="AJ273" i="3"/>
  <c r="V273" i="3"/>
  <c r="AL273" i="3" s="1"/>
  <c r="AK262" i="3"/>
  <c r="AJ262" i="3"/>
  <c r="V262" i="3"/>
  <c r="AL262" i="3" s="1"/>
  <c r="AK243" i="3"/>
  <c r="AJ243" i="3"/>
  <c r="V243" i="3"/>
  <c r="AK242" i="3"/>
  <c r="AJ242" i="3"/>
  <c r="V242" i="3"/>
  <c r="AK236" i="3"/>
  <c r="AJ236" i="3"/>
  <c r="V236" i="3"/>
  <c r="AK214" i="3"/>
  <c r="AJ214" i="3"/>
  <c r="V214" i="3"/>
  <c r="AK212" i="3"/>
  <c r="AJ212" i="3"/>
  <c r="V212" i="3"/>
  <c r="AK210" i="3"/>
  <c r="AJ210" i="3"/>
  <c r="V210" i="3"/>
  <c r="X210" i="3" s="1"/>
  <c r="AK191" i="3"/>
  <c r="AJ191" i="3"/>
  <c r="V191" i="3"/>
  <c r="X191" i="3" s="1"/>
  <c r="AK186" i="3"/>
  <c r="AJ186" i="3"/>
  <c r="V186" i="3"/>
  <c r="X186" i="3" s="1"/>
  <c r="AK184" i="3"/>
  <c r="AJ184" i="3"/>
  <c r="V184" i="3"/>
  <c r="AK182" i="3"/>
  <c r="AJ182" i="3"/>
  <c r="V182" i="3"/>
  <c r="X182" i="3" s="1"/>
  <c r="AK41" i="3"/>
  <c r="AJ41" i="3"/>
  <c r="V41" i="3"/>
  <c r="AL41" i="3" s="1"/>
  <c r="AK40" i="3"/>
  <c r="AJ40" i="3"/>
  <c r="V40" i="3"/>
  <c r="AL40" i="3" s="1"/>
  <c r="AK39" i="3"/>
  <c r="AJ39" i="3"/>
  <c r="V39" i="3"/>
  <c r="AL39" i="3" s="1"/>
  <c r="AK38" i="3"/>
  <c r="AJ38" i="3"/>
  <c r="V38" i="3"/>
  <c r="AL38" i="3" s="1"/>
  <c r="AK36" i="3"/>
  <c r="AJ36" i="3"/>
  <c r="V36" i="3"/>
  <c r="AL36" i="3" s="1"/>
  <c r="AK25" i="3"/>
  <c r="AJ25" i="3"/>
  <c r="V25" i="3"/>
  <c r="AL25" i="3" s="1"/>
  <c r="AK35" i="3"/>
  <c r="AJ35" i="3"/>
  <c r="V35" i="3"/>
  <c r="AL35" i="3" s="1"/>
  <c r="AK34" i="3"/>
  <c r="AJ34" i="3"/>
  <c r="V34" i="3"/>
  <c r="AL34" i="3" s="1"/>
  <c r="AK33" i="3"/>
  <c r="AJ33" i="3"/>
  <c r="V33" i="3"/>
  <c r="AL33" i="3" s="1"/>
  <c r="AK32" i="3"/>
  <c r="AJ32" i="3"/>
  <c r="V32" i="3"/>
  <c r="AL32" i="3" s="1"/>
  <c r="AK31" i="3"/>
  <c r="AJ31" i="3"/>
  <c r="V31" i="3"/>
  <c r="AL31" i="3" s="1"/>
  <c r="AK30" i="3"/>
  <c r="AJ30" i="3"/>
  <c r="V30" i="3"/>
  <c r="AL30" i="3" s="1"/>
  <c r="AK630" i="3"/>
  <c r="AJ630" i="3"/>
  <c r="V630" i="3"/>
  <c r="AL630" i="3" s="1"/>
  <c r="AK622" i="3"/>
  <c r="AJ622" i="3"/>
  <c r="V622" i="3"/>
  <c r="AL622" i="3" s="1"/>
  <c r="AK606" i="3"/>
  <c r="AJ606" i="3"/>
  <c r="V606" i="3"/>
  <c r="AL606" i="3" s="1"/>
  <c r="AK605" i="3"/>
  <c r="AJ605" i="3"/>
  <c r="V605" i="3"/>
  <c r="AL605" i="3" s="1"/>
  <c r="AK604" i="3"/>
  <c r="AJ604" i="3"/>
  <c r="V604" i="3"/>
  <c r="AL604" i="3" s="1"/>
  <c r="AK552" i="3"/>
  <c r="AJ552" i="3"/>
  <c r="V552" i="3"/>
  <c r="AL552" i="3" s="1"/>
  <c r="AK559" i="3"/>
  <c r="AJ559" i="3"/>
  <c r="V559" i="3"/>
  <c r="AL559" i="3" s="1"/>
  <c r="AK558" i="3"/>
  <c r="AJ558" i="3"/>
  <c r="AK557" i="3"/>
  <c r="AJ557" i="3"/>
  <c r="O557" i="3"/>
  <c r="AK556" i="3"/>
  <c r="AJ556" i="3"/>
  <c r="V556" i="3"/>
  <c r="AL556" i="3" s="1"/>
  <c r="AK555" i="3"/>
  <c r="AJ555" i="3"/>
  <c r="V555" i="3"/>
  <c r="AL555" i="3" s="1"/>
  <c r="AK554" i="3"/>
  <c r="AJ554" i="3"/>
  <c r="V554" i="3"/>
  <c r="AL554" i="3" s="1"/>
  <c r="AK979" i="3"/>
  <c r="V979" i="3"/>
  <c r="AL979" i="3" s="1"/>
  <c r="AK973" i="3"/>
  <c r="V973" i="3"/>
  <c r="AL973" i="3" s="1"/>
  <c r="AK953" i="3"/>
  <c r="V953" i="3"/>
  <c r="AL953" i="3" s="1"/>
  <c r="AK952" i="3"/>
  <c r="V952" i="3"/>
  <c r="AL952" i="3" s="1"/>
  <c r="AK936" i="3"/>
  <c r="V936" i="3"/>
  <c r="AL936" i="3" s="1"/>
  <c r="AK872" i="3"/>
  <c r="V872" i="3"/>
  <c r="AL872" i="3" s="1"/>
  <c r="V958" i="3"/>
  <c r="AL958" i="3" s="1"/>
  <c r="AK957" i="3"/>
  <c r="P957" i="3"/>
  <c r="AK959" i="3"/>
  <c r="V959" i="3"/>
  <c r="AL959" i="3" s="1"/>
  <c r="AK956" i="3"/>
  <c r="V956" i="3"/>
  <c r="AL956" i="3" s="1"/>
  <c r="AK955" i="3"/>
  <c r="AK954" i="3"/>
  <c r="AK911" i="3"/>
  <c r="AJ911" i="3"/>
  <c r="V911" i="3"/>
  <c r="AL911" i="3" s="1"/>
  <c r="AK900" i="3"/>
  <c r="AJ900" i="3"/>
  <c r="V900" i="3"/>
  <c r="AL900" i="3" s="1"/>
  <c r="AK877" i="3"/>
  <c r="AJ877" i="3"/>
  <c r="V877" i="3"/>
  <c r="AL877" i="3" s="1"/>
  <c r="AK876" i="3"/>
  <c r="AJ876" i="3"/>
  <c r="V876" i="3"/>
  <c r="AL876" i="3" s="1"/>
  <c r="AK875" i="3"/>
  <c r="AJ875" i="3"/>
  <c r="V875" i="3"/>
  <c r="AL875" i="3" s="1"/>
  <c r="AK863" i="3"/>
  <c r="AJ863" i="3"/>
  <c r="V863" i="3"/>
  <c r="AL863" i="3" s="1"/>
  <c r="AK871" i="3"/>
  <c r="AJ871" i="3"/>
  <c r="V871" i="3"/>
  <c r="AL871" i="3" s="1"/>
  <c r="AK870" i="3"/>
  <c r="AJ870" i="3"/>
  <c r="V870" i="3"/>
  <c r="AL870" i="3" s="1"/>
  <c r="AK869" i="3"/>
  <c r="AJ869" i="3"/>
  <c r="V869" i="3"/>
  <c r="AL869" i="3" s="1"/>
  <c r="AK868" i="3"/>
  <c r="AJ868" i="3"/>
  <c r="V868" i="3"/>
  <c r="AL868" i="3" s="1"/>
  <c r="AK867" i="3"/>
  <c r="AJ867" i="3"/>
  <c r="V867" i="3"/>
  <c r="AL867" i="3" s="1"/>
  <c r="AK866" i="3"/>
  <c r="AJ866" i="3"/>
  <c r="V866" i="3"/>
  <c r="AL866" i="3" s="1"/>
  <c r="AK341" i="3"/>
  <c r="AJ341" i="3"/>
  <c r="V341" i="3"/>
  <c r="AL341" i="3" s="1"/>
  <c r="AK335" i="3"/>
  <c r="AJ335" i="3"/>
  <c r="V335" i="3"/>
  <c r="AL335" i="3" s="1"/>
  <c r="AK321" i="3"/>
  <c r="AJ321" i="3"/>
  <c r="V321" i="3"/>
  <c r="AL321" i="3" s="1"/>
  <c r="AK313" i="3"/>
  <c r="AJ313" i="3"/>
  <c r="AL313" i="3"/>
  <c r="AK309" i="3"/>
  <c r="AJ309" i="3"/>
  <c r="V309" i="3"/>
  <c r="AL309" i="3" s="1"/>
  <c r="AK320" i="3"/>
  <c r="AJ320" i="3"/>
  <c r="V320" i="3"/>
  <c r="AL320" i="3" s="1"/>
  <c r="AJ319" i="3"/>
  <c r="AC319" i="3"/>
  <c r="AK319" i="3" s="1"/>
  <c r="V319" i="3"/>
  <c r="AL319" i="3" s="1"/>
  <c r="AK318" i="3"/>
  <c r="AJ318" i="3"/>
  <c r="V318" i="3"/>
  <c r="AL318" i="3" s="1"/>
  <c r="AJ317" i="3"/>
  <c r="AD317" i="3"/>
  <c r="AC317" i="3"/>
  <c r="V317" i="3"/>
  <c r="AL317" i="3" s="1"/>
  <c r="AK316" i="3"/>
  <c r="AJ316" i="3"/>
  <c r="V316" i="3"/>
  <c r="AL316" i="3" s="1"/>
  <c r="AK315" i="3"/>
  <c r="AJ315" i="3"/>
  <c r="V315" i="3"/>
  <c r="AL315" i="3" s="1"/>
  <c r="AJ314" i="3"/>
  <c r="AD314" i="3"/>
  <c r="AC314" i="3"/>
  <c r="V314" i="3"/>
  <c r="AL314" i="3" s="1"/>
  <c r="AK790" i="3"/>
  <c r="AJ790" i="3"/>
  <c r="V790" i="3"/>
  <c r="AL790" i="3" s="1"/>
  <c r="AK780" i="3"/>
  <c r="AJ780" i="3"/>
  <c r="V780" i="3"/>
  <c r="AL780" i="3" s="1"/>
  <c r="AK756" i="3"/>
  <c r="AJ756" i="3"/>
  <c r="V756" i="3"/>
  <c r="AL756" i="3" s="1"/>
  <c r="AK755" i="3"/>
  <c r="AJ755" i="3"/>
  <c r="V755" i="3"/>
  <c r="AL755" i="3" s="1"/>
  <c r="AK754" i="3"/>
  <c r="AJ754" i="3"/>
  <c r="V754" i="3"/>
  <c r="AL754" i="3" s="1"/>
  <c r="AK742" i="3"/>
  <c r="AJ742" i="3"/>
  <c r="AL742" i="3"/>
  <c r="AK751" i="3"/>
  <c r="AJ751" i="3"/>
  <c r="V751" i="3"/>
  <c r="AL751" i="3" s="1"/>
  <c r="AK750" i="3"/>
  <c r="AJ750" i="3"/>
  <c r="V750" i="3"/>
  <c r="AL750" i="3" s="1"/>
  <c r="AK744" i="3"/>
  <c r="AJ744" i="3"/>
  <c r="V744" i="3"/>
  <c r="AL744" i="3" s="1"/>
  <c r="AK748" i="3"/>
  <c r="AJ748" i="3"/>
  <c r="V748" i="3"/>
  <c r="AL748" i="3" s="1"/>
  <c r="AK746" i="3"/>
  <c r="AJ746" i="3"/>
  <c r="V746" i="3"/>
  <c r="AL746" i="3" s="1"/>
  <c r="AK749" i="3"/>
  <c r="AJ749" i="3"/>
  <c r="V749" i="3"/>
  <c r="AL749" i="3" s="1"/>
  <c r="AK678" i="3"/>
  <c r="AJ678" i="3"/>
  <c r="V678" i="3"/>
  <c r="AL678" i="3" s="1"/>
  <c r="AK677" i="3"/>
  <c r="AJ677" i="3"/>
  <c r="V677" i="3"/>
  <c r="AL677" i="3" s="1"/>
  <c r="AK676" i="3"/>
  <c r="AJ676" i="3"/>
  <c r="V676" i="3"/>
  <c r="AL676" i="3" s="1"/>
  <c r="AK675" i="3"/>
  <c r="AJ675" i="3"/>
  <c r="V675" i="3"/>
  <c r="AL675" i="3" s="1"/>
  <c r="AK674" i="3"/>
  <c r="AJ674" i="3"/>
  <c r="V674" i="3"/>
  <c r="AL674" i="3" s="1"/>
  <c r="AK655" i="3"/>
  <c r="AJ655" i="3"/>
  <c r="V655" i="3"/>
  <c r="AL655" i="3" s="1"/>
  <c r="AK662" i="3"/>
  <c r="AJ662" i="3"/>
  <c r="V662" i="3"/>
  <c r="AL662" i="3" s="1"/>
  <c r="AK660" i="3"/>
  <c r="AJ660" i="3"/>
  <c r="V660" i="3"/>
  <c r="AL660" i="3" s="1"/>
  <c r="AK659" i="3"/>
  <c r="AJ659" i="3"/>
  <c r="V659" i="3"/>
  <c r="AL659" i="3" s="1"/>
  <c r="AK658" i="3"/>
  <c r="AJ658" i="3"/>
  <c r="V658" i="3"/>
  <c r="AL658" i="3" s="1"/>
  <c r="AK657" i="3"/>
  <c r="AJ657" i="3"/>
  <c r="V657" i="3"/>
  <c r="AL657" i="3" s="1"/>
  <c r="AK656" i="3"/>
  <c r="AJ656" i="3"/>
  <c r="V656" i="3"/>
  <c r="AL656" i="3" s="1"/>
  <c r="AK629" i="3"/>
  <c r="AJ629" i="3"/>
  <c r="V629" i="3"/>
  <c r="AL629" i="3" s="1"/>
  <c r="AK621" i="3"/>
  <c r="AJ621" i="3"/>
  <c r="V621" i="3"/>
  <c r="AL621" i="3" s="1"/>
  <c r="AK603" i="3"/>
  <c r="AJ603" i="3"/>
  <c r="V603" i="3"/>
  <c r="AL603" i="3" s="1"/>
  <c r="AK602" i="3"/>
  <c r="AJ602" i="3"/>
  <c r="V602" i="3"/>
  <c r="AL602" i="3" s="1"/>
  <c r="AK601" i="3"/>
  <c r="AJ601" i="3"/>
  <c r="V601" i="3"/>
  <c r="AL601" i="3" s="1"/>
  <c r="AK595" i="3"/>
  <c r="AJ595" i="3"/>
  <c r="V595" i="3"/>
  <c r="AL595" i="3" s="1"/>
  <c r="AK600" i="3"/>
  <c r="AJ600" i="3"/>
  <c r="V600" i="3"/>
  <c r="AL600" i="3" s="1"/>
  <c r="P600" i="3"/>
  <c r="AK592" i="3"/>
  <c r="AJ592" i="3"/>
  <c r="AK599" i="3"/>
  <c r="AJ599" i="3"/>
  <c r="V599" i="3"/>
  <c r="AL599" i="3" s="1"/>
  <c r="AK561" i="3"/>
  <c r="AJ561" i="3"/>
  <c r="V561" i="3"/>
  <c r="AL561" i="3" s="1"/>
  <c r="AK593" i="3"/>
  <c r="AJ593" i="3"/>
  <c r="V593" i="3"/>
  <c r="AL593" i="3" s="1"/>
  <c r="AK594" i="3"/>
  <c r="AJ594" i="3"/>
  <c r="V594" i="3"/>
  <c r="AL594" i="3" s="1"/>
  <c r="AK187" i="3"/>
  <c r="AJ187" i="3"/>
  <c r="V187" i="3"/>
  <c r="AL187" i="3" s="1"/>
  <c r="AK533" i="3"/>
  <c r="AJ533" i="3"/>
  <c r="V533" i="3"/>
  <c r="AL533" i="3" s="1"/>
  <c r="AK527" i="3"/>
  <c r="AJ527" i="3"/>
  <c r="V527" i="3"/>
  <c r="AL527" i="3" s="1"/>
  <c r="AK510" i="3"/>
  <c r="AJ510" i="3"/>
  <c r="V510" i="3"/>
  <c r="AL510" i="3" s="1"/>
  <c r="AK505" i="3"/>
  <c r="AJ505" i="3"/>
  <c r="V505" i="3"/>
  <c r="AL505" i="3" s="1"/>
  <c r="AK496" i="3"/>
  <c r="AJ496" i="3"/>
  <c r="V496" i="3"/>
  <c r="AL496" i="3" s="1"/>
  <c r="AK498" i="3"/>
  <c r="AJ498" i="3"/>
  <c r="V498" i="3"/>
  <c r="AL498" i="3" s="1"/>
  <c r="AK504" i="3"/>
  <c r="AJ504" i="3"/>
  <c r="V504" i="3"/>
  <c r="AL504" i="3" s="1"/>
  <c r="AK503" i="3"/>
  <c r="AJ503" i="3"/>
  <c r="P503" i="3"/>
  <c r="AK499" i="3"/>
  <c r="AJ499" i="3"/>
  <c r="V499" i="3"/>
  <c r="AL499" i="3" s="1"/>
  <c r="P499" i="3"/>
  <c r="AK497" i="3"/>
  <c r="AJ497" i="3"/>
  <c r="Q497" i="3"/>
  <c r="AK501" i="3"/>
  <c r="AJ501" i="3"/>
  <c r="V501" i="3"/>
  <c r="AL501" i="3" s="1"/>
  <c r="AK500" i="3"/>
  <c r="AJ500" i="3"/>
  <c r="V500" i="3"/>
  <c r="AL500" i="3" s="1"/>
  <c r="AK458" i="3"/>
  <c r="AJ458" i="3"/>
  <c r="V458" i="3"/>
  <c r="AL458" i="3" s="1"/>
  <c r="AK448" i="3"/>
  <c r="AJ448" i="3"/>
  <c r="V448" i="3"/>
  <c r="AL448" i="3" s="1"/>
  <c r="AK426" i="3"/>
  <c r="AJ426" i="3"/>
  <c r="V426" i="3"/>
  <c r="AL426" i="3" s="1"/>
  <c r="AK425" i="3"/>
  <c r="AJ425" i="3"/>
  <c r="V425" i="3"/>
  <c r="AL425" i="3" s="1"/>
  <c r="AK423" i="3"/>
  <c r="AJ423" i="3"/>
  <c r="V423" i="3"/>
  <c r="AL423" i="3" s="1"/>
  <c r="AK424" i="3"/>
  <c r="AJ424" i="3"/>
  <c r="V424" i="3"/>
  <c r="AL424" i="3" s="1"/>
  <c r="AK422" i="3"/>
  <c r="AJ422" i="3"/>
  <c r="V422" i="3"/>
  <c r="AL422" i="3" s="1"/>
  <c r="AK421" i="3"/>
  <c r="AJ421" i="3"/>
  <c r="V421" i="3"/>
  <c r="AL421" i="3" s="1"/>
  <c r="AK418" i="3"/>
  <c r="AJ418" i="3"/>
  <c r="V418" i="3"/>
  <c r="AL418" i="3" s="1"/>
  <c r="AK420" i="3"/>
  <c r="AJ420" i="3"/>
  <c r="V420" i="3"/>
  <c r="AL420" i="3" s="1"/>
  <c r="AK419" i="3"/>
  <c r="AJ419" i="3"/>
  <c r="V419" i="3"/>
  <c r="AL419" i="3" s="1"/>
  <c r="AK417" i="3"/>
  <c r="AJ417" i="3"/>
  <c r="V417" i="3"/>
  <c r="AL417" i="3" s="1"/>
  <c r="AK272" i="3"/>
  <c r="AJ272" i="3"/>
  <c r="V272" i="3"/>
  <c r="AL272" i="3" s="1"/>
  <c r="AK261" i="3"/>
  <c r="AJ261" i="3"/>
  <c r="V261" i="3"/>
  <c r="AL261" i="3" s="1"/>
  <c r="AK241" i="3"/>
  <c r="AJ241" i="3"/>
  <c r="V241" i="3"/>
  <c r="AK240" i="3"/>
  <c r="AJ240" i="3"/>
  <c r="V240" i="3"/>
  <c r="AK238" i="3"/>
  <c r="AJ238" i="3"/>
  <c r="V238" i="3"/>
  <c r="AK237" i="3"/>
  <c r="AJ237" i="3"/>
  <c r="V237" i="3"/>
  <c r="X237" i="3" s="1"/>
  <c r="AD235" i="3"/>
  <c r="AC235" i="3"/>
  <c r="P235" i="3"/>
  <c r="M235" i="3"/>
  <c r="AJ234" i="3"/>
  <c r="AD234" i="3"/>
  <c r="AC234" i="3"/>
  <c r="V234" i="3"/>
  <c r="X234" i="3" s="1"/>
  <c r="AK233" i="3"/>
  <c r="M233" i="3"/>
  <c r="AJ233" i="3" s="1"/>
  <c r="AK218" i="3"/>
  <c r="AJ218" i="3"/>
  <c r="T218" i="3"/>
  <c r="AK136" i="3"/>
  <c r="AJ136" i="3"/>
  <c r="T136" i="3"/>
  <c r="AK121" i="3"/>
  <c r="AJ121" i="3"/>
  <c r="V121" i="3"/>
  <c r="X121" i="3" s="1"/>
  <c r="AK162" i="3"/>
  <c r="AJ162" i="3"/>
  <c r="V162" i="3"/>
  <c r="AL162" i="3" s="1"/>
  <c r="AK156" i="3"/>
  <c r="AJ156" i="3"/>
  <c r="V156" i="3"/>
  <c r="AL156" i="3" s="1"/>
  <c r="AK147" i="3"/>
  <c r="AJ147" i="3"/>
  <c r="V147" i="3"/>
  <c r="AL147" i="3" s="1"/>
  <c r="AK146" i="3"/>
  <c r="AJ146" i="3"/>
  <c r="V146" i="3"/>
  <c r="AL146" i="3" s="1"/>
  <c r="AK145" i="3"/>
  <c r="AJ145" i="3"/>
  <c r="V145" i="3"/>
  <c r="AL145" i="3" s="1"/>
  <c r="AK133" i="3"/>
  <c r="AJ133" i="3"/>
  <c r="V133" i="3"/>
  <c r="AL133" i="3" s="1"/>
  <c r="AK140" i="3"/>
  <c r="AJ140" i="3"/>
  <c r="V140" i="3"/>
  <c r="AL140" i="3" s="1"/>
  <c r="AK141" i="3"/>
  <c r="M141" i="3"/>
  <c r="AJ141" i="3" s="1"/>
  <c r="AK135" i="3"/>
  <c r="AJ135" i="3"/>
  <c r="V135" i="3"/>
  <c r="AL135" i="3" s="1"/>
  <c r="AK139" i="3"/>
  <c r="AJ139" i="3"/>
  <c r="V139" i="3"/>
  <c r="AL139" i="3" s="1"/>
  <c r="AK138" i="3"/>
  <c r="AJ138" i="3"/>
  <c r="V138" i="3"/>
  <c r="AL138" i="3" s="1"/>
  <c r="AK137" i="3"/>
  <c r="AJ137" i="3"/>
  <c r="V137" i="3"/>
  <c r="AL137" i="3" s="1"/>
  <c r="AK29" i="3"/>
  <c r="AJ29" i="3"/>
  <c r="V29" i="3"/>
  <c r="AL29" i="3" s="1"/>
  <c r="AK28" i="3"/>
  <c r="AJ28" i="3"/>
  <c r="V28" i="3"/>
  <c r="AL28" i="3" s="1"/>
  <c r="AK27" i="3"/>
  <c r="AJ27" i="3"/>
  <c r="V27" i="3"/>
  <c r="AL27" i="3" s="1"/>
  <c r="AK23" i="3"/>
  <c r="AJ23" i="3"/>
  <c r="V23" i="3"/>
  <c r="AL23" i="3" s="1"/>
  <c r="AK26" i="3"/>
  <c r="AJ26" i="3"/>
  <c r="V26" i="3"/>
  <c r="AL26" i="3" s="1"/>
  <c r="AK12" i="3"/>
  <c r="AJ12" i="3"/>
  <c r="V12" i="3"/>
  <c r="AL12" i="3" s="1"/>
  <c r="AK24" i="3"/>
  <c r="AJ24" i="3"/>
  <c r="V24" i="3"/>
  <c r="AL24" i="3" s="1"/>
  <c r="AK22" i="3"/>
  <c r="AJ22" i="3"/>
  <c r="V22" i="3"/>
  <c r="AL22" i="3" s="1"/>
  <c r="AK21" i="3"/>
  <c r="AJ21" i="3"/>
  <c r="V21" i="3"/>
  <c r="AL21" i="3" s="1"/>
  <c r="AK20" i="3"/>
  <c r="AJ20" i="3"/>
  <c r="V20" i="3"/>
  <c r="AL20" i="3" s="1"/>
  <c r="AK18" i="3"/>
  <c r="AJ18" i="3"/>
  <c r="V18" i="3"/>
  <c r="AL18" i="3" s="1"/>
  <c r="AK19" i="3"/>
  <c r="AJ19" i="3"/>
  <c r="V19" i="3"/>
  <c r="AL19" i="3" s="1"/>
  <c r="AK906" i="3"/>
  <c r="AJ906" i="3"/>
  <c r="V906" i="3"/>
  <c r="AL906" i="3" s="1"/>
  <c r="AK896" i="3"/>
  <c r="AJ896" i="3"/>
  <c r="V896" i="3"/>
  <c r="AL896" i="3" s="1"/>
  <c r="AK874" i="3"/>
  <c r="AJ874" i="3"/>
  <c r="V874" i="3"/>
  <c r="AL874" i="3" s="1"/>
  <c r="AK873" i="3"/>
  <c r="AJ873" i="3"/>
  <c r="V873" i="3"/>
  <c r="AL873" i="3" s="1"/>
  <c r="AK865" i="3"/>
  <c r="AJ865" i="3"/>
  <c r="AL865" i="3"/>
  <c r="AK799" i="3"/>
  <c r="AJ799" i="3"/>
  <c r="V799" i="3"/>
  <c r="AL799" i="3" s="1"/>
  <c r="AK806" i="3"/>
  <c r="AJ806" i="3"/>
  <c r="V806" i="3"/>
  <c r="AL806" i="3" s="1"/>
  <c r="AK805" i="3"/>
  <c r="AJ805" i="3"/>
  <c r="V805" i="3"/>
  <c r="AL805" i="3" s="1"/>
  <c r="AK804" i="3"/>
  <c r="AJ804" i="3"/>
  <c r="V804" i="3"/>
  <c r="AL804" i="3" s="1"/>
  <c r="AK803" i="3"/>
  <c r="AJ803" i="3"/>
  <c r="V803" i="3"/>
  <c r="AL803" i="3" s="1"/>
  <c r="AK802" i="3"/>
  <c r="AJ802" i="3"/>
  <c r="V802" i="3"/>
  <c r="AL802" i="3" s="1"/>
  <c r="AK801" i="3"/>
  <c r="AJ801" i="3"/>
  <c r="V801" i="3"/>
  <c r="AL801" i="3" s="1"/>
  <c r="AK673" i="3"/>
  <c r="AJ673" i="3"/>
  <c r="V673" i="3"/>
  <c r="AL673" i="3" s="1"/>
  <c r="AK672" i="3"/>
  <c r="AJ672" i="3"/>
  <c r="V672" i="3"/>
  <c r="AL672" i="3" s="1"/>
  <c r="AK671" i="3"/>
  <c r="AJ671" i="3"/>
  <c r="V671" i="3"/>
  <c r="AL671" i="3" s="1"/>
  <c r="AK670" i="3"/>
  <c r="AJ670" i="3"/>
  <c r="V670" i="3"/>
  <c r="AL670" i="3" s="1"/>
  <c r="AK669" i="3"/>
  <c r="AJ669" i="3"/>
  <c r="V669" i="3"/>
  <c r="AL669" i="3" s="1"/>
  <c r="AK597" i="3"/>
  <c r="AJ597" i="3"/>
  <c r="V597" i="3"/>
  <c r="AL597" i="3" s="1"/>
  <c r="AK640" i="3"/>
  <c r="AJ640" i="3"/>
  <c r="V640" i="3"/>
  <c r="AL640" i="3" s="1"/>
  <c r="AK639" i="3"/>
  <c r="AJ639" i="3"/>
  <c r="V639" i="3"/>
  <c r="AL639" i="3" s="1"/>
  <c r="AK638" i="3"/>
  <c r="AJ638" i="3"/>
  <c r="V638" i="3"/>
  <c r="AL638" i="3" s="1"/>
  <c r="AK637" i="3"/>
  <c r="AJ637" i="3"/>
  <c r="V637" i="3"/>
  <c r="AL637" i="3" s="1"/>
  <c r="AK636" i="3"/>
  <c r="AJ636" i="3"/>
  <c r="V636" i="3"/>
  <c r="AL636" i="3" s="1"/>
  <c r="AK635" i="3"/>
  <c r="AJ635" i="3"/>
  <c r="V635" i="3"/>
  <c r="AL635" i="3" s="1"/>
  <c r="AK628" i="3"/>
  <c r="AJ628" i="3"/>
  <c r="V628" i="3"/>
  <c r="AL628" i="3" s="1"/>
  <c r="AK620" i="3"/>
  <c r="AJ620" i="3"/>
  <c r="V620" i="3"/>
  <c r="AL620" i="3" s="1"/>
  <c r="AK598" i="3"/>
  <c r="AJ598" i="3"/>
  <c r="V598" i="3"/>
  <c r="AL598" i="3" s="1"/>
  <c r="AK596" i="3"/>
  <c r="AJ596" i="3"/>
  <c r="V596" i="3"/>
  <c r="AL596" i="3" s="1"/>
  <c r="AK580" i="3"/>
  <c r="AJ580" i="3"/>
  <c r="V580" i="3"/>
  <c r="AL580" i="3" s="1"/>
  <c r="AK544" i="3"/>
  <c r="AJ544" i="3"/>
  <c r="AL544" i="3"/>
  <c r="AK551" i="3"/>
  <c r="AJ551" i="3"/>
  <c r="V551" i="3"/>
  <c r="AL551" i="3" s="1"/>
  <c r="AK550" i="3"/>
  <c r="AJ550" i="3"/>
  <c r="V550" i="3"/>
  <c r="AL550" i="3" s="1"/>
  <c r="AK549" i="3"/>
  <c r="AJ549" i="3"/>
  <c r="P549" i="3"/>
  <c r="AK548" i="3"/>
  <c r="AJ548" i="3"/>
  <c r="V548" i="3"/>
  <c r="AL548" i="3" s="1"/>
  <c r="AK547" i="3"/>
  <c r="AJ547" i="3"/>
  <c r="V547" i="3"/>
  <c r="AL547" i="3" s="1"/>
  <c r="AK546" i="3"/>
  <c r="AJ546" i="3"/>
  <c r="V546" i="3"/>
  <c r="AL546" i="3" s="1"/>
  <c r="AK456" i="3"/>
  <c r="AJ456" i="3"/>
  <c r="V456" i="3"/>
  <c r="AL456" i="3" s="1"/>
  <c r="AK446" i="3"/>
  <c r="AJ446" i="3"/>
  <c r="V446" i="3"/>
  <c r="AL446" i="3" s="1"/>
  <c r="AK416" i="3"/>
  <c r="AJ416" i="3"/>
  <c r="V416" i="3"/>
  <c r="AL416" i="3" s="1"/>
  <c r="AK408" i="3"/>
  <c r="AJ408" i="3"/>
  <c r="V408" i="3"/>
  <c r="AL408" i="3" s="1"/>
  <c r="AK400" i="3"/>
  <c r="AJ400" i="3"/>
  <c r="V400" i="3"/>
  <c r="AL400" i="3" s="1"/>
  <c r="AK359" i="3"/>
  <c r="AJ359" i="3"/>
  <c r="V359" i="3"/>
  <c r="AL359" i="3" s="1"/>
  <c r="AK358" i="3"/>
  <c r="AJ358" i="3"/>
  <c r="V358" i="3"/>
  <c r="AL358" i="3" s="1"/>
  <c r="AK357" i="3"/>
  <c r="AJ357" i="3"/>
  <c r="V357" i="3"/>
  <c r="AL357" i="3" s="1"/>
  <c r="AK356" i="3"/>
  <c r="AJ356" i="3"/>
  <c r="V356" i="3"/>
  <c r="AL356" i="3" s="1"/>
  <c r="AK355" i="3"/>
  <c r="AJ355" i="3"/>
  <c r="AK271" i="3"/>
  <c r="AJ271" i="3"/>
  <c r="V271" i="3"/>
  <c r="AL271" i="3" s="1"/>
  <c r="AK260" i="3"/>
  <c r="AJ260" i="3"/>
  <c r="V260" i="3"/>
  <c r="AL260" i="3" s="1"/>
  <c r="AK217" i="3"/>
  <c r="AJ217" i="3"/>
  <c r="V217" i="3"/>
  <c r="AK216" i="3"/>
  <c r="AJ216" i="3"/>
  <c r="V216" i="3"/>
  <c r="AK215" i="3"/>
  <c r="AJ215" i="3"/>
  <c r="V215" i="3"/>
  <c r="AK179" i="3"/>
  <c r="AJ179" i="3"/>
  <c r="V179" i="3"/>
  <c r="AK178" i="3"/>
  <c r="AJ178" i="3"/>
  <c r="V178" i="3"/>
  <c r="X178" i="3" s="1"/>
  <c r="AK177" i="3"/>
  <c r="AJ177" i="3"/>
  <c r="V177" i="3"/>
  <c r="AK176" i="3"/>
  <c r="AJ176" i="3"/>
  <c r="V176" i="3"/>
  <c r="X176" i="3" s="1"/>
  <c r="AK174" i="3"/>
  <c r="AJ174" i="3"/>
  <c r="V174" i="3"/>
  <c r="X174" i="3" s="1"/>
  <c r="AK354" i="3"/>
  <c r="AJ354" i="3"/>
  <c r="V354" i="3"/>
  <c r="AL354" i="3" s="1"/>
  <c r="AK15" i="3"/>
  <c r="AJ15" i="3"/>
  <c r="V15" i="3"/>
  <c r="AK17" i="3"/>
  <c r="AJ17" i="3"/>
  <c r="V17" i="3"/>
  <c r="AL17" i="3" s="1"/>
  <c r="AK16" i="3"/>
  <c r="AJ16" i="3"/>
  <c r="V16" i="3"/>
  <c r="AL16" i="3" s="1"/>
  <c r="AK905" i="3"/>
  <c r="AJ905" i="3"/>
  <c r="V905" i="3"/>
  <c r="AL905" i="3" s="1"/>
  <c r="AK895" i="3"/>
  <c r="AJ895" i="3"/>
  <c r="V895" i="3"/>
  <c r="AL895" i="3" s="1"/>
  <c r="AK864" i="3"/>
  <c r="AJ864" i="3"/>
  <c r="V864" i="3"/>
  <c r="AL864" i="3" s="1"/>
  <c r="AK859" i="3"/>
  <c r="AJ859" i="3"/>
  <c r="V859" i="3"/>
  <c r="AL859" i="3" s="1"/>
  <c r="AK858" i="3"/>
  <c r="AJ858" i="3"/>
  <c r="V858" i="3"/>
  <c r="AL858" i="3" s="1"/>
  <c r="AK745" i="3"/>
  <c r="AJ745" i="3"/>
  <c r="V745" i="3"/>
  <c r="AL745" i="3" s="1"/>
  <c r="AK798" i="3"/>
  <c r="AJ798" i="3"/>
  <c r="V798" i="3"/>
  <c r="AL798" i="3" s="1"/>
  <c r="AK797" i="3"/>
  <c r="AJ797" i="3"/>
  <c r="V797" i="3"/>
  <c r="AL797" i="3" s="1"/>
  <c r="AK796" i="3"/>
  <c r="AJ796" i="3"/>
  <c r="V796" i="3"/>
  <c r="AL796" i="3" s="1"/>
  <c r="AK795" i="3"/>
  <c r="AJ795" i="3"/>
  <c r="V795" i="3"/>
  <c r="AL795" i="3" s="1"/>
  <c r="AK794" i="3"/>
  <c r="AJ794" i="3"/>
  <c r="V794" i="3"/>
  <c r="AL794" i="3" s="1"/>
  <c r="AK793" i="3"/>
  <c r="AJ793" i="3"/>
  <c r="V793" i="3"/>
  <c r="AL793" i="3" s="1"/>
  <c r="AK904" i="3"/>
  <c r="AJ904" i="3"/>
  <c r="V904" i="3"/>
  <c r="AL904" i="3" s="1"/>
  <c r="AK894" i="3"/>
  <c r="AJ894" i="3"/>
  <c r="V894" i="3"/>
  <c r="AL894" i="3" s="1"/>
  <c r="AK851" i="3"/>
  <c r="AJ851" i="3"/>
  <c r="V851" i="3"/>
  <c r="AL851" i="3" s="1"/>
  <c r="AK837" i="3"/>
  <c r="AJ837" i="3"/>
  <c r="V837" i="3"/>
  <c r="AL837" i="3" s="1"/>
  <c r="AK832" i="3"/>
  <c r="AJ832" i="3"/>
  <c r="V832" i="3"/>
  <c r="AL832" i="3" s="1"/>
  <c r="AK815" i="3"/>
  <c r="AJ815" i="3"/>
  <c r="V815" i="3"/>
  <c r="AL815" i="3" s="1"/>
  <c r="AK821" i="3"/>
  <c r="AJ821" i="3"/>
  <c r="V821" i="3"/>
  <c r="AL821" i="3" s="1"/>
  <c r="AK820" i="3"/>
  <c r="AJ820" i="3"/>
  <c r="V820" i="3"/>
  <c r="AL820" i="3" s="1"/>
  <c r="AK819" i="3"/>
  <c r="AJ819" i="3"/>
  <c r="V819" i="3"/>
  <c r="AL819" i="3" s="1"/>
  <c r="AK818" i="3"/>
  <c r="AJ818" i="3"/>
  <c r="V818" i="3"/>
  <c r="AL818" i="3" s="1"/>
  <c r="AK817" i="3"/>
  <c r="AJ817" i="3"/>
  <c r="V817" i="3"/>
  <c r="AL817" i="3" s="1"/>
  <c r="AK816" i="3"/>
  <c r="AJ816" i="3"/>
  <c r="V816" i="3"/>
  <c r="AL816" i="3" s="1"/>
  <c r="AK785" i="3"/>
  <c r="AJ785" i="3"/>
  <c r="V785" i="3"/>
  <c r="AL785" i="3" s="1"/>
  <c r="AK776" i="3"/>
  <c r="AJ776" i="3"/>
  <c r="V776" i="3"/>
  <c r="AL776" i="3" s="1"/>
  <c r="AK753" i="3"/>
  <c r="AJ753" i="3"/>
  <c r="V753" i="3"/>
  <c r="AL753" i="3" s="1"/>
  <c r="AK752" i="3"/>
  <c r="AJ752" i="3"/>
  <c r="V752" i="3"/>
  <c r="AL752" i="3" s="1"/>
  <c r="AK743" i="3"/>
  <c r="AJ743" i="3"/>
  <c r="V743" i="3"/>
  <c r="AL743" i="3" s="1"/>
  <c r="AK690" i="3"/>
  <c r="AJ690" i="3"/>
  <c r="V690" i="3"/>
  <c r="AL690" i="3" s="1"/>
  <c r="AK696" i="3"/>
  <c r="AJ696" i="3"/>
  <c r="V696" i="3"/>
  <c r="AL696" i="3" s="1"/>
  <c r="AJ695" i="3"/>
  <c r="AD695" i="3"/>
  <c r="AK695" i="3" s="1"/>
  <c r="V695" i="3"/>
  <c r="AL695" i="3" s="1"/>
  <c r="AK694" i="3"/>
  <c r="AJ694" i="3"/>
  <c r="V694" i="3"/>
  <c r="AL694" i="3" s="1"/>
  <c r="AK693" i="3"/>
  <c r="AJ693" i="3"/>
  <c r="V693" i="3"/>
  <c r="AL693" i="3" s="1"/>
  <c r="AK691" i="3"/>
  <c r="AJ691" i="3"/>
  <c r="V691" i="3"/>
  <c r="AL691" i="3" s="1"/>
  <c r="AK692" i="3"/>
  <c r="AJ692" i="3"/>
  <c r="V692" i="3"/>
  <c r="AL692" i="3" s="1"/>
  <c r="AK268" i="3"/>
  <c r="AJ268" i="3"/>
  <c r="V268" i="3"/>
  <c r="AL268" i="3" s="1"/>
  <c r="AK259" i="3"/>
  <c r="AJ259" i="3"/>
  <c r="V259" i="3"/>
  <c r="AL259" i="3" s="1"/>
  <c r="AK208" i="3"/>
  <c r="AJ208" i="3"/>
  <c r="V208" i="3"/>
  <c r="AK200" i="3"/>
  <c r="AJ200" i="3"/>
  <c r="V200" i="3"/>
  <c r="X200" i="3" s="1"/>
  <c r="AK199" i="3"/>
  <c r="AJ199" i="3"/>
  <c r="V199" i="3"/>
  <c r="AK198" i="3"/>
  <c r="AJ198" i="3"/>
  <c r="V198" i="3"/>
  <c r="AK197" i="3"/>
  <c r="AJ197" i="3"/>
  <c r="V197" i="3"/>
  <c r="AK196" i="3"/>
  <c r="AJ196" i="3"/>
  <c r="V196" i="3"/>
  <c r="X196" i="3" s="1"/>
  <c r="AK195" i="3"/>
  <c r="AJ195" i="3"/>
  <c r="V195" i="3"/>
  <c r="X195" i="3" s="1"/>
  <c r="AK194" i="3"/>
  <c r="AJ194" i="3"/>
  <c r="V194" i="3"/>
  <c r="AK193" i="3"/>
  <c r="AJ193" i="3"/>
  <c r="V193" i="3"/>
  <c r="X193" i="3" s="1"/>
  <c r="AK161" i="3"/>
  <c r="AJ161" i="3"/>
  <c r="V161" i="3"/>
  <c r="AL161" i="3" s="1"/>
  <c r="AK155" i="3"/>
  <c r="AJ155" i="3"/>
  <c r="V155" i="3"/>
  <c r="AL155" i="3" s="1"/>
  <c r="AK144" i="3"/>
  <c r="AJ144" i="3"/>
  <c r="V144" i="3"/>
  <c r="AL144" i="3" s="1"/>
  <c r="AK143" i="3"/>
  <c r="AJ143" i="3"/>
  <c r="V143" i="3"/>
  <c r="AL143" i="3" s="1"/>
  <c r="AK134" i="3"/>
  <c r="AJ134" i="3"/>
  <c r="V134" i="3"/>
  <c r="AL134" i="3" s="1"/>
  <c r="AK103" i="3"/>
  <c r="AJ103" i="3"/>
  <c r="V103" i="3"/>
  <c r="AL103" i="3" s="1"/>
  <c r="AK106" i="3"/>
  <c r="AJ106" i="3"/>
  <c r="T106" i="3"/>
  <c r="P106" i="3"/>
  <c r="O106" i="3"/>
  <c r="AK109" i="3"/>
  <c r="AJ109" i="3"/>
  <c r="P109" i="3"/>
  <c r="O109" i="3"/>
  <c r="AK253" i="3"/>
  <c r="AJ253" i="3"/>
  <c r="V253" i="3"/>
  <c r="AL253" i="3" s="1"/>
  <c r="AK108" i="3"/>
  <c r="AJ108" i="3"/>
  <c r="V108" i="3"/>
  <c r="AL108" i="3" s="1"/>
  <c r="AK107" i="3"/>
  <c r="AJ107" i="3"/>
  <c r="V107" i="3"/>
  <c r="AL107" i="3" s="1"/>
  <c r="AK105" i="3"/>
  <c r="AJ105" i="3"/>
  <c r="V105" i="3"/>
  <c r="AL105" i="3" s="1"/>
  <c r="AK460" i="3"/>
  <c r="AJ460" i="3"/>
  <c r="V460" i="3"/>
  <c r="AL460" i="3" s="1"/>
  <c r="AK450" i="3"/>
  <c r="AJ450" i="3"/>
  <c r="V450" i="3"/>
  <c r="AL450" i="3" s="1"/>
  <c r="AK392" i="3"/>
  <c r="AJ392" i="3"/>
  <c r="V392" i="3"/>
  <c r="AL392" i="3" s="1"/>
  <c r="AK384" i="3"/>
  <c r="AJ384" i="3"/>
  <c r="V384" i="3"/>
  <c r="AL384" i="3" s="1"/>
  <c r="AK375" i="3"/>
  <c r="AJ375" i="3"/>
  <c r="V375" i="3"/>
  <c r="AL375" i="3" s="1"/>
  <c r="AK352" i="3"/>
  <c r="AJ352" i="3"/>
  <c r="V352" i="3"/>
  <c r="AL352" i="3" s="1"/>
  <c r="AK351" i="3"/>
  <c r="AJ351" i="3"/>
  <c r="V351" i="3"/>
  <c r="AL351" i="3" s="1"/>
  <c r="AK349" i="3"/>
  <c r="AJ349" i="3"/>
  <c r="V349" i="3"/>
  <c r="AL349" i="3" s="1"/>
  <c r="AK348" i="3"/>
  <c r="AJ348" i="3"/>
  <c r="V348" i="3"/>
  <c r="AL348" i="3" s="1"/>
  <c r="AK347" i="3"/>
  <c r="AJ347" i="3"/>
  <c r="V347" i="3"/>
  <c r="AL347" i="3" s="1"/>
  <c r="AK346" i="3"/>
  <c r="AJ346" i="3"/>
  <c r="V346" i="3"/>
  <c r="AL346" i="3" s="1"/>
  <c r="AK350" i="3"/>
  <c r="AJ350" i="3"/>
  <c r="V350" i="3"/>
  <c r="AL350" i="3" s="1"/>
  <c r="AK978" i="3"/>
  <c r="V978" i="3"/>
  <c r="AL978" i="3" s="1"/>
  <c r="AK972" i="3"/>
  <c r="V972" i="3"/>
  <c r="AL972" i="3" s="1"/>
  <c r="AK929" i="3"/>
  <c r="V929" i="3"/>
  <c r="AL929" i="3" s="1"/>
  <c r="AK921" i="3"/>
  <c r="V921" i="3"/>
  <c r="AL921" i="3" s="1"/>
  <c r="AK919" i="3"/>
  <c r="V919" i="3"/>
  <c r="AL919" i="3" s="1"/>
  <c r="AK947" i="3"/>
  <c r="V947" i="3"/>
  <c r="AL947" i="3" s="1"/>
  <c r="AK946" i="3"/>
  <c r="V946" i="3"/>
  <c r="AL946" i="3" s="1"/>
  <c r="AK944" i="3"/>
  <c r="V944" i="3"/>
  <c r="AL944" i="3" s="1"/>
  <c r="AK943" i="3"/>
  <c r="V943" i="3"/>
  <c r="AL943" i="3" s="1"/>
  <c r="AK942" i="3"/>
  <c r="V942" i="3"/>
  <c r="AL942" i="3" s="1"/>
  <c r="AK941" i="3"/>
  <c r="AJ941" i="3"/>
  <c r="V941" i="3"/>
  <c r="AL941" i="3" s="1"/>
  <c r="AK940" i="3"/>
  <c r="AJ940" i="3"/>
  <c r="V940" i="3"/>
  <c r="AL940" i="3" s="1"/>
  <c r="AK903" i="3"/>
  <c r="AJ903" i="3"/>
  <c r="V903" i="3"/>
  <c r="AL903" i="3" s="1"/>
  <c r="AK893" i="3"/>
  <c r="AJ893" i="3"/>
  <c r="V893" i="3"/>
  <c r="AL893" i="3" s="1"/>
  <c r="AK823" i="3"/>
  <c r="AJ823" i="3"/>
  <c r="V823" i="3"/>
  <c r="AL823" i="3" s="1"/>
  <c r="AK808" i="3"/>
  <c r="AJ808" i="3"/>
  <c r="V808" i="3"/>
  <c r="AL808" i="3" s="1"/>
  <c r="AK800" i="3"/>
  <c r="AJ800" i="3"/>
  <c r="V800" i="3"/>
  <c r="AL800" i="3" s="1"/>
  <c r="AK830" i="3"/>
  <c r="AJ830" i="3"/>
  <c r="V830" i="3"/>
  <c r="AL830" i="3" s="1"/>
  <c r="AK829" i="3"/>
  <c r="AJ829" i="3"/>
  <c r="V829" i="3"/>
  <c r="AL829" i="3" s="1"/>
  <c r="AK828" i="3"/>
  <c r="AJ828" i="3"/>
  <c r="V828" i="3"/>
  <c r="AL828" i="3" s="1"/>
  <c r="AK827" i="3"/>
  <c r="AJ827" i="3"/>
  <c r="V827" i="3"/>
  <c r="AL827" i="3" s="1"/>
  <c r="AK826" i="3"/>
  <c r="AJ826" i="3"/>
  <c r="V826" i="3"/>
  <c r="AL826" i="3" s="1"/>
  <c r="AK825" i="3"/>
  <c r="AJ825" i="3"/>
  <c r="V825" i="3"/>
  <c r="AL825" i="3" s="1"/>
  <c r="AK340" i="3"/>
  <c r="AJ340" i="3"/>
  <c r="V340" i="3"/>
  <c r="AL340" i="3" s="1"/>
  <c r="AK334" i="3"/>
  <c r="AJ334" i="3"/>
  <c r="V334" i="3"/>
  <c r="AL334" i="3" s="1"/>
  <c r="AK298" i="3"/>
  <c r="AJ298" i="3"/>
  <c r="V298" i="3"/>
  <c r="AL298" i="3" s="1"/>
  <c r="AK297" i="3"/>
  <c r="AJ297" i="3"/>
  <c r="AL297" i="3"/>
  <c r="AK285" i="3"/>
  <c r="AJ285" i="3"/>
  <c r="V285" i="3"/>
  <c r="AL285" i="3" s="1"/>
  <c r="AK308" i="3"/>
  <c r="AJ308" i="3"/>
  <c r="V308" i="3"/>
  <c r="AL308" i="3" s="1"/>
  <c r="AK307" i="3"/>
  <c r="AJ307" i="3"/>
  <c r="V307" i="3"/>
  <c r="AL307" i="3" s="1"/>
  <c r="AK306" i="3"/>
  <c r="AJ306" i="3"/>
  <c r="V306" i="3"/>
  <c r="AL306" i="3" s="1"/>
  <c r="AK305" i="3"/>
  <c r="AJ305" i="3"/>
  <c r="V305" i="3"/>
  <c r="AL305" i="3" s="1"/>
  <c r="AK304" i="3"/>
  <c r="AJ304" i="3"/>
  <c r="V304" i="3"/>
  <c r="AL304" i="3" s="1"/>
  <c r="AK303" i="3"/>
  <c r="AJ303" i="3"/>
  <c r="V303" i="3"/>
  <c r="AL303" i="3" s="1"/>
  <c r="AK294" i="3"/>
  <c r="AJ294" i="3"/>
  <c r="V294" i="3"/>
  <c r="AL294" i="3" s="1"/>
  <c r="AK784" i="3"/>
  <c r="AJ784" i="3"/>
  <c r="V784" i="3"/>
  <c r="AL784" i="3" s="1"/>
  <c r="AK775" i="3"/>
  <c r="AJ775" i="3"/>
  <c r="V775" i="3"/>
  <c r="AL775" i="3" s="1"/>
  <c r="AK733" i="3"/>
  <c r="AJ733" i="3"/>
  <c r="V733" i="3"/>
  <c r="AL733" i="3" s="1"/>
  <c r="AK720" i="3"/>
  <c r="AJ720" i="3"/>
  <c r="V720" i="3"/>
  <c r="AL720" i="3" s="1"/>
  <c r="AK698" i="3"/>
  <c r="AJ698" i="3"/>
  <c r="AL698" i="3"/>
  <c r="AK712" i="3"/>
  <c r="AJ712" i="3"/>
  <c r="V712" i="3"/>
  <c r="AL712" i="3" s="1"/>
  <c r="AK718" i="3"/>
  <c r="AJ718" i="3"/>
  <c r="V718" i="3"/>
  <c r="AL718" i="3" s="1"/>
  <c r="AK717" i="3"/>
  <c r="AJ717" i="3"/>
  <c r="V717" i="3"/>
  <c r="AL717" i="3" s="1"/>
  <c r="AK716" i="3"/>
  <c r="AJ716" i="3"/>
  <c r="V716" i="3"/>
  <c r="AL716" i="3" s="1"/>
  <c r="AK715" i="3"/>
  <c r="AJ715" i="3"/>
  <c r="V715" i="3"/>
  <c r="AL715" i="3" s="1"/>
  <c r="AK714" i="3"/>
  <c r="AJ714" i="3"/>
  <c r="V714" i="3"/>
  <c r="AL714" i="3" s="1"/>
  <c r="AK713" i="3"/>
  <c r="AJ713" i="3"/>
  <c r="V713" i="3"/>
  <c r="AL713" i="3" s="1"/>
  <c r="AK668" i="3"/>
  <c r="AJ668" i="3"/>
  <c r="V668" i="3"/>
  <c r="AL668" i="3" s="1"/>
  <c r="AK667" i="3"/>
  <c r="AJ667" i="3"/>
  <c r="V667" i="3"/>
  <c r="AL667" i="3" s="1"/>
  <c r="AK666" i="3"/>
  <c r="AJ666" i="3"/>
  <c r="V666" i="3"/>
  <c r="AL666" i="3" s="1"/>
  <c r="AK665" i="3"/>
  <c r="AJ665" i="3"/>
  <c r="V665" i="3"/>
  <c r="AL665" i="3" s="1"/>
  <c r="AK663" i="3"/>
  <c r="AJ663" i="3"/>
  <c r="V663" i="3"/>
  <c r="AL663" i="3" s="1"/>
  <c r="AK648" i="3"/>
  <c r="AJ648" i="3"/>
  <c r="V648" i="3"/>
  <c r="AL648" i="3" s="1"/>
  <c r="AK654" i="3"/>
  <c r="AJ654" i="3"/>
  <c r="V654" i="3"/>
  <c r="AL654" i="3" s="1"/>
  <c r="AK653" i="3"/>
  <c r="AJ653" i="3"/>
  <c r="V653" i="3"/>
  <c r="AL653" i="3" s="1"/>
  <c r="AK652" i="3"/>
  <c r="AJ652" i="3"/>
  <c r="V652" i="3"/>
  <c r="AL652" i="3" s="1"/>
  <c r="AK651" i="3"/>
  <c r="AJ651" i="3"/>
  <c r="V651" i="3"/>
  <c r="AL651" i="3" s="1"/>
  <c r="AK650" i="3"/>
  <c r="AJ650" i="3"/>
  <c r="V650" i="3"/>
  <c r="AL650" i="3" s="1"/>
  <c r="AK649" i="3"/>
  <c r="AJ649" i="3"/>
  <c r="V649" i="3"/>
  <c r="AL649" i="3" s="1"/>
  <c r="AK627" i="3"/>
  <c r="AJ627" i="3"/>
  <c r="V627" i="3"/>
  <c r="AL627" i="3" s="1"/>
  <c r="AK619" i="3"/>
  <c r="AJ619" i="3"/>
  <c r="V619" i="3"/>
  <c r="AL619" i="3" s="1"/>
  <c r="AK579" i="3"/>
  <c r="AJ579" i="3"/>
  <c r="V579" i="3"/>
  <c r="AL579" i="3" s="1"/>
  <c r="AK553" i="3"/>
  <c r="AJ553" i="3"/>
  <c r="V553" i="3"/>
  <c r="AL553" i="3" s="1"/>
  <c r="AK545" i="3"/>
  <c r="AJ545" i="3"/>
  <c r="V545" i="3"/>
  <c r="AL545" i="3" s="1"/>
  <c r="AK576" i="3"/>
  <c r="AJ576" i="3"/>
  <c r="V576" i="3"/>
  <c r="AL576" i="3" s="1"/>
  <c r="AK577" i="3"/>
  <c r="AJ577" i="3"/>
  <c r="V577" i="3"/>
  <c r="AL577" i="3" s="1"/>
  <c r="AK585" i="3"/>
  <c r="AJ585" i="3"/>
  <c r="V585" i="3"/>
  <c r="AL585" i="3" s="1"/>
  <c r="AK584" i="3"/>
  <c r="AJ584" i="3"/>
  <c r="V584" i="3"/>
  <c r="AL584" i="3" s="1"/>
  <c r="AK583" i="3"/>
  <c r="AJ583" i="3"/>
  <c r="V583" i="3"/>
  <c r="AL583" i="3" s="1"/>
  <c r="AK582" i="3"/>
  <c r="AJ582" i="3"/>
  <c r="V582" i="3"/>
  <c r="AL582" i="3" s="1"/>
  <c r="AK581" i="3"/>
  <c r="AJ581" i="3"/>
  <c r="V581" i="3"/>
  <c r="AL581" i="3" s="1"/>
  <c r="AK532" i="3"/>
  <c r="AJ532" i="3"/>
  <c r="V532" i="3"/>
  <c r="AL532" i="3" s="1"/>
  <c r="AK526" i="3"/>
  <c r="AJ526" i="3"/>
  <c r="V526" i="3"/>
  <c r="AL526" i="3" s="1"/>
  <c r="AK489" i="3"/>
  <c r="AJ489" i="3"/>
  <c r="V489" i="3"/>
  <c r="AL489" i="3" s="1"/>
  <c r="AK480" i="3"/>
  <c r="AJ480" i="3"/>
  <c r="V480" i="3"/>
  <c r="AL480" i="3" s="1"/>
  <c r="AK472" i="3"/>
  <c r="AJ472" i="3"/>
  <c r="V472" i="3"/>
  <c r="AL472" i="3" s="1"/>
  <c r="AK495" i="3"/>
  <c r="AJ495" i="3"/>
  <c r="V495" i="3"/>
  <c r="AL495" i="3" s="1"/>
  <c r="AK494" i="3"/>
  <c r="AJ494" i="3"/>
  <c r="V494" i="3"/>
  <c r="AL494" i="3" s="1"/>
  <c r="AK493" i="3"/>
  <c r="AJ493" i="3"/>
  <c r="V493" i="3"/>
  <c r="AL493" i="3" s="1"/>
  <c r="AK492" i="3"/>
  <c r="AJ492" i="3"/>
  <c r="V492" i="3"/>
  <c r="AL492" i="3" s="1"/>
  <c r="AK491" i="3"/>
  <c r="AJ491" i="3"/>
  <c r="V491" i="3"/>
  <c r="AL491" i="3" s="1"/>
  <c r="AK490" i="3"/>
  <c r="AJ490" i="3"/>
  <c r="V490" i="3"/>
  <c r="AL490" i="3" s="1"/>
  <c r="AK485" i="3"/>
  <c r="AJ485" i="3"/>
  <c r="V485" i="3"/>
  <c r="AL485" i="3" s="1"/>
  <c r="AK455" i="3"/>
  <c r="AJ455" i="3"/>
  <c r="V455" i="3"/>
  <c r="AL455" i="3" s="1"/>
  <c r="AK445" i="3"/>
  <c r="AJ445" i="3"/>
  <c r="V445" i="3"/>
  <c r="AL445" i="3" s="1"/>
  <c r="AK365" i="3"/>
  <c r="AJ365" i="3"/>
  <c r="V365" i="3"/>
  <c r="AL365" i="3" s="1"/>
  <c r="AK360" i="3"/>
  <c r="AJ360" i="3"/>
  <c r="V360" i="3"/>
  <c r="AL360" i="3" s="1"/>
  <c r="AK353" i="3"/>
  <c r="AJ353" i="3"/>
  <c r="V353" i="3"/>
  <c r="AL353" i="3" s="1"/>
  <c r="AK407" i="3"/>
  <c r="AJ407" i="3"/>
  <c r="V407" i="3"/>
  <c r="AL407" i="3" s="1"/>
  <c r="AK406" i="3"/>
  <c r="AJ406" i="3"/>
  <c r="V406" i="3"/>
  <c r="AL406" i="3" s="1"/>
  <c r="AK405" i="3"/>
  <c r="AJ405" i="3"/>
  <c r="V405" i="3"/>
  <c r="AL405" i="3" s="1"/>
  <c r="AK404" i="3"/>
  <c r="AJ404" i="3"/>
  <c r="V404" i="3"/>
  <c r="AL404" i="3" s="1"/>
  <c r="AK402" i="3"/>
  <c r="AJ402" i="3"/>
  <c r="V402" i="3"/>
  <c r="AL402" i="3" s="1"/>
  <c r="AK403" i="3"/>
  <c r="AJ403" i="3"/>
  <c r="V403" i="3"/>
  <c r="AL403" i="3" s="1"/>
  <c r="AK401" i="3"/>
  <c r="AJ401" i="3"/>
  <c r="V401" i="3"/>
  <c r="AL401" i="3" s="1"/>
  <c r="AK267" i="3"/>
  <c r="AJ267" i="3"/>
  <c r="V267" i="3"/>
  <c r="AL267" i="3" s="1"/>
  <c r="AK258" i="3"/>
  <c r="AJ258" i="3"/>
  <c r="V258" i="3"/>
  <c r="AL258" i="3" s="1"/>
  <c r="AK180" i="3"/>
  <c r="AJ180" i="3"/>
  <c r="V180" i="3"/>
  <c r="AK173" i="3"/>
  <c r="AJ173" i="3"/>
  <c r="AK166" i="3"/>
  <c r="AJ166" i="3"/>
  <c r="V166" i="3"/>
  <c r="AK207" i="3"/>
  <c r="AJ207" i="3"/>
  <c r="V207" i="3"/>
  <c r="AK206" i="3"/>
  <c r="AJ206" i="3"/>
  <c r="AK205" i="3"/>
  <c r="AJ205" i="3"/>
  <c r="V205" i="3"/>
  <c r="AK204" i="3"/>
  <c r="AJ204" i="3"/>
  <c r="V204" i="3"/>
  <c r="X204" i="3" s="1"/>
  <c r="AK203" i="3"/>
  <c r="AJ203" i="3"/>
  <c r="V203" i="3"/>
  <c r="X203" i="3" s="1"/>
  <c r="AK202" i="3"/>
  <c r="AJ202" i="3"/>
  <c r="V202" i="3"/>
  <c r="X202" i="3" s="1"/>
  <c r="AK201" i="3"/>
  <c r="AJ201" i="3"/>
  <c r="V201" i="3"/>
  <c r="X201" i="3" s="1"/>
  <c r="AK160" i="3"/>
  <c r="AJ160" i="3"/>
  <c r="V160" i="3"/>
  <c r="AL160" i="3" s="1"/>
  <c r="AK154" i="3"/>
  <c r="AJ154" i="3"/>
  <c r="V154" i="3"/>
  <c r="AL154" i="3" s="1"/>
  <c r="AK127" i="3"/>
  <c r="AJ127" i="3"/>
  <c r="V127" i="3"/>
  <c r="AL127" i="3" s="1"/>
  <c r="AK111" i="3"/>
  <c r="AJ111" i="3"/>
  <c r="V111" i="3"/>
  <c r="AL111" i="3" s="1"/>
  <c r="AK104" i="3"/>
  <c r="AJ104" i="3"/>
  <c r="V104" i="3"/>
  <c r="AL104" i="3" s="1"/>
  <c r="AK142" i="3"/>
  <c r="AJ142" i="3"/>
  <c r="V142" i="3"/>
  <c r="AL142" i="3" s="1"/>
  <c r="AK117" i="3"/>
  <c r="AJ117" i="3"/>
  <c r="O117" i="3"/>
  <c r="V117" i="3" s="1"/>
  <c r="AL117" i="3" s="1"/>
  <c r="AK116" i="3"/>
  <c r="AJ116" i="3"/>
  <c r="V116" i="3"/>
  <c r="AL116" i="3" s="1"/>
  <c r="AK115" i="3"/>
  <c r="AJ115" i="3"/>
  <c r="V115" i="3"/>
  <c r="AL115" i="3" s="1"/>
  <c r="AK114" i="3"/>
  <c r="AJ114" i="3"/>
  <c r="V114" i="3"/>
  <c r="AL114" i="3" s="1"/>
  <c r="AK113" i="3"/>
  <c r="AJ113" i="3"/>
  <c r="V113" i="3"/>
  <c r="AL113" i="3" s="1"/>
  <c r="AK112" i="3"/>
  <c r="AJ112" i="3"/>
  <c r="V112" i="3"/>
  <c r="AL112" i="3" s="1"/>
  <c r="AK14" i="3"/>
  <c r="AJ14" i="3"/>
  <c r="V14" i="3"/>
  <c r="AL14" i="3" s="1"/>
  <c r="AK13" i="3"/>
  <c r="AJ13" i="3"/>
  <c r="V13" i="3"/>
  <c r="AL13" i="3" s="1"/>
  <c r="AK11" i="3"/>
  <c r="AJ11" i="3"/>
  <c r="V11" i="3"/>
  <c r="AL11" i="3" s="1"/>
  <c r="AK10" i="3"/>
  <c r="AJ10" i="3"/>
  <c r="AL10" i="3"/>
  <c r="AK8" i="3"/>
  <c r="AJ8" i="3"/>
  <c r="V8" i="3"/>
  <c r="AL8" i="3" s="1"/>
  <c r="AK9" i="3"/>
  <c r="AJ9" i="3"/>
  <c r="V9" i="3"/>
  <c r="AL9" i="3" s="1"/>
  <c r="AK7" i="3"/>
  <c r="AJ7" i="3"/>
  <c r="V7" i="3"/>
  <c r="AL7" i="3" s="1"/>
  <c r="AK6" i="3"/>
  <c r="AJ6" i="3"/>
  <c r="V6" i="3"/>
  <c r="AL6" i="3" s="1"/>
  <c r="AK5" i="3"/>
  <c r="AJ5" i="3"/>
  <c r="V5" i="3"/>
  <c r="AL5" i="3" s="1"/>
  <c r="AK4" i="3"/>
  <c r="AJ4" i="3"/>
  <c r="V4" i="3"/>
  <c r="AL4" i="3" s="1"/>
  <c r="AK3" i="3"/>
  <c r="AJ3" i="3"/>
  <c r="V3" i="3"/>
  <c r="AL3" i="3" s="1"/>
  <c r="AK2" i="3"/>
  <c r="AJ2" i="3"/>
  <c r="V2" i="3"/>
  <c r="AL2" i="3" s="1"/>
  <c r="AL255" i="3" l="1"/>
  <c r="X255" i="3"/>
  <c r="AL247" i="3"/>
  <c r="X247" i="3"/>
  <c r="AL243" i="3"/>
  <c r="X243" i="3"/>
  <c r="AL241" i="3"/>
  <c r="X241" i="3"/>
  <c r="AL217" i="3"/>
  <c r="X217" i="3"/>
  <c r="AL180" i="3"/>
  <c r="X180" i="3"/>
  <c r="L144" i="17"/>
  <c r="AL985" i="3"/>
  <c r="X985" i="3"/>
  <c r="AL250" i="3"/>
  <c r="X250" i="3"/>
  <c r="AL208" i="3"/>
  <c r="X208" i="3"/>
  <c r="AL254" i="3"/>
  <c r="X254" i="3"/>
  <c r="AL173" i="3"/>
  <c r="X173" i="3"/>
  <c r="AL240" i="3"/>
  <c r="X240" i="3"/>
  <c r="AL216" i="3"/>
  <c r="X216" i="3"/>
  <c r="AL236" i="3"/>
  <c r="X236" i="3"/>
  <c r="AL225" i="3"/>
  <c r="X225" i="3"/>
  <c r="AL172" i="3"/>
  <c r="X172" i="3"/>
  <c r="AL170" i="3"/>
  <c r="X170" i="3"/>
  <c r="AL215" i="3"/>
  <c r="X215" i="3"/>
  <c r="AL242" i="3"/>
  <c r="X242" i="3"/>
  <c r="AL205" i="3"/>
  <c r="X205" i="3"/>
  <c r="AL245" i="3"/>
  <c r="X245" i="3"/>
  <c r="AL222" i="3"/>
  <c r="X222" i="3"/>
  <c r="AL248" i="3"/>
  <c r="X248" i="3"/>
  <c r="AL232" i="3"/>
  <c r="X232" i="3"/>
  <c r="AL197" i="3"/>
  <c r="X197" i="3"/>
  <c r="AL207" i="3"/>
  <c r="X207" i="3"/>
  <c r="AL179" i="3"/>
  <c r="X179" i="3"/>
  <c r="AL198" i="3"/>
  <c r="X198" i="3"/>
  <c r="AL199" i="3"/>
  <c r="X199" i="3"/>
  <c r="AL177" i="3"/>
  <c r="X177" i="3"/>
  <c r="AL184" i="3"/>
  <c r="X184" i="3"/>
  <c r="AL212" i="3"/>
  <c r="X212" i="3"/>
  <c r="AL194" i="3"/>
  <c r="X194" i="3"/>
  <c r="AL166" i="3"/>
  <c r="X166" i="3"/>
  <c r="AL246" i="3"/>
  <c r="X246" i="3"/>
  <c r="AL223" i="3"/>
  <c r="X223" i="3"/>
  <c r="AL249" i="3"/>
  <c r="X249" i="3"/>
  <c r="AL251" i="3"/>
  <c r="X251" i="3"/>
  <c r="AL256" i="3"/>
  <c r="X256" i="3"/>
  <c r="AL238" i="3"/>
  <c r="X238" i="3"/>
  <c r="AL214" i="3"/>
  <c r="X214" i="3"/>
  <c r="AL181" i="3"/>
  <c r="X181" i="3"/>
  <c r="AL220" i="3"/>
  <c r="X220" i="3"/>
  <c r="AL257" i="3"/>
  <c r="X257" i="3"/>
  <c r="AL200" i="3"/>
  <c r="L137" i="17"/>
  <c r="L93" i="17"/>
  <c r="V860" i="3"/>
  <c r="AL860" i="3" s="1"/>
  <c r="V355" i="3"/>
  <c r="AL355" i="3" s="1"/>
  <c r="V136" i="3"/>
  <c r="X136" i="3" s="1"/>
  <c r="V497" i="3"/>
  <c r="AL497" i="3" s="1"/>
  <c r="V592" i="3"/>
  <c r="AL592" i="3" s="1"/>
  <c r="V954" i="3"/>
  <c r="AL954" i="3" s="1"/>
  <c r="V957" i="3"/>
  <c r="AL957" i="3" s="1"/>
  <c r="V549" i="3"/>
  <c r="AL549" i="3" s="1"/>
  <c r="V218" i="3"/>
  <c r="X218" i="3" s="1"/>
  <c r="V503" i="3"/>
  <c r="AL503" i="3" s="1"/>
  <c r="V955" i="3"/>
  <c r="AL955" i="3" s="1"/>
  <c r="K63" i="15"/>
  <c r="L63" i="15"/>
  <c r="N63" i="15" s="1"/>
  <c r="AL206" i="3"/>
  <c r="AK314" i="3"/>
  <c r="V845" i="3"/>
  <c r="AL845" i="3" s="1"/>
  <c r="AK235" i="3"/>
  <c r="AK317" i="3"/>
  <c r="V233" i="3"/>
  <c r="X233" i="3" s="1"/>
  <c r="V106" i="3"/>
  <c r="AL106" i="3" s="1"/>
  <c r="AK234" i="3"/>
  <c r="V301" i="3"/>
  <c r="AL301" i="3" s="1"/>
  <c r="V141" i="3"/>
  <c r="AL141" i="3" s="1"/>
  <c r="K47" i="15"/>
  <c r="M48" i="15"/>
  <c r="N48" i="15" s="1"/>
  <c r="M47" i="15"/>
  <c r="N47" i="15" s="1"/>
  <c r="V280" i="17"/>
  <c r="W280" i="17" s="1"/>
  <c r="Y280" i="17" s="1"/>
  <c r="K17" i="15"/>
  <c r="AL175" i="3"/>
  <c r="AL203" i="3"/>
  <c r="AL204" i="3"/>
  <c r="AL221" i="3"/>
  <c r="AL202" i="3"/>
  <c r="AL196" i="3"/>
  <c r="AL174" i="3"/>
  <c r="AL183" i="3"/>
  <c r="AL230" i="3"/>
  <c r="AL210" i="3"/>
  <c r="AL186" i="3"/>
  <c r="AL192" i="3"/>
  <c r="AL195" i="3"/>
  <c r="AL201" i="3"/>
  <c r="AL182" i="3"/>
  <c r="AL193" i="3"/>
  <c r="AL237" i="3"/>
  <c r="AL167" i="3"/>
  <c r="AL176" i="3"/>
  <c r="AL168" i="3"/>
  <c r="AL229" i="3"/>
  <c r="AL178" i="3"/>
  <c r="V235" i="3"/>
  <c r="X235" i="3" s="1"/>
  <c r="AJ235" i="3"/>
  <c r="V109" i="3"/>
  <c r="AL109" i="3" s="1"/>
  <c r="AL121" i="3"/>
  <c r="V557" i="3"/>
  <c r="AL557" i="3" s="1"/>
  <c r="AL224" i="3"/>
  <c r="AL234" i="3"/>
  <c r="AL190" i="3"/>
  <c r="AL15" i="3"/>
  <c r="V558" i="3"/>
  <c r="AL558" i="3" s="1"/>
  <c r="AL191" i="3"/>
  <c r="AL185" i="3"/>
  <c r="AL219" i="3"/>
  <c r="AL171" i="3"/>
  <c r="AL231" i="3"/>
  <c r="AL226" i="3"/>
  <c r="AL227" i="3"/>
  <c r="AL169" i="3"/>
  <c r="V848" i="3"/>
  <c r="AL848" i="3" s="1"/>
  <c r="AL228" i="3"/>
  <c r="L328" i="17"/>
  <c r="AL136" i="3" l="1"/>
  <c r="AL218" i="3"/>
  <c r="AL233" i="3"/>
  <c r="AL23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tc={0A060B74-0A68-4F4D-970B-E839A3C0569D}</author>
    <author>tc={DC033AA4-4B8B-4D5A-81EF-579914D0FA80}</author>
    <author>tc={7346845C-E087-494A-AFB7-DE9E293D67FA}</author>
    <author>tc={D9D0FDE1-4373-4FDB-A125-978B11DDC91F}</author>
    <author>tc={58D0A1D6-AC9F-4E2F-94B7-00AFDCCF2222}</author>
    <author>tc={137ABD2B-9B31-4161-A482-83C25A0CE995}</author>
    <author>tc={88072393-DE4D-475B-997B-B6744769D9F6}</author>
    <author>tc={AF143C08-C773-4C5D-9CEF-024A00C8FAC0}</author>
    <author>tc={23E976A9-7F7C-4D4E-9727-78B6EDBBDCD4}</author>
    <author>tc={3DFD1B62-DB37-4248-9585-804DD660D3F5}</author>
    <author>tc={927636D2-BF36-40D6-96D4-1254443BCC4D}</author>
    <author>tc={547D1557-3251-442B-A8CD-36D3C23F719F}</author>
    <author>tc={A2095BCE-1FC3-4512-A560-8CE008C97244}</author>
    <author>tc={EBF3061F-9FCC-4ABE-BC4F-E51A9AEB1000}</author>
    <author>tc={53B6D09F-EC27-4FE8-8362-8036FC5A1B4A}</author>
    <author>tc={56BBBA73-9B9B-48E5-B647-05FC8ED54AF5}</author>
    <author>tc={42A83B03-1F5D-4C34-87DE-45D45E3D1058}</author>
    <author>tc={69469A74-C9B1-4367-B8EF-3BF4907E49D0}</author>
    <author>tc={1AF441B4-C8D3-463D-98C4-77DAA42C9CA0}</author>
    <author>tc={4380E9D4-40A8-429B-90D0-48BD4404507D}</author>
    <author>tc={B5537849-5256-46B6-B371-B23F313364E8}</author>
    <author>tc={1D02642D-EE13-4F46-896C-1C8AF2A47BB4}</author>
    <author>tc={1DF81F0F-1B51-41DB-8E35-43657D50647D}</author>
    <author>tc={0060726F-D9DF-400E-B062-303FF6DA6D1A}</author>
    <author>tc={793AFF40-856A-458F-8584-3ADA7CA39A0A}</author>
    <author>tc={52500A7C-B46E-4F17-B616-E24D88C1B14F}</author>
    <author>tc={FCD7B6F3-266E-43CD-ACFE-0F171B39B307}</author>
    <author>tc={467855E4-D682-4C5B-957B-FEBC3DCDC3A0}</author>
    <author>tc={A9B99B61-45F0-487D-BDBC-053D3D75A091}</author>
    <author>tc={9AD9E480-EDA0-4A69-8784-838CF22AF472}</author>
    <author>tc={17A02841-CDDA-4531-B7B8-4911FDF93796}</author>
    <author>tc={F71947F0-32BA-45D8-92A3-1A440CE32F0E}</author>
    <author>tc={8238C920-E7C5-4F1E-918A-77384FBAE33D}</author>
    <author>tc={D878C8E6-203D-4DDA-B776-DE790D8D0183}</author>
    <author>tc={D3D0781A-9F58-4940-A5E1-6E78FAAFE902}</author>
    <author>tc={94308DB5-FF6B-441B-BC6E-E6C83D7F9B83}</author>
    <author>tc={646F11CD-D8DB-4989-B69E-23A13BAC4130}</author>
    <author>tc={6209FD57-7E28-402F-9BEB-F338F0149812}</author>
    <author>tc={62B0FC76-68A8-421E-B5F8-6DFEA27FFCB7}</author>
    <author>tc={710A3F4A-5323-4BC6-9FF0-097E49281E7D}</author>
    <author>tc={4F524115-C30A-4356-97FB-E40049EFFC5D}</author>
    <author>tc={CB9ACB7C-6C46-4CF5-BBD5-455080460CAF}</author>
    <author>tc={23C0EFB8-3DDA-4DF4-A658-EC682D99A9F9}</author>
    <author>tc={2923D56A-E2F2-4965-A997-00CF1EEB3AAC}</author>
    <author>tc={048F4AA0-F124-4EE1-9FFE-575FCCFA53B5}</author>
    <author>tc={6937FD8E-FC81-4BA5-86A1-973931D6D166}</author>
    <author>tc={0E56C8D9-03B3-4E78-9985-3ADC61F85DEF}</author>
    <author>tc={811D2037-7EBE-42DB-ABDE-792D53B01684}</author>
    <author>tc={C75F310F-3E60-4C2A-BE70-BF94717F7562}</author>
    <author>tc={7D37797D-562E-468A-9B81-B6279DA986D0}</author>
    <author>tc={2B46D9A4-31E9-4F06-9658-11E8BE269E5A}</author>
    <author>tc={420A19E7-D4EB-42E9-99FC-4DB503F21354}</author>
    <author>tc={C11F7D6F-29C5-4346-B463-BF59E17F09A6}</author>
    <author>tc={4CC96214-BCA4-4B11-99D1-1B13249CC93F}</author>
    <author>tc={AD4C30F9-D64B-4A55-B9DC-1D91F3A542B5}</author>
    <author>tc={44881FC0-D6D8-4C99-9933-EFDA384CBC21}</author>
    <author>tc={15EB13D7-003C-47B9-B6EE-B70105571FDA}</author>
    <author>tc={C1BA5127-545D-4301-AFC8-1FE433FC2210}</author>
    <author>tc={57CEF1B9-2EBB-4C38-87B3-63A8F728F509}</author>
    <author>tc={5AC3E4D3-4074-41AC-8C0F-1CC9CE3E395F}</author>
    <author>tc={D177FF04-2109-42E7-BC2A-54ADC469FF8E}</author>
    <author>tc={A3A1ABBA-1BDF-4764-A091-332949301DE5}</author>
    <author>tc={9B335B8C-E4B0-4028-9139-AFBA82B1FDB4}</author>
    <author>tc={4EEB3A30-0510-4C42-B508-4E9B98492A04}</author>
    <author>tc={A43B43AC-014B-4979-ADC7-16CDDC9246CE}</author>
    <author>tc={AADEE789-1D7D-4148-9D2B-25247A439772}</author>
    <author>tc={539C0693-BABC-4E79-B2DF-FC3A80714747}</author>
    <author>tc={78BD42DB-3B93-4B0E-9DC7-C6D883BF9D5E}</author>
    <author>tc={95C578BB-36F3-4C6F-995D-CA00AF8C72F6}</author>
    <author>tc={EAACA40E-3C54-4846-B58C-DF99CB1FAD58}</author>
    <author>tc={C3129F6A-0921-4D1D-ACC5-1AF2659A3681}</author>
    <author>tc={6DCA2048-2BA6-40DB-AC45-3A55D1E0A8B1}</author>
    <author>tc={A5A6CECA-22D7-42FF-A1C7-3B6627D9DF01}</author>
    <author>tc={AC300FE2-F73B-42C2-AE68-ACD544502B97}</author>
    <author>tc={BB22F4BD-43E1-4DE4-B2ED-B91D96E16426}</author>
    <author>tc={0DDC889C-920E-46F5-BD1D-818674EA089A}</author>
    <author>tc={5A1BDF35-D27D-417F-8045-0DB38006885B}</author>
    <author>tc={132EC7C6-A7AA-4E0E-8066-4817984AC770}</author>
    <author>tc={E03334B6-CCEA-41AB-94BA-EB9CCC638F4F}</author>
    <author>tc={52AA1743-7298-4F58-86E4-4125E9825CA4}</author>
    <author>tc={19297724-518E-4A41-9CBE-6A0EA415A3DD}</author>
    <author>tc={2D598379-2B69-4F1C-9C9E-A8060FE1F126}</author>
    <author>tc={60C15F4E-97B6-462F-83F5-8F71C4C956A9}</author>
    <author>tc={501FF5D4-086A-44C7-A487-1E2B465BC5AC}</author>
    <author>tc={02D75CF5-A5BA-4D8B-8368-5920F571B76B}</author>
    <author>tc={8C646813-4917-4ECE-9D5B-C73757C94237}</author>
    <author>tc={E4505859-FE27-4175-AC57-C4B1517D6FC8}</author>
    <author>tc={530F4159-DDF7-4A6F-88E5-84BC718524CA}</author>
    <author>tc={D701CD2C-24CC-49A1-AD55-D52190644000}</author>
    <author>tc={F44C070C-521F-4280-B8A6-4ECAFE805341}</author>
    <author>tc={0738EB8D-84D1-4128-A6C2-B6F9BBFE0A58}</author>
    <author>tc={6DA19D98-FA48-493E-A13B-6C858CF6FE00}</author>
    <author>tc={F004AFB5-CDD0-4573-908A-C23A150134E0}</author>
    <author>tc={290143AA-6529-4437-8512-4E045B5F354E}</author>
    <author>tc={473A9B31-9535-4CBB-9355-4B8CE5F87F7E}</author>
    <author>tc={278BEAD0-645E-4BE1-BE8F-A406CB2B8A1C}</author>
    <author>tc={255A2DD7-BCAD-4F85-93EE-936818EB0CB9}</author>
    <author>tc={1A060DAB-32B3-4173-918A-62F36EBD7F5D}</author>
    <author>tc={AE0406D1-E18D-4C7E-A10E-7C0A8C2D68A6}</author>
    <author>tc={A69804EE-5279-468E-9254-4AEEC487D0CD}</author>
    <author>tc={CE9303E5-EAEC-46F4-B07F-44F150189937}</author>
    <author>tc={7D65F247-F516-4753-B27D-498AAFB35E58}</author>
    <author>tc={D4A210C3-6550-43DD-8E17-D65E008139B5}</author>
    <author>tc={168D3812-1C75-41CC-B2BB-4714FE251485}</author>
    <author>tc={CD0FD374-647E-4C5B-A6FF-3738ED56F023}</author>
    <author>tc={CE5F4814-0278-48A7-A01E-36AAA2602EEA}</author>
    <author>tc={6542BF4D-83B5-4AAF-B76E-CBACCAF76232}</author>
    <author>tc={9A001101-F4F5-48EA-9978-17F39D0385E1}</author>
    <author>tc={D595DA18-7669-4799-A5E5-B4173BB0DBE4}</author>
    <author>tc={9F13A140-F09C-4698-9844-88C12CCFF638}</author>
    <author>tc={716B5C48-728D-43FC-92B0-06390AEBF9E3}</author>
    <author>tc={9E8DC63F-DE2E-42B6-A52E-9ED01A44F441}</author>
    <author>tc={6F122F45-63D4-4F0F-A924-8BBECFD1D607}</author>
    <author>tc={714C22DB-469E-406E-BC35-CF96D8398C82}</author>
    <author>tc={B3789B43-ED5D-4A52-8355-E81047F2BEB6}</author>
    <author>tc={9182E50E-47EA-4B1D-A80E-24F3BAF4D188}</author>
    <author>tc={1D4EA8C4-A670-4814-87BA-B08F8FFB1FAD}</author>
    <author>tc={EB3D2820-F85E-458A-8ACC-87F949B47BBD}</author>
    <author>tc={6DDDB0F9-CB40-4C39-AECE-A8436960F57B}</author>
    <author>tc={7B8B72E7-269E-45D9-B5FF-9DA4FDD92CD9}</author>
    <author>tc={68AFE9A2-22E2-4C55-9B85-70A7EF611BB9}</author>
    <author>tc={8A5D21A8-9A1A-46F4-9AE5-28DAF7110D01}</author>
    <author>tc={488D209E-4FFB-4583-8385-8F31FAF0A742}</author>
    <author>tc={3D8277BB-4E04-408F-AA16-104A742031F8}</author>
    <author>tc={D1E48661-FCC1-4ADA-A83A-D79B795234B8}</author>
    <author>tc={7F50CDB6-87CD-410A-B230-2F14EAEE0C6C}</author>
    <author>tc={E05819B0-4A53-4BEC-B800-B8038F2B4B1A}</author>
    <author>tc={FF699F49-6E0C-4A78-B8BB-A2DA1FF712E4}</author>
    <author>tc={9DDF7CD1-3BEA-44B9-9C06-8C767D12D76F}</author>
    <author>tc={4603CD63-3554-47C7-A447-247DFBA1B953}</author>
    <author>tc={244BBBC6-6674-409C-9381-05A783499B61}</author>
    <author>tc={3C861B47-DD14-470E-8A84-C1B72EA8DE28}</author>
    <author>tc={420825F6-AC75-42DE-BD43-584662F3265E}</author>
    <author>tc={332EC687-8068-4F94-AD50-4B7835F120BC}</author>
    <author>tc={2CA7EF4A-A7F4-40DF-962D-5F9B771D9A91}</author>
    <author>tc={D4C3E6BA-CAB8-4596-A022-48F68E3E20B2}</author>
    <author>tc={A8955343-623B-4B71-98FC-ED38025D3CE0}</author>
    <author>tc={FCE603B2-7D17-4214-8843-F12BBA99BB41}</author>
    <author>tc={4AA80FCD-EF0E-40DE-AAB6-DDADA291972A}</author>
    <author>tc={17B55D0B-2B13-426F-8AE5-FDD6116799F1}</author>
    <author>tc={75914999-E6DC-4C97-BB5C-CCF0540B21C1}</author>
    <author>tc={361222A8-2273-4C76-BE9E-118439230712}</author>
    <author>tc={CAC857B0-F160-4CAF-8BD9-5775CBCF15B2}</author>
    <author>tc={FE3A19F5-9D4C-4B37-8D82-684237D7B4B7}</author>
    <author>tc={8EA61D64-8856-4838-A2B1-79560A65671B}</author>
    <author>tc={159BAA98-0116-4343-81E2-6B5C25FCCD80}</author>
    <author>tc={9EFA1A50-4080-461C-A5B6-5FBF0ED89237}</author>
    <author>tc={19D7E278-D1D0-444A-AD27-4F8290F733CD}</author>
    <author>tc={47FF93F0-01BB-43D7-9510-8AC022D2DD71}</author>
    <author>tc={FA737732-7F92-45C6-A01F-BBE05CBFD2CD}</author>
    <author>tc={E65EFA76-AEAD-416A-AC2F-F6A76F9F103A}</author>
    <author>tc={57957BED-898A-4E44-B594-89237ED55357}</author>
    <author>tc={F15CF6A0-CD7D-4224-A3F3-8AEF4228EBB1}</author>
    <author>tc={02B0E609-3D63-4885-8C10-873801EAE4F6}</author>
    <author>tc={D1A4169F-A32C-4468-BFEF-41E96FFE7800}</author>
    <author>tc={D08FE9E8-5B2C-45E4-ACB5-C512A6174F3F}</author>
    <author>tc={48EBB66B-3D0B-4BB9-A7E3-9307D89FAE9B}</author>
    <author>tc={3FE7FD65-6D23-4C39-A5A9-A8FA12430D4B}</author>
    <author>tc={1B252938-DFE4-4B45-B143-C9F94EF770E1}</author>
    <author>tc={E7C0648C-683A-449D-8BB1-D84843B9F1FF}</author>
    <author>tc={7BE0142D-0529-4B89-AB97-81A53751E246}</author>
    <author>tc={FBA9D4AC-15D2-4B8E-A155-38E2C2D29978}</author>
    <author>tc={C3FE9878-D861-4AE9-8944-EF1A238B8995}</author>
    <author>tc={60E16B48-7F11-494D-BB31-91550AB9A347}</author>
    <author>tc={07D13D05-1C3C-4584-A3F9-98C869AB9484}</author>
    <author>tc={E75430CF-86C8-4A99-B4D0-8FA89FDC57A8}</author>
    <author>tc={EA21EF15-06FE-4599-BBB6-917B686C5B4E}</author>
    <author>tc={6787636D-422E-4E29-952A-D8D20CE591A1}</author>
    <author>tc={48E42D67-F31E-4721-8B40-044A96E72A9C}</author>
    <author>tc={C3C745C2-C948-4017-93AA-AB52DF8F2A48}</author>
    <author>tc={2FD25F57-4342-494D-8862-871352C06ABE}</author>
    <author>tc={8F59E296-4FBC-49CC-B21E-8BF484E45BBD}</author>
    <author>tc={AB5C152B-CBAE-4418-85C5-C2F0F631F854}</author>
    <author>tc={63A8725E-4A6E-4A4E-9818-029643B1453E}</author>
    <author>tc={97A8F0D9-53A8-4182-8505-E1CED41C5DAF}</author>
    <author>tc={EB1976BB-BEF2-4DA4-A643-53E44739E7A3}</author>
    <author>tc={EBE66F10-416D-43E0-8C73-8CFDC4B8DC95}</author>
    <author>tc={14326B9D-31F9-4745-AEC5-E8D3F00A2E18}</author>
    <author>tc={211D84C8-5603-4ACA-A351-9713EDFF10F8}</author>
    <author>tc={C863AC2B-4EF3-4AF5-A386-677F7EB10761}</author>
    <author>tc={4F6579CA-F997-44E1-A895-D0480D7CE090}</author>
    <author>tc={5E3098B9-6DF3-4E3E-ACFB-9CFABC16516B}</author>
    <author>tc={2BB2B2C3-ADAE-4357-AFEC-948BD3D2F4B4}</author>
    <author>tc={D96005D3-A9C6-4D9F-A8C7-D4C7083C77D8}</author>
    <author>tc={1074D987-37BE-4366-8B0E-1D0E3496B6FC}</author>
    <author>tc={FE009283-8C51-4400-B4A6-0D5DD293B10D}</author>
    <author>tc={C1271826-3C93-4AA5-B03A-CE1CF09F7E79}</author>
    <author>tc={CFE809A9-6DC7-4B66-B781-A5AE8AAB45B3}</author>
    <author>tc={2B3296FA-FAEB-4C47-8746-1E8478314580}</author>
    <author>tc={D2D0715E-4CEE-4C32-B8D5-DA0EEBFFB7C2}</author>
    <author>tc={B158EFA9-EE85-4BB8-B4F9-E1C554272225}</author>
    <author>tc={3E471C97-6343-4B89-B8AC-38FA7D49A697}</author>
    <author>tc={33DC16FE-E92B-4E92-AAEE-9B51DE56FD70}</author>
    <author>tc={D52B53F2-6710-4C22-BCE8-6BABB9680755}</author>
    <author>tc={ABBA8D3E-5956-461C-A7DB-3D9C0DBCAE75}</author>
    <author>tc={EE0FE876-3B48-4423-9F6E-110625D9A890}</author>
    <author>tc={7A29399D-762B-4106-98F1-0008B8413BE4}</author>
    <author>tc={FFDD00EC-32E9-4E67-9BF2-63AD73FE1228}</author>
    <author>tc={4AEF2AD4-63B8-4C6B-B668-1C5C2DFCC1DD}</author>
    <author>tc={B98CBCA0-3E05-4EF6-9DA9-8E841DE545E2}</author>
    <author>tc={4FF332F0-D84A-4C74-9A30-BC069EF3AAF1}</author>
    <author>tc={7A848FCD-E6CC-4AB2-9084-D0C1DC21FE43}</author>
    <author>tc={377978E6-62FC-4AC2-A71D-486E7939BD90}</author>
    <author>tc={1AACF935-E0DB-4C56-9FCC-16B4EDF6076C}</author>
    <author>tc={60CEE8AE-1740-466E-ACF1-15A7E0BCEC03}</author>
    <author>tc={4F371407-5581-42AE-93F2-4A745D2D3BE2}</author>
    <author>tc={672C9EAB-C807-4589-8E2C-DE778579F114}</author>
    <author>tc={46263AE9-19B6-40DF-8A08-69FC9C5B40AC}</author>
    <author>tc={782DB846-1B6D-4C0E-A245-27A457CD5F83}</author>
    <author>tc={4D22C8A0-9A58-43EF-B829-FB006FD2DDA2}</author>
    <author>tc={F524F818-306D-4802-A88B-75FADFA78AF1}</author>
    <author>tc={57F711A5-DB8B-492F-99F8-20EAF17861BC}</author>
    <author>tc={AD20DB1B-4B35-4FCA-B2D4-E7064DE472A3}</author>
    <author>tc={96B97054-2FAE-448A-810F-7549B7546E79}</author>
    <author>tc={2E6BF8EC-B7BB-4BDE-A402-A3C636E109AB}</author>
    <author>tc={E56B9892-9DB6-42AE-A1B9-68AD8240A6E9}</author>
    <author>tc={4E88C188-FE9F-4D1B-89CE-BE45ED8B81EA}</author>
    <author>tc={20A9171B-0F0E-4EC2-B493-DF313357B24A}</author>
    <author>tc={D89B0488-F8B2-4727-96C2-BC911F8E6705}</author>
    <author>tc={F15801BE-8D51-40E2-A219-68B8F9773440}</author>
    <author>tc={80509702-38E1-47B0-9047-434DA9D6AE5C}</author>
    <author>tc={B9BA317D-B74B-43D9-8390-72EDC50E0C8A}</author>
    <author>tc={A17A42C1-0729-488E-A912-4D7A02CB5FCF}</author>
    <author>tc={92A7FDE4-631B-4B10-999A-354074E1390A}</author>
    <author>tc={12DE642B-3447-4F2A-9943-0F2DE69FFA14}</author>
    <author>tc={CA08F936-E69B-426A-B806-D0242243E013}</author>
    <author>tc={D8B5F0E3-934D-46A6-83DA-5FE3D4E1D7BC}</author>
    <author>tc={DAEC1A5E-077A-461A-845C-A244AF6DD1F9}</author>
    <author>tc={95573BD8-0A6F-404B-8CCB-9AB193931986}</author>
    <author>tc={2EC79F64-8522-4849-9654-1D36C3AFB23A}</author>
    <author>tc={D94E5C37-55B8-4B93-994C-074BF3236CA4}</author>
    <author>tc={1AE73D0D-47AA-40B2-BEE3-3D041EB33435}</author>
    <author>tc={6AC35AF0-92A5-4120-868B-6F05655E95F1}</author>
    <author>tc={0EEFE28C-C011-475F-A916-07FEAFCD6B43}</author>
    <author>tc={B2FF3FEB-E4ED-4E42-91EC-F5E127603206}</author>
    <author>tc={37156F84-CF17-4BA9-990C-D737F81E3EBD}</author>
    <author>tc={A64DC098-4CA0-4156-98B6-B07D7FBE346C}</author>
    <author>tc={45DB38F4-8A6C-412B-A796-4143529D1C5F}</author>
    <author>tc={2EBE0631-39CD-4646-8F12-E6240CBBD42B}</author>
    <author>tc={4505865E-D497-4083-B880-901442830B37}</author>
    <author>tc={8B8C6126-F7A9-4857-BE79-8618BED1E909}</author>
    <author>tc={5360AC1B-AB38-4FBF-9C9F-A829EB95ABBD}</author>
    <author>tc={5A257BE3-A90C-44FD-AA50-C0A1312F3B04}</author>
    <author>tc={207CD9FF-E287-4D82-B45F-AD482D8F8D80}</author>
    <author>tc={F15E9517-CC29-420C-8AFD-A7BB945B6DD8}</author>
    <author>tc={EAEAADF7-32E4-4052-8AA8-179D8CC10896}</author>
    <author>tc={E4171B57-73FF-4316-92E3-0C8279C238C1}</author>
    <author>tc={60D8D3A8-397C-426A-A6D1-CB5A64115F9F}</author>
    <author>tc={4061F93E-B59D-4DB5-945D-E75DFE37A6FE}</author>
    <author>tc={A9C5BDA6-E0C4-49AA-8BA8-DFC02C841AA9}</author>
    <author>tc={00071D11-4BF1-41B9-9530-E9785D54A62A}</author>
    <author>tc={41B9F637-197C-4154-B8D7-E2FAC0003593}</author>
    <author>tc={295C3FD1-DBD2-4C0C-9F89-58D8BE2B4907}</author>
    <author>tc={C0575DB0-5F30-4688-AB4B-053D0949BA74}</author>
    <author>tc={B0708EBB-2FFA-4D31-9C0E-799E4D7462ED}</author>
    <author>tc={7A51D502-E5E1-47AC-92A4-C2A49019F7C2}</author>
    <author>tc={2A5161C8-1654-4B80-9E61-B2744A9D9CEC}</author>
    <author>tc={E586EB25-0DB8-49D0-B55E-BF96C694FFB0}</author>
    <author>tc={E1199E18-B38F-4507-88EF-9B9D043B59D3}</author>
    <author>tc={E4F3FB55-3BD5-4ABF-A737-A0416BD9B728}</author>
    <author>tc={D3712C9C-7567-458F-8F4D-9611E6E2A354}</author>
    <author>tc={D3EFDE27-6693-447D-89B7-E4C951DEF056}</author>
    <author>tc={EF6E05C7-53C2-49F2-B783-83B3047017B9}</author>
    <author>tc={EC1F51EE-EBC7-459C-B259-ABCE6C2D768B}</author>
    <author>tc={F58B7DC3-5CEE-477C-ACE0-47C2AFCD7C7E}</author>
    <author>tc={61580619-6A33-4939-BC32-FABA87B74740}</author>
    <author>tc={B83B66CC-7EFD-4711-8338-E049CB30F2BA}</author>
    <author>tc={94D4F477-79B9-4C38-B222-F44F27EDD69D}</author>
    <author>tc={66D07D63-5704-4501-A020-5F05CDE55AE4}</author>
    <author>tc={451136E2-981C-4691-A629-594BB5E4A9F5}</author>
    <author>tc={21F32078-AC0D-4495-B425-52AC05EAE7AD}</author>
    <author>tc={7BF20B70-5B71-41CF-A4E5-A1D48878BD55}</author>
    <author>tc={A44C4728-293D-437A-89C8-CB2B9EFBDA12}</author>
    <author>tc={D3719F5A-6D8F-4835-9F9A-01A7C0246790}</author>
    <author>tc={C59FA140-3403-4AF7-9387-F1CBAAE5E8A2}</author>
    <author>tc={75113F33-533E-49BB-B494-6FBDAF962876}</author>
    <author>tc={ADEE0CD9-D7BA-411B-A19D-7C5FFC591065}</author>
    <author>tc={D08CF24E-62DC-420A-8874-81D23695FB53}</author>
    <author>tc={0B2A706A-FC4B-4AD6-9790-8F2346940802}</author>
    <author>tc={AFE535E1-8D3F-4735-A84D-382A9C8C16FA}</author>
    <author>tc={EA8B9A53-57E4-4D16-8056-22F6FCBF364D}</author>
    <author>tc={B29488C1-7F3F-4761-92FA-BC19D1EC264A}</author>
    <author>tc={749BE45A-67C3-451C-957E-3C099762E6CB}</author>
    <author>tc={D827476A-8703-45D0-BF6E-83BFB0E83312}</author>
    <author>tc={3FC5B964-342F-44FF-85D6-91B3611457A9}</author>
    <author>tc={21A77D32-FE2B-4BFA-884F-CD79BFD58577}</author>
    <author>tc={6227705B-B368-421D-BE7E-FD9F75048112}</author>
    <author>tc={EBE542E3-95E0-419E-B013-19410214E268}</author>
    <author>tc={EB5F54D7-ACF8-4B59-903A-7F470FE80198}</author>
    <author>tc={F7F762B7-422A-4238-B023-2D4F84B4F0A4}</author>
    <author>tc={ED0E5375-EDF7-45FA-BF9C-5D8DCC4A3A5D}</author>
    <author>tc={D36B7F89-0BE4-48A7-9564-18E1B3CA0585}</author>
    <author>tc={AF760235-FE93-45BF-B414-2EA4C09CAB3D}</author>
    <author>tc={7F73F250-A344-438E-9CEF-6B46EE822B19}</author>
    <author>tc={D8EFCCBF-E1F9-44D7-8719-650157419052}</author>
    <author>tc={68FCA3A9-DB1D-4DD3-8991-ED24B7F82F00}</author>
    <author>tc={74230D2C-5B76-4BBB-9D45-81D29EFAFC70}</author>
    <author>tc={6C5E5290-B5A9-43C6-B069-C2ED8E16C365}</author>
    <author>tc={8643DD6F-1F4F-4E56-BDEA-C584B5A5CD66}</author>
    <author>tc={0653DDB4-C676-4274-A202-0F38B0EC028E}</author>
    <author>tc={537E5793-9AF1-44B2-A342-54D443ED0897}</author>
    <author>tc={DF2087DD-9ED5-45D8-9540-B86D1467375D}</author>
    <author>tc={3BB3F964-F2ED-4422-B1D6-96442AFF0713}</author>
    <author>tc={845B67CB-F4DB-4BB7-86EA-F5D0EC175A39}</author>
    <author>tc={4088B1D0-CA07-416D-A3DC-27E35D865571}</author>
    <author>tc={10C56F63-0123-4D24-839A-E98C6A36A99D}</author>
    <author>tc={9D9F6362-41EC-4F41-B475-66363C69CE50}</author>
    <author>tc={E6D45726-92A0-4EB4-AD8B-AD37E26060FF}</author>
    <author>tc={5BDF11DE-F085-4E91-8BB2-E21A7B407ACA}</author>
    <author>tc={69403072-E9F3-447C-AA6F-6DFFD96048FD}</author>
    <author>tc={B28F7D43-9EFB-4DDE-91CF-683754F9DF7C}</author>
    <author>tc={7B4001CD-8579-4E87-A23A-36F00C349DC9}</author>
    <author>tc={4F402B07-35F4-4AE9-A542-1D080A1F2387}</author>
    <author>tc={F1A93EC5-722E-44D1-BAAD-EA33A9AEAB48}</author>
    <author>tc={F17C248F-81FD-4592-9BAF-DE7DB1873359}</author>
    <author>tc={E86C7667-8B2E-4C49-897B-427684685714}</author>
    <author>tc={2454952C-945E-4CB7-8BA8-46FEF247DDC2}</author>
    <author>tc={FB97F1AC-2626-4487-A6CC-B6CE512426E3}</author>
    <author>tc={0635045D-B8A7-4E37-A400-38FBB31D4928}</author>
    <author>tc={4F57E618-CE37-4A48-B75D-0EE5ECAE1F99}</author>
    <author>tc={80566A13-DB78-4007-AAC9-AF6943F858E3}</author>
    <author>tc={E6262076-9910-4832-96CE-1BD945D8DF7C}</author>
    <author>tc={A2AA45E2-3CD0-43EA-B7C1-0F884CF1E886}</author>
    <author>tc={5DE590A2-69E6-46E2-AE66-F32808A4A9E9}</author>
    <author>tc={4301A13E-AA8F-40F6-9B56-500A3D687FB7}</author>
    <author>tc={F1AECEAB-2710-4F30-A797-25C94BC45291}</author>
    <author>tc={185CE4A1-CEFE-4CA7-8288-DC999C50268A}</author>
    <author>tc={8B070A78-AE47-4D25-B77A-3F204E972884}</author>
    <author>tc={6265460B-1C9F-4285-A0C0-4460F0D928CC}</author>
    <author>tc={B0AFB1FE-FB1C-462A-940F-4CBD54F661D4}</author>
    <author>tc={B26497C6-E7B3-4795-940D-9445485611C6}</author>
    <author>tc={9F3BA6B1-70E2-408B-8B7B-268803AD8796}</author>
    <author>tc={29FAA485-F820-44DA-BF34-1C7140BCDD2A}</author>
    <author>tc={D257A8DE-F73C-4E08-96C9-C525E9CA6C52}</author>
    <author>tc={C2A7D104-F18C-4644-A511-41A428A4140E}</author>
    <author>tc={C9DB8B36-92C7-4B3B-88BE-3654F370B9EB}</author>
    <author>tc={43A32047-EF70-4080-952E-007141994816}</author>
    <author>tc={07B041D8-AF31-44D9-8B47-CBA085C327E3}</author>
    <author>tc={99AABF26-C69B-444F-B81D-AF8D6B37F58A}</author>
    <author>tc={3C57EB4D-AB9D-4EEC-A51F-065729ECC4F7}</author>
    <author>tc={651CDF06-6828-4FF7-B1E2-24BDF6C85BAC}</author>
    <author>tc={1B5F6731-39E0-4714-9AFF-25D5E7810239}</author>
    <author>tc={304D7F23-5150-4848-A767-B5302F78F9F8}</author>
    <author>tc={0F560FFE-970E-4C28-97FB-F304BA91E93D}</author>
    <author>tc={BD8B1CDD-6B62-4C0B-810B-010A8EC8A715}</author>
    <author>tc={87FFFAC4-CF59-45FA-B3E1-CE4A165E1D9A}</author>
    <author>tc={8F05F646-4E73-4340-AE2F-4DE2D256D284}</author>
    <author>tc={9F591515-CA28-4F2F-87C5-3BCE8AAA8A97}</author>
    <author>tc={9362E503-CE8F-4168-991F-0E69A8CFBAEA}</author>
    <author>tc={CADF48ED-9578-4124-9B07-61ABCB3E8C34}</author>
    <author>tc={2DB52EE7-0862-4BA9-B895-2355D8927444}</author>
    <author>tc={8E3A4EE8-B2B2-473E-A3FE-1C23137DE345}</author>
    <author>tc={3E1477E7-C636-4E8D-85F7-205A4BA7CA73}</author>
    <author>tc={D8B4AFA5-2078-4544-8C77-62CD9C4B4B43}</author>
    <author>tc={4A51EC80-1733-4066-A9E0-76D8CF5E0356}</author>
    <author>tc={11FFF353-F2B6-4187-B6B1-C2C52DEDCE98}</author>
    <author>tc={335A88C6-827A-4563-A5EC-3FF1DCCF06B5}</author>
    <author>tc={B69208F8-24A5-462A-8566-6D00A63D300D}</author>
    <author>tc={CE6400E3-9B63-4E17-AD76-CFDA6168A573}</author>
    <author>tc={E6094861-FF59-4F69-840F-993D30BB5393}</author>
    <author>tc={7C492A0D-D551-467D-B0DE-E4A6EB921EE6}</author>
    <author>tc={C5BC60E5-BACC-4C5D-B60D-EB710AB28BE3}</author>
    <author>tc={DD49990E-0B17-4B13-B44D-788970F9DE61}</author>
    <author>tc={D885CA94-EFEA-4E59-9159-7ED122E29B46}</author>
    <author>tc={FFFF5AA8-A511-453C-943F-1285061F425F}</author>
    <author>tc={3F3CC720-AA40-4BBD-8CA8-6900FFB275E9}</author>
    <author>tc={393CC7F0-A351-49EA-BF6B-26550C2B05B2}</author>
    <author>tc={96E01624-93C1-4033-8F6A-5235D6582D0B}</author>
    <author>tc={7C8C932F-E8B7-4CE1-A22B-19E3E1301069}</author>
    <author>tc={EB0D1AB4-C846-4C64-86D8-EA042EA577F4}</author>
    <author>tc={B7C727AE-6C5E-4F7E-A2D0-2F86FD1EF2D3}</author>
    <author>tc={ED204829-9326-487F-805E-7AA42A505387}</author>
    <author>tc={14E19697-5EEA-4B52-86D0-5F6BF2927972}</author>
    <author>tc={AAA6F321-0A89-4522-8B6A-41495629F210}</author>
    <author>tc={A06009D1-077A-4F2B-9FAA-01988B99911C}</author>
    <author>tc={1D4608BA-134E-4C99-B63C-EFE731AC33CF}</author>
    <author>tc={717ED829-3DFB-4B45-BF1A-9F1A2774C474}</author>
    <author>tc={6A746A26-602D-4B4E-9E90-1ACCA9D6C6A6}</author>
    <author>tc={F417EA40-2190-4A84-A62A-60120EFE5105}</author>
    <author>tc={714478B8-4785-46D1-8D70-A8E01665090D}</author>
    <author>tc={642C6EDF-10C2-4128-98D2-A632D72B9FAC}</author>
    <author>tc={82EE1A24-713B-40E4-97AC-DD27FB4FFD84}</author>
    <author>tc={E8F65DC4-C920-49CA-B7BC-E915A53BA1A6}</author>
    <author>tc={19683000-AC62-4FAA-B5D7-D4F55370072E}</author>
    <author>tc={C2717AA8-6661-481E-931F-F2532E611CDA}</author>
    <author>tc={1A8EE49A-6968-453A-B558-959447AB936E}</author>
    <author>tc={853CA7FE-2389-47B7-8DDD-A4FE8A803DB3}</author>
    <author>tc={691590EF-FFCA-4154-B5F6-CB7C822146FE}</author>
    <author>tc={7E1D0777-6805-4CF8-9759-B3F7201C75A4}</author>
    <author>tc={BBA95F93-13A5-46E6-BE22-9519D9E434E5}</author>
    <author>tc={BA426E3E-4788-4C36-9D88-44D4D22B3644}</author>
    <author>tc={81A33483-A3BA-4FC4-AEAC-605356022B50}</author>
    <author>tc={8A4D34B1-09E7-466F-BBDC-1CEC81076CB6}</author>
    <author>tc={FB712270-0380-4CEB-AB4E-3AD9FD8F9DE5}</author>
    <author>tc={CD9B31F5-DA0A-432B-BF3F-22B06527D166}</author>
    <author>tc={C143CEAB-6ABD-46B1-9E26-BEA36ECA6403}</author>
    <author>tc={A533299C-5A12-4AF3-A60E-40A8CF6BD420}</author>
    <author>tc={2A6080B3-36AE-4787-8AC9-9C73E1E7CC3A}</author>
    <author>tc={52068B94-1B61-477E-9F25-86087A21CA7A}</author>
    <author>tc={1CBF4644-4FB2-4692-B8BC-4A7A7DF727D1}</author>
    <author>tc={AA8D33AE-2FA1-4189-BF60-E2C6DBC0AAB7}</author>
    <author>tc={37F215D7-522A-4D4A-B715-774C881232AD}</author>
    <author>tc={8225FBFC-1DC0-4644-B73D-2CE04EDCEA3D}</author>
    <author>tc={D4B84B04-6D9F-4837-9266-408A42BEDC23}</author>
    <author>tc={6556C5FD-E244-4052-B125-EC4E1ED09901}</author>
    <author>tc={593C01AF-4DFB-4757-8458-B0A5483D475B}</author>
    <author>tc={F37F08ED-824F-451A-A326-B9C767024FD7}</author>
    <author>tc={BAA99CD1-EA52-4F3D-B0D8-E08E281361A7}</author>
    <author>tc={D11BA802-4257-40F9-9DC4-A98EF796CD3F}</author>
    <author>tc={D076A569-B3FB-46A9-A258-6E2DA5D9F007}</author>
    <author>tc={DDB7D8A4-F9AC-4379-8C93-CF918B8BEFA1}</author>
    <author>tc={2AC97FE1-120C-4E3A-9966-E969CEEFF550}</author>
    <author>tc={B7AB1611-500C-4302-B2F5-8A144F6D7996}</author>
    <author>tc={05B17B4F-6837-4D94-954E-26E43BA9B08B}</author>
    <author>tc={804304AE-304D-4B47-832C-D556A5F2F224}</author>
    <author>tc={6545108A-54A1-4904-934F-F3E6D50E5630}</author>
    <author>tc={FBA59D83-BF00-4630-B796-4ECAE6EBDDA9}</author>
    <author>tc={B48AAC2D-FED1-4248-BF88-6F982AA60BB3}</author>
    <author>tc={9B7164B1-A3F8-4642-8ED7-94479CD7213E}</author>
    <author>tc={781BEC19-3D9F-46DB-86FD-1773020DCA23}</author>
    <author>tc={1C5503CC-4CC4-416A-BBA6-E46C15B40C98}</author>
    <author>tc={BF3FE5CE-3B34-421B-B95D-6F84C3F5C433}</author>
    <author>tc={B2FFEC61-FD75-46CA-98ED-FA20EAF7AC11}</author>
    <author>tc={EBF63758-49D9-4C23-9C3F-1BCF96910644}</author>
    <author>tc={7E52676C-7BE8-4EEF-9F98-A1D862C3C275}</author>
    <author>tc={610D1354-DC7B-420E-825C-5E46174A3063}</author>
    <author>tc={55972AD2-B294-4B53-8CD2-A0C892C1AD5E}</author>
    <author>tc={F1233251-0FBE-408B-AD3F-970E390C0325}</author>
    <author>tc={16FA56D5-7084-4283-B647-AA51E42D3310}</author>
    <author>tc={1CCA8F37-23AA-407A-8161-337116897555}</author>
    <author>tc={65D63112-B46F-4B50-833C-097602B0F19E}</author>
    <author>tc={083885FD-A024-4490-B115-847389D66A24}</author>
    <author>tc={18606141-9DF2-426A-9451-217E027D3F12}</author>
    <author>tc={4D6549D6-D9DC-4116-9AB4-8279FFA95ABD}</author>
    <author>tc={C5FF1E4C-4C65-4810-AB62-A094B07D2CF1}</author>
    <author>tc={00DFE497-833E-4426-87F2-5E07F81946E7}</author>
    <author>tc={D7C0C96E-3952-43F8-BBB9-4D954C90ADF3}</author>
    <author>tc={F59A3D55-79C3-421B-BA6D-401427D5C415}</author>
    <author>tc={93044ECF-8B1D-4CC5-866C-E0D625C62780}</author>
    <author>tc={F5A7C150-4640-4551-882D-E653BAF8DB73}</author>
    <author>tc={C4CE9EDB-D3E2-4786-A3E6-B7CD0D574C1E}</author>
    <author>tc={425A79D5-1229-4EB5-AFC7-BC94CD600CDE}</author>
    <author>tc={608EEE7A-85AE-4CDA-9D8D-98B6942B08EE}</author>
    <author>tc={4341C287-0848-4F0D-844D-46D16CBB2C7F}</author>
    <author>tc={326D5905-66C3-4A23-8D57-6EE3B751BDAD}</author>
    <author>tc={A0A11B6E-4754-44BC-AF85-39C4E8CB5125}</author>
    <author>tc={0B3A23A1-1B1C-4BBD-A28E-E4640FA0BEE8}</author>
    <author>tc={C7BD5175-9FF3-4494-AA38-AEC54B2CB9AB}</author>
    <author>tc={8C237B6A-5A84-4F90-B0B7-A4A53FFA9492}</author>
    <author>tc={2995C01E-3989-4A82-8EC0-94804375BC80}</author>
    <author>tc={CAAA0C1A-9E6E-4E63-AFDA-164DB9E2F3F2}</author>
    <author>tc={D8971182-3A43-437F-9319-B7892D56D972}</author>
    <author>tc={A0F91DDC-C699-47B8-A1C6-F4720BC07C2E}</author>
    <author>tc={B277E68C-13B1-4E4A-99B0-A37478E2360C}</author>
    <author>tc={AB8F2F7E-8BC2-406C-BDE2-518D021CFE3F}</author>
    <author>tc={B8B5FCE5-8E16-485F-AC1F-416C94594BE0}</author>
    <author>tc={BC056B5C-3412-47B0-8DDD-7BAEA46AB758}</author>
    <author>tc={74ED8D92-E67B-4D56-B9F6-A988D58EB436}</author>
    <author>tc={2975AB63-95C1-480F-AB4C-BBCCFE698C4C}</author>
    <author>tc={BC20406B-FE2C-43D2-8153-F216C80F2BDC}</author>
    <author>tc={4C5FF15F-211B-497E-8FDE-81528B6E37A0}</author>
    <author>tc={7B7BE963-F0D6-4D24-B0A1-15A7E5166029}</author>
    <author>tc={28DE24FA-F5A8-41DD-9FBB-A250321DBD45}</author>
    <author>tc={3F8D9910-5D2D-4D89-89CC-7FA9413BA221}</author>
    <author>tc={74F48475-A52D-4926-AFE1-BD28742BC124}</author>
    <author>tc={A45FE303-23D0-4687-94F4-8C481B3F29DF}</author>
    <author>tc={1BEEB9A5-A555-4F3B-9543-51B86F909DDB}</author>
    <author>tc={091E17DE-5FF5-4674-925C-4F6BAE8DD910}</author>
    <author>tc={FD09DA73-A1CF-4CDE-8CCD-2B8AE55CD653}</author>
    <author>tc={C7C04BC1-2640-4121-ACA6-16D66EC3BEFF}</author>
    <author>tc={084EFD57-2543-4BF5-8F03-3A6F852D7D56}</author>
    <author>tc={15DA1A53-ED0D-4033-8EA3-D73326A3538D}</author>
    <author>tc={2C21E4D9-166E-41D0-807E-DA67CB9E0B27}</author>
    <author>tc={BCAC99CE-750E-4AA4-8B8F-9E7710039DDE}</author>
    <author>tc={630B31E4-A8BB-44F5-A5FD-F7132A64F702}</author>
    <author>tc={1CC62B28-E1DC-4D01-A0C4-BB4B4D88C4D3}</author>
    <author>tc={23DBFBB4-03E1-4BA8-9C3E-1AF793E135AE}</author>
    <author>tc={B90F327F-F5BE-4903-9C32-1606C122B87F}</author>
    <author>tc={633B0275-4C3F-4B08-9D7E-C82A921A39B8}</author>
    <author>tc={02114F7B-5ACF-4E94-A4EF-CB77D6ECF452}</author>
    <author>tc={FFCE4DDF-21FC-4584-B296-7707A7736990}</author>
    <author>tc={39D26DEF-C4D1-48EF-96D7-D41F634EC73F}</author>
    <author>tc={F5127CCE-0C60-4240-A010-0AD4F853DB4C}</author>
    <author>tc={CF849DF1-C8AF-469D-A277-00414BE2F940}</author>
    <author>tc={B670772F-03BF-4AAF-B986-B7B49224D2B8}</author>
    <author>tc={9828EBE1-4A23-4028-875B-12C383A2057E}</author>
    <author>tc={269B3C9B-81EF-4C76-88AA-6CEE41503ACF}</author>
    <author>tc={C06FA38C-3794-4F86-BC3B-C9A9A5774234}</author>
    <author>tc={91100127-7B5B-4C0C-BC6C-CA40174DE0A9}</author>
    <author>tc={9CDA4BE1-12E3-4788-9E79-17FA9E627F5C}</author>
    <author>tc={44DA6EF1-397C-4522-A042-F8C1FA5D5C73}</author>
    <author>tc={32AF6801-1EB7-405E-A7D1-C50E591CE3BD}</author>
    <author>tc={B0DAAF17-73DE-46DC-8F4F-4A25D9D18D63}</author>
    <author>tc={13DCB24F-EE8A-4E7C-A191-944605233141}</author>
    <author>tc={09FF4997-5C6A-48EA-94F3-E6CA34BAF6CB}</author>
    <author>tc={F1897CDD-4A4E-477A-A0FB-12F0ED85CE46}</author>
    <author>tc={9DBD6CB0-2D4F-4BDB-A0FF-F83D4933B3A1}</author>
    <author>tc={BE299464-0FAD-4533-B56D-38C85FC0399B}</author>
    <author>tc={EF1B89B5-11AC-4C32-8103-EF438418347C}</author>
    <author>tc={199E5C25-89F0-4CEE-B048-B0EF0F3238F3}</author>
    <author>tc={97DF1F04-41FE-4372-B429-490E8399322E}</author>
    <author>tc={2D91F650-2694-46A3-B170-A87032DF8DCF}</author>
    <author>tc={2E18E56E-DC7A-4AD7-A3FD-7D50DCB810CF}</author>
    <author>tc={309575CA-C5CE-46DA-A66D-3F0F7F4A878D}</author>
    <author>tc={53A3C705-99A4-40C7-954F-091244DC0D3C}</author>
    <author>tc={8756C4B1-EEC5-452D-8F88-21D804DFC4A7}</author>
    <author>tc={8EDCB041-41CF-44E3-A242-1C6AA9032342}</author>
    <author>tc={01773C38-3B27-4249-984B-9BAEA04CABD0}</author>
    <author>tc={8904920D-D7A4-4416-9CD6-A853A43724CC}</author>
    <author>tc={B26CA363-4A41-4AD6-928B-7C31C5311F40}</author>
    <author>tc={466F803F-03F5-4522-AD62-5A82FCC6EF5F}</author>
    <author>tc={2FD3A027-9B0A-4F2B-B588-CE3ED3941C2B}</author>
    <author>tc={E81E99ED-A25F-47CF-ADA5-8344046760C8}</author>
    <author>tc={3C8BC8F0-F76F-4BC5-9B76-6641CF6E5FA5}</author>
    <author>tc={550A6E81-67FA-4DA9-A2CA-8130DB76FEB7}</author>
    <author>tc={2AEE21F2-626C-4063-A5E4-0653DA95AA78}</author>
    <author>tc={91BFCE1C-9B8D-43B9-A645-C895775FE49F}</author>
    <author>tc={1389FED7-7F19-4256-816F-AA5B85D2D1F1}</author>
    <author>tc={183D687E-086D-4462-99E2-C8FA488DCFDA}</author>
    <author>tc={992D0A42-211F-49B6-AD66-D425A13DA632}</author>
    <author>tc={DCF1C9C1-3D9D-4221-BF98-1A74BF6EA0CF}</author>
    <author>tc={BA757D1C-1592-4417-B87F-7D7F810C80D4}</author>
    <author>tc={E1CFE260-B20A-4CDA-A3AF-CDB854EE3B94}</author>
    <author>tc={4651FC77-6085-441A-A4B1-7FF50A64426F}</author>
    <author>tc={2E037471-6847-4EE0-8D89-F12A85C47A11}</author>
    <author>tc={29A98399-F007-4BD3-94FE-678A54323383}</author>
    <author>tc={A3006886-99AA-4E8D-B741-9D4C8739B3F6}</author>
    <author>tc={A5332C1E-9378-4CFA-8845-94EBB9FE2DD8}</author>
    <author>tc={6F24F2C0-6228-4A1E-B90F-61AA91E96242}</author>
    <author>tc={8F33A07F-F0F4-4069-8EF2-C82A4DDE8D82}</author>
    <author>tc={D4780FA2-18D5-43BA-8B66-013B78C0623A}</author>
    <author>tc={6E50EA0F-A217-416C-A4D4-4D22510D6CD1}</author>
    <author>tc={48B5E112-5492-4CCB-8FC4-10AF307F86F7}</author>
    <author>tc={8A27A1E3-FF94-4BE8-B8CB-49B85EF88124}</author>
    <author>tc={A038A422-90A3-4A2D-88B8-568D355A64C8}</author>
    <author>tc={F8133017-03F1-4CBB-8C85-71037DB07298}</author>
    <author>tc={F33A455A-957F-469E-B2F6-0BC12E986660}</author>
    <author>tc={B86AC527-63C7-42D7-BC3B-2BBC2A10B2E0}</author>
    <author>tc={42B3AEB1-F1B7-4C80-BB78-D1239C35DC6E}</author>
    <author>tc={C499F6B3-E4ED-4A99-A22A-88F89CAAAFFC}</author>
    <author>tc={E97538B3-83F5-418E-8885-2B012543FBD1}</author>
    <author>tc={85A30496-F75B-4786-917A-368FE65C6497}</author>
    <author>tc={E6F4D7ED-8C80-41BF-93E1-201D0B628D33}</author>
    <author>tc={2DD7DCF0-A18C-4855-ADD5-30B5009BF565}</author>
    <author>tc={6D1090FF-8A8D-45C1-B1FC-F5C8DEF43175}</author>
    <author>tc={BD129DCF-6F77-41FB-93D7-640A8B5D243E}</author>
    <author>tc={C5CAF699-CD4C-474D-8142-4ED0C99314E3}</author>
    <author>tc={E9B9AB45-E782-4597-B1B0-C3B970C93548}</author>
    <author>tc={544BAE84-B694-4959-A9C1-389665681246}</author>
    <author>tc={A6344B3E-9F3A-487C-825A-78BF50F9E10C}</author>
    <author>tc={FDC6BAEC-DC5F-4A4E-98C9-6EA2CF2924C8}</author>
    <author>tc={006BF937-4DA6-4D11-9153-27F5DEF6A145}</author>
    <author>tc={4B3DB17B-FC50-4A22-9661-555D28C7BD4E}</author>
    <author>tc={DAC326AE-A6D3-4672-A4CB-ED82CDB7FC4E}</author>
    <author>tc={8F3B32F8-1B52-4FD2-AE70-195F0043ECD8}</author>
    <author>tc={120601B1-8E08-479C-B8E7-994E607B4E93}</author>
    <author>tc={00E96FB6-4118-4D70-918D-6AC447510AB4}</author>
    <author>tc={AD550AB1-09C2-424F-98AF-11D58C1583A2}</author>
    <author>tc={EAB72365-AEEF-4EF9-B454-A61C0ED645CC}</author>
    <author>tc={363A85A7-33BE-4157-8B6B-F91DD8DCEA7C}</author>
    <author>tc={2EFE111E-7042-4700-8320-8466918FCD2A}</author>
    <author>tc={17959D59-ADB4-488E-8B65-07CEB63B0B83}</author>
    <author>tc={F9A3C6B2-AC1E-4082-9E3D-4317C08E7EE4}</author>
    <author>tc={367EB903-FB7A-4747-9C02-3690EAA5CBB1}</author>
    <author>tc={80EC56D9-7BC4-4918-8441-F7F73A22675B}</author>
    <author>tc={0795AA3F-1161-4FB7-85F1-5CED47294140}</author>
    <author>tc={841D3710-C1D0-478E-9F79-C96F7C1228D3}</author>
    <author>tc={97CADB88-950B-4F1D-8DAB-0B8CCB64542A}</author>
    <author>tc={E7973BA3-6419-4F14-832E-17D7F8C9647D}</author>
    <author>tc={8553B337-A7E0-4E8E-A6E5-04EEB75F4C34}</author>
    <author>tc={9C71B8C4-7AE2-4D9E-8E3B-D656AC30E927}</author>
    <author>tc={472B743C-773F-4B00-81D3-5E6E4A3E9B23}</author>
    <author>tc={31370597-AF41-4EE8-BC18-4532C1912C03}</author>
    <author>tc={10346FAE-4204-4C61-A1C1-A44B5103CD1C}</author>
    <author>tc={49066E35-A8AD-415B-AD18-4D6F249C0C31}</author>
    <author>tc={4A35DFB8-3E4C-421A-B3E5-9CB02C1EF8F7}</author>
    <author>tc={EE83D892-77AF-4B99-9CBB-64ABA7A175C0}</author>
    <author>tc={81E0459F-6F37-4732-A0EC-0E54D96E0BA3}</author>
    <author>tc={F34D38D4-16EC-49DC-930B-C46CCDCE0B5C}</author>
    <author>tc={17BEDA27-5CDC-4D27-BB74-BD3E1A540AD0}</author>
    <author>tc={EE766DF1-CB79-41A0-B4C1-8E767FB746E4}</author>
    <author>tc={D0577E88-4F20-4FBF-8DE6-AC6FB7C2A8B4}</author>
    <author>tc={455962F0-BDC3-4A31-B2D6-0A58C55A25F0}</author>
    <author>tc={3E71F632-9EF6-4A60-AA22-FBFCEB1FBA6A}</author>
    <author>tc={59194584-3F9F-48B5-AC44-FCF6CBD126A9}</author>
    <author>tc={633B82D6-C2F2-4753-BC79-AF47DF808BEF}</author>
    <author>tc={B1AD79B1-B1B9-4D89-BF8F-13C2AC289451}</author>
    <author>tc={F25076C5-5045-408C-B786-57D45031CDEA}</author>
    <author>tc={6EA2362D-4C1F-43E4-BF70-41C84C62358B}</author>
    <author>tc={4606A987-9C0F-4D51-B8DF-FF53A3B218E4}</author>
    <author>tc={694CF2BE-8F10-4A79-BABE-A397CBBFBAFF}</author>
    <author>tc={701A167D-1709-4DCE-A941-2845D8D3F6EA}</author>
    <author>tc={BB18EEC8-5A6B-4C1D-94F4-08ACCA9E3FFE}</author>
    <author>tc={218FC72E-0F8D-4CE6-A4AF-36869104B2CF}</author>
    <author>tc={72AE609D-9EE4-48D0-B166-174CC45A10E9}</author>
    <author>tc={D2DE6691-CDAE-436C-8EFA-B17720693508}</author>
    <author>tc={F814A439-37DF-4CB5-BF46-748CAF271400}</author>
    <author>tc={354FA26D-1D5C-4935-ABAF-340B17D6F3A0}</author>
    <author>tc={B02A573B-B841-4140-A0DA-B73ECEDC77D4}</author>
    <author>tc={F31B77B1-9E62-4403-9E6F-EE20E442BD89}</author>
    <author>tc={FB6DF18E-B7E9-4BD8-89EB-9EE487551202}</author>
    <author>tc={E989DD43-64BA-451F-AE29-892FA944AD24}</author>
    <author>tc={7CAA60DE-3135-4EC7-BF10-08D13AEE9D1A}</author>
    <author>tc={3CCB0CC3-96B2-438D-8919-F2EE91E05841}</author>
    <author>tc={29BA929D-746C-47E6-8E89-71D40BAFD5D9}</author>
    <author>tc={3D7ECA88-B976-4A27-B726-00A925815FBE}</author>
    <author>tc={6D641468-CABA-4784-9C10-C7920F08C0FF}</author>
    <author>tc={6143759D-1440-40DC-8481-D110D9A95A85}</author>
    <author>tc={48B5240C-7754-443B-A778-57C1451A6391}</author>
    <author>tc={970AD277-8DB4-46F0-B5AD-33D04F9D0147}</author>
    <author>tc={B60327A9-D909-4C1F-8315-C78BF467CDFB}</author>
    <author>tc={A869D273-44F1-4887-A9CC-F5FA0E57DCEE}</author>
    <author>tc={666BD102-263A-4FB6-BAF6-C595F3DF0147}</author>
    <author>tc={F6056C61-290D-445C-A6CF-60BD0C2347EF}</author>
    <author>tc={CACFE84F-A08D-4C7C-A8DE-4D6724259459}</author>
  </authors>
  <commentList>
    <comment ref="K8" authorId="0" shapeId="0" xr:uid="{0A060B74-0A68-4F4D-970B-E839A3C0569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8" authorId="1" shapeId="0" xr:uid="{DC033AA4-4B8B-4D5A-81EF-579914D0FA80}">
      <text>
        <t>[Comentário encadeado]
Sua versão do Excel permite que você leia este comentário encadeado, no entanto, as edições serão removidas se o arquivo for aberto em uma versão mais recente do Excel. Saiba mais: https://go.microsoft.com/fwlink/?linkid=870924
Comentário:
    Evento gastronômico 16,17 e18</t>
      </text>
    </comment>
    <comment ref="K9" authorId="2" shapeId="0" xr:uid="{7346845C-E087-494A-AFB7-DE9E293D67F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0" authorId="3" shapeId="0" xr:uid="{D9D0FDE1-4373-4FDB-A125-978B11DDC91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10" authorId="4" shapeId="0" xr:uid="{58D0A1D6-AC9F-4E2F-94B7-00AFDCCF2222}">
      <text>
        <t>[Comentário encadeado]
Sua versão do Excel permite que você leia este comentário encadeado, no entanto, as edições serão removidas se o arquivo for aberto em uma versão mais recente do Excel. Saiba mais: https://go.microsoft.com/fwlink/?linkid=870924
Comentário:
    Evento gastronômico 16,17 e18</t>
      </text>
    </comment>
    <comment ref="K11" authorId="5" shapeId="0" xr:uid="{137ABD2B-9B31-4161-A482-83C25A0CE99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2" authorId="6" shapeId="0" xr:uid="{88072393-DE4D-475B-997B-B6744769D9F6}">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 Redução de 1 posto de tratamento de piso. Início em 01/06/25.</t>
      </text>
    </comment>
    <comment ref="E15" authorId="7" shapeId="0" xr:uid="{AF143C08-C773-4C5D-9CEF-024A00C8FAC0}">
      <text>
        <t>[Comentário encadeado]
Sua versão do Excel permite que você leia este comentário encadeado, no entanto, as edições serão removidas se o arquivo for aberto em uma versão mais recente do Excel. Saiba mais: https://go.microsoft.com/fwlink/?linkid=870924
Comentário:
    Se tornou orgânico a partir de 10/03.</t>
      </text>
    </comment>
    <comment ref="K15" authorId="8" shapeId="0" xr:uid="{23E976A9-7F7C-4D4E-9727-78B6EDBBDCD4}">
      <text>
        <t>[Comentário encadeado]
Sua versão do Excel permite que você leia este comentário encadeado, no entanto, as edições serão removidas se o arquivo for aberto em uma versão mais recente do Excel. Saiba mais: https://go.microsoft.com/fwlink/?linkid=870924
Comentário:
    9 dias</t>
      </text>
    </comment>
    <comment ref="AD20" authorId="9" shapeId="0" xr:uid="{3DFD1B62-DB37-4248-9585-804DD660D3F5}">
      <text>
        <t>[Comentário encadeado]
Sua versão do Excel permite que você leia este comentário encadeado, no entanto, as edições serão removidas se o arquivo for aberto em uma versão mais recente do Excel. Saiba mais: https://go.microsoft.com/fwlink/?linkid=870924
Comentário:
    6 funcionários dias 01, 02 e 03 de março.</t>
      </text>
    </comment>
    <comment ref="K23" authorId="10" shapeId="0" xr:uid="{927636D2-BF36-40D6-96D4-1254443BCC4D}">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 Redução de 1 posto de tratamento de piso. Início em 01/06/25.</t>
      </text>
    </comment>
    <comment ref="K24" authorId="11" shapeId="0" xr:uid="{547D1557-3251-442B-A8CD-36D3C23F719F}">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 Redução de 1 posto de tratamento de piso. Início em 01/06/25.</t>
      </text>
    </comment>
    <comment ref="K25" authorId="12" shapeId="0" xr:uid="{A2095BCE-1FC3-4512-A560-8CE008C9724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6" authorId="13" shapeId="0" xr:uid="{EBF3061F-9FCC-4ABE-BC4F-E51A9AEB1000}">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 Redução de 1 posto de tratamento de piso. Início em 01/06/25.</t>
      </text>
    </comment>
    <comment ref="AE26" authorId="14" shapeId="0" xr:uid="{53B6D09F-EC27-4FE8-8362-8036FC5A1B4A}">
      <text>
        <t>[Comentário encadeado]
Sua versão do Excel permite que você leia este comentário encadeado, no entanto, as edições serão removidas se o arquivo for aberto em uma versão mais recente do Excel. Saiba mais: https://go.microsoft.com/fwlink/?linkid=870924
Comentário:
    Rio jet'aime</t>
      </text>
    </comment>
    <comment ref="K27" authorId="15" shapeId="0" xr:uid="{56BBBA73-9B9B-48E5-B647-05FC8ED54AF5}">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 Redução de 1 posto de tratamento de piso. Início em 01/06/25.</t>
      </text>
    </comment>
    <comment ref="K30" authorId="16" shapeId="0" xr:uid="{42A83B03-1F5D-4C34-87DE-45D45E3D1058}">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K31" authorId="17" shapeId="0" xr:uid="{69469A74-C9B1-4367-B8EF-3BF4907E49D0}">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K32" authorId="18" shapeId="0" xr:uid="{1AF441B4-C8D3-463D-98C4-77DAA42C9CA0}">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K33" authorId="19" shapeId="0" xr:uid="{4380E9D4-40A8-429B-90D0-48BD4404507D}">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AE33" authorId="20" shapeId="0" xr:uid="{B5537849-5256-46B6-B371-B23F313364E8}">
      <text>
        <t>[Comentário encadeado]
Sua versão do Excel permite que você leia este comentário encadeado, no entanto, as edições serão removidas se o arquivo for aberto em uma versão mais recente do Excel. Saiba mais: https://go.microsoft.com/fwlink/?linkid=870924
Comentário:
    Extras realizados em abril.</t>
      </text>
    </comment>
    <comment ref="K34" authorId="21" shapeId="0" xr:uid="{1D02642D-EE13-4F46-896C-1C8AF2A47BB4}">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K35" authorId="22" shapeId="0" xr:uid="{1DF81F0F-1B51-41DB-8E35-43657D50647D}">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K36" authorId="23" shapeId="0" xr:uid="{0060726F-D9DF-400E-B062-303FF6DA6D1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7" authorId="24" shapeId="0" xr:uid="{793AFF40-856A-458F-8584-3ADA7CA39A0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8" authorId="25" shapeId="0" xr:uid="{52500A7C-B46E-4F17-B616-E24D88C1B14F}">
      <text>
        <t>[Comentário encadeado]
Sua versão do Excel permite que você leia este comentário encadeado, no entanto, as edições serão removidas se o arquivo for aberto em uma versão mais recente do Excel. Saiba mais: https://go.microsoft.com/fwlink/?linkid=870924
Comentário:
    Adequação ao Novo Organograma.
Responder:
    Início em 01/09</t>
      </text>
    </comment>
    <comment ref="K39" authorId="26" shapeId="0" xr:uid="{FCD7B6F3-266E-43CD-ACFE-0F171B39B307}">
      <text>
        <t>[Comentário encadeado]
Sua versão do Excel permite que você leia este comentário encadeado, no entanto, as edições serão removidas se o arquivo for aberto em uma versão mais recente do Excel. Saiba mais: https://go.microsoft.com/fwlink/?linkid=870924
Comentário:
    Adequação ao Novo Organograma.
Responder:
    Início em 01/09</t>
      </text>
    </comment>
    <comment ref="K48" authorId="27" shapeId="0" xr:uid="{467855E4-D682-4C5B-957B-FEBC3DCDC3A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9" authorId="28" shapeId="0" xr:uid="{A9B99B61-45F0-487D-BDBC-053D3D75A09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0" authorId="29" shapeId="0" xr:uid="{9AD9E480-EDA0-4A69-8784-838CF22AF47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1" authorId="30" shapeId="0" xr:uid="{17A02841-CDDA-4531-B7B8-4911FDF9379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 authorId="31" shapeId="0" xr:uid="{F71947F0-32BA-45D8-92A3-1A440CE32F0E}">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D62" authorId="32" shapeId="0" xr:uid="{8238C920-E7C5-4F1E-918A-77384FBAE33D}">
      <text>
        <t>[Comentário encadeado]
Sua versão do Excel permite que você leia este comentário encadeado, no entanto, as edições serão removidas se o arquivo for aberto em uma versão mais recente do Excel. Saiba mais: https://go.microsoft.com/fwlink/?linkid=870924
Comentário:
    Evento gastromico</t>
      </text>
    </comment>
    <comment ref="K66" authorId="33" shapeId="0" xr:uid="{D878C8E6-203D-4DDA-B776-DE790D8D018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67" authorId="34" shapeId="0" xr:uid="{D3D0781A-9F58-4940-A5E1-6E78FAAFE902}">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68" authorId="35" shapeId="0" xr:uid="{94308DB5-FF6B-441B-BC6E-E6C83D7F9B8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69" authorId="36" shapeId="0" xr:uid="{646F11CD-D8DB-4989-B69E-23A13BAC4130}">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70" authorId="37" shapeId="0" xr:uid="{6209FD57-7E28-402F-9BEB-F338F0149812}">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78" authorId="38" shapeId="0" xr:uid="{62B0FC76-68A8-421E-B5F8-6DFEA27FFCB7}">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79" authorId="39" shapeId="0" xr:uid="{710A3F4A-5323-4BC6-9FF0-097E49281E7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79" authorId="40" shapeId="0" xr:uid="{4F524115-C30A-4356-97FB-E40049EFFC5D}">
      <text>
        <t>[Comentário encadeado]
Sua versão do Excel permite que você leia este comentário encadeado, no entanto, as edições serão removidas se o arquivo for aberto em uma versão mais recente do Excel. Saiba mais: https://go.microsoft.com/fwlink/?linkid=870924
Comentário:
    Retroativo de janeiro e fevereiro.</t>
      </text>
    </comment>
    <comment ref="K80" authorId="41" shapeId="0" xr:uid="{CB9ACB7C-6C46-4CF5-BBD5-455080460CAF}">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81" authorId="42" shapeId="0" xr:uid="{23C0EFB8-3DDA-4DF4-A658-EC682D99A9F9}">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82" authorId="43" shapeId="0" xr:uid="{2923D56A-E2F2-4965-A997-00CF1EEB3AAC}">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87" authorId="44" shapeId="0" xr:uid="{048F4AA0-F124-4EE1-9FFE-575FCCFA53B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 authorId="45" shapeId="0" xr:uid="{6937FD8E-FC81-4BA5-86A1-973931D6D16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89" authorId="46" shapeId="0" xr:uid="{0E56C8D9-03B3-4E78-9985-3ADC61F85DEF}">
      <text>
        <t>[Comentário encadeado]
Sua versão do Excel permite que você leia este comentário encadeado, no entanto, as edições serão removidas se o arquivo for aberto em uma versão mais recente do Excel. Saiba mais: https://go.microsoft.com/fwlink/?linkid=870924
Comentário:
    Retroativo de janeiro e fevereiro.</t>
      </text>
    </comment>
    <comment ref="K90" authorId="47" shapeId="0" xr:uid="{811D2037-7EBE-42DB-ABDE-792D53B0168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1" authorId="48" shapeId="0" xr:uid="{C75F310F-3E60-4C2A-BE70-BF94717F756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2" authorId="49" shapeId="0" xr:uid="{7D37797D-562E-468A-9B81-B6279DA986D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01" authorId="50" shapeId="0" xr:uid="{2B46D9A4-31E9-4F06-9658-11E8BE269E5A}">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validação.</t>
      </text>
    </comment>
    <comment ref="K102" authorId="51" shapeId="0" xr:uid="{420A19E7-D4EB-42E9-99FC-4DB503F2135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03" authorId="52" shapeId="0" xr:uid="{C11F7D6F-29C5-4346-B463-BF59E17F09A6}">
      <text>
        <t>[Comentário encadeado]
Sua versão do Excel permite que você leia este comentário encadeado, no entanto, as edições serão removidas se o arquivo for aberto em uma versão mais recente do Excel. Saiba mais: https://go.microsoft.com/fwlink/?linkid=870924
Comentário:
    Inclusão do supervisor em 01/07.</t>
      </text>
    </comment>
    <comment ref="K104" authorId="53" shapeId="0" xr:uid="{4CC96214-BCA4-4B11-99D1-1B13249CC93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R104" authorId="54" shapeId="0" xr:uid="{AD4C30F9-D64B-4A55-B9DC-1D91F3A542B5}">
      <text>
        <t>[Comentário encadeado]
Sua versão do Excel permite que você leia este comentário encadeado, no entanto, as edições serão removidas se o arquivo for aberto em uma versão mais recente do Excel. Saiba mais: https://go.microsoft.com/fwlink/?linkid=870924
Comentário:
    Desconto referente á revitalização do armário (2/4)</t>
      </text>
    </comment>
    <comment ref="K110" authorId="55" shapeId="0" xr:uid="{44881FC0-D6D8-4C99-9933-EFDA384CBC2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11" authorId="56" shapeId="0" xr:uid="{15EB13D7-003C-47B9-B6EE-B70105571FDA}">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R111" authorId="57" shapeId="0" xr:uid="{C1BA5127-545D-4301-AFC8-1FE433FC2210}">
      <text>
        <t>[Comentário encadeado]
Sua versão do Excel permite que você leia este comentário encadeado, no entanto, as edições serão removidas se o arquivo for aberto em uma versão mais recente do Excel. Saiba mais: https://go.microsoft.com/fwlink/?linkid=870924
Comentário:
    Desconto referente á revitalização do armário (3/4)</t>
      </text>
    </comment>
    <comment ref="AD118" authorId="58" shapeId="0" xr:uid="{57CEF1B9-2EBB-4C38-87B3-63A8F728F509}">
      <text>
        <t>[Comentário encadeado]
Sua versão do Excel permite que você leia este comentário encadeado, no entanto, as edições serão removidas se o arquivo for aberto em uma versão mais recente do Excel. Saiba mais: https://go.microsoft.com/fwlink/?linkid=870924
Comentário:
    Evento 17, 18 e 19/01.</t>
      </text>
    </comment>
    <comment ref="AD121" authorId="59" shapeId="0" xr:uid="{5AC3E4D3-4074-41AC-8C0F-1CC9CE3E395F}">
      <text>
        <t>[Comentário encadeado]
Sua versão do Excel permite que você leia este comentário encadeado, no entanto, as edições serão removidas se o arquivo for aberto em uma versão mais recente do Excel. Saiba mais: https://go.microsoft.com/fwlink/?linkid=870924
Comentário:
    25 e 26 de jan.</t>
      </text>
    </comment>
    <comment ref="AD122" authorId="60" shapeId="0" xr:uid="{D177FF04-2109-42E7-BC2A-54ADC469FF8E}">
      <text>
        <t>[Comentário encadeado]
Sua versão do Excel permite que você leia este comentário encadeado, no entanto, as edições serão removidas se o arquivo for aberto em uma versão mais recente do Excel. Saiba mais: https://go.microsoft.com/fwlink/?linkid=870924
Comentário:
    Páscoa.</t>
      </text>
    </comment>
    <comment ref="AD124" authorId="61" shapeId="0" xr:uid="{A3A1ABBA-1BDF-4764-A091-332949301DE5}">
      <text>
        <t>[Comentário encadeado]
Sua versão do Excel permite que você leia este comentário encadeado, no entanto, as edições serão removidas se o arquivo for aberto em uma versão mais recente do Excel. Saiba mais: https://go.microsoft.com/fwlink/?linkid=870924
Comentário:
    01 e 02 de março - Bailinho de Carnaval.</t>
      </text>
    </comment>
    <comment ref="K125" authorId="62" shapeId="0" xr:uid="{9B335B8C-E4B0-4028-9139-AFBA82B1FDB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T125" authorId="63" shapeId="0" xr:uid="{4EEB3A30-0510-4C42-B508-4E9B98492A04}">
      <text>
        <t>[Comentário encadeado]
Sua versão do Excel permite que você leia este comentário encadeado, no entanto, as edições serão removidas se o arquivo for aberto em uma versão mais recente do Excel. Saiba mais: https://go.microsoft.com/fwlink/?linkid=870924
Comentário:
    Diferença da emissão de maio</t>
      </text>
    </comment>
    <comment ref="K126" authorId="64" shapeId="0" xr:uid="{A43B43AC-014B-4979-ADC7-16CDDC9246C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27" authorId="65" shapeId="0" xr:uid="{AADEE789-1D7D-4148-9D2B-25247A439772}">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R127" authorId="66" shapeId="0" xr:uid="{539C0693-BABC-4E79-B2DF-FC3A80714747}">
      <text>
        <t>[Comentário encadeado]
Sua versão do Excel permite que você leia este comentário encadeado, no entanto, as edições serão removidas se o arquivo for aberto em uma versão mais recente do Excel. Saiba mais: https://go.microsoft.com/fwlink/?linkid=870924
Comentário:
    Desconto referente á revitalização do armário (4/4)</t>
      </text>
    </comment>
    <comment ref="K128" authorId="67" shapeId="0" xr:uid="{78BD42DB-3B93-4B0E-9DC7-C6D883BF9D5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128" authorId="68" shapeId="0" xr:uid="{95C578BB-36F3-4C6F-995D-CA00AF8C72F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Evento 17, 18 e 19/01.
</t>
      </text>
    </comment>
    <comment ref="K129" authorId="69" shapeId="0" xr:uid="{EAACA40E-3C54-4846-B58C-DF99CB1FAD5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30" authorId="70" shapeId="0" xr:uid="{C3129F6A-0921-4D1D-ACC5-1AF2659A368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31" authorId="71" shapeId="0" xr:uid="{6DCA2048-2BA6-40DB-AC45-3A55D1E0A8B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32" authorId="72" shapeId="0" xr:uid="{A5A6CECA-22D7-42FF-A1C7-3B6627D9DF0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33" authorId="73" shapeId="0" xr:uid="{AC300FE2-F73B-42C2-AE68-ACD544502B9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34" authorId="74" shapeId="0" xr:uid="{BB22F4BD-43E1-4DE4-B2ED-B91D96E16426}">
      <text>
        <t>[Comentário encadeado]
Sua versão do Excel permite que você leia este comentário encadeado, no entanto, as edições serão removidas se o arquivo for aberto em uma versão mais recente do Excel. Saiba mais: https://go.microsoft.com/fwlink/?linkid=870924
Comentário:
    Inclusão do supervisor em 01/07.</t>
      </text>
    </comment>
    <comment ref="K135" authorId="75" shapeId="0" xr:uid="{0DDC889C-920E-46F5-BD1D-818674EA089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copeira em jan/25
Responder:
    R$ 257.308,28
</t>
      </text>
    </comment>
    <comment ref="AD135" authorId="76" shapeId="0" xr:uid="{5A1BDF35-D27D-417F-8045-0DB38006885B}">
      <text>
        <t>[Comentário encadeado]
Sua versão do Excel permite que você leia este comentário encadeado, no entanto, as edições serão removidas se o arquivo for aberto em uma versão mais recente do Excel. Saiba mais: https://go.microsoft.com/fwlink/?linkid=870924
Comentário:
    Extra dia das mães.</t>
      </text>
    </comment>
    <comment ref="K137" authorId="77" shapeId="0" xr:uid="{132EC7C6-A7AA-4E0E-8066-4817984AC77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copeira em jan/25
Responder:
    R$ 257.308,28
</t>
      </text>
    </comment>
    <comment ref="K138" authorId="78" shapeId="0" xr:uid="{E03334B6-CCEA-41AB-94BA-EB9CCC638F4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copeira em jan/25
Responder:
    R$ 257.308,28
</t>
      </text>
    </comment>
    <comment ref="K139" authorId="79" shapeId="0" xr:uid="{52AA1743-7298-4F58-86E4-4125E9825CA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copeira em jan/25
Responder:
    R$ 257.308,28
</t>
      </text>
    </comment>
    <comment ref="K140" authorId="80" shapeId="0" xr:uid="{19297724-518E-4A41-9CBE-6A0EA415A3D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41" authorId="81" shapeId="0" xr:uid="{2D598379-2B69-4F1C-9C9E-A8060FE1F126}">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validação.</t>
      </text>
    </comment>
    <comment ref="R142" authorId="82" shapeId="0" xr:uid="{60C15F4E-97B6-462F-83F5-8F71C4C956A9}">
      <text>
        <t>[Comentário encadeado]
Sua versão do Excel permite que você leia este comentário encadeado, no entanto, as edições serão removidas se o arquivo for aberto em uma versão mais recente do Excel. Saiba mais: https://go.microsoft.com/fwlink/?linkid=870924
Comentário:
    Desconto referente á revitalização do armário (¼)</t>
      </text>
    </comment>
    <comment ref="K143" authorId="83" shapeId="0" xr:uid="{501FF5D4-086A-44C7-A487-1E2B465BC5AC}">
      <text>
        <t>[Comentário encadeado]
Sua versão do Excel permite que você leia este comentário encadeado, no entanto, as edições serão removidas se o arquivo for aberto em uma versão mais recente do Excel. Saiba mais: https://go.microsoft.com/fwlink/?linkid=870924
Comentário:
    Inclusão do supervisor em 01/07.</t>
      </text>
    </comment>
    <comment ref="K144" authorId="84" shapeId="0" xr:uid="{02D75CF5-A5BA-4D8B-8368-5920F571B76B}">
      <text>
        <t>[Comentário encadeado]
Sua versão do Excel permite que você leia este comentário encadeado, no entanto, as edições serão removidas se o arquivo for aberto em uma versão mais recente do Excel. Saiba mais: https://go.microsoft.com/fwlink/?linkid=870924
Comentário:
    Inclusão do supervisor em 01/07.</t>
      </text>
    </comment>
    <comment ref="K145" authorId="85" shapeId="0" xr:uid="{8C646813-4917-4ECE-9D5B-C73757C9423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46" authorId="86" shapeId="0" xr:uid="{E4505859-FE27-4175-AC57-C4B1517D6FC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47" authorId="87" shapeId="0" xr:uid="{530F4159-DDF7-4A6F-88E5-84BC718524C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48" authorId="88" shapeId="0" xr:uid="{D701CD2C-24CC-49A1-AD55-D5219064400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49" authorId="89" shapeId="0" xr:uid="{F44C070C-521F-4280-B8A6-4ECAFE80534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50" authorId="90" shapeId="0" xr:uid="{0738EB8D-84D1-4128-A6C2-B6F9BBFE0A5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51" authorId="91" shapeId="0" xr:uid="{6DA19D98-FA48-493E-A13B-6C858CF6FE0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52" authorId="92" shapeId="0" xr:uid="{F004AFB5-CDD0-4573-908A-C23A150134E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53" authorId="93" shapeId="0" xr:uid="{290143AA-6529-4437-8512-4E045B5F354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66" authorId="94" shapeId="0" xr:uid="{473A9B31-9535-4CBB-9355-4B8CE5F87F7E}">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173" authorId="95" shapeId="0" xr:uid="{278BEAD0-645E-4BE1-BE8F-A406CB2B8A1C}">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174" authorId="96" shapeId="0" xr:uid="{255A2DD7-BCAD-4F85-93EE-936818EB0CB9}">
      <text>
        <t>[Comentário encadeado]
Sua versão do Excel permite que você leia este comentário encadeado, no entanto, as edições serão removidas se o arquivo for aberto em uma versão mais recente do Excel. Saiba mais: https://go.microsoft.com/fwlink/?linkid=870924
Comentário:
    Floreada iniciou em 07/03.</t>
      </text>
    </comment>
    <comment ref="K175" authorId="97" shapeId="0" xr:uid="{1A060DAB-32B3-4173-918A-62F36EBD7F5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S175" authorId="98" shapeId="0" xr:uid="{AE0406D1-E18D-4C7E-A10E-7C0A8C2D68A6}">
      <text>
        <t>[Comentário encadeado]
Sua versão do Excel permite que você leia este comentário encadeado, no entanto, as edições serão removidas se o arquivo for aberto em uma versão mais recente do Excel. Saiba mais: https://go.microsoft.com/fwlink/?linkid=870924
Comentário:
    1 cesta básica</t>
      </text>
    </comment>
    <comment ref="AD178" authorId="99" shapeId="0" xr:uid="{A69804EE-5279-468E-9254-4AEEC487D0CD}">
      <text>
        <t>[Comentário encadeado]
Sua versão do Excel permite que você leia este comentário encadeado, no entanto, as edições serão removidas se o arquivo for aberto em uma versão mais recente do Excel. Saiba mais: https://go.microsoft.com/fwlink/?linkid=870924
Comentário:
    Extra podador.</t>
      </text>
    </comment>
    <comment ref="K180" authorId="100" shapeId="0" xr:uid="{CE9303E5-EAEC-46F4-B07F-44F150189937}">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188" authorId="101" shapeId="0" xr:uid="{7D65F247-F516-4753-B27D-498AAFB35E58}">
      <text>
        <t>[Comentário encadeado]
Sua versão do Excel permite que você leia este comentário encadeado, no entanto, as edições serão removidas se o arquivo for aberto em uma versão mais recente do Excel. Saiba mais: https://go.microsoft.com/fwlink/?linkid=870924
Comentário:
    Reajuste 2024
Responder:
    Reoneração da F. P.</t>
      </text>
    </comment>
    <comment ref="R188" authorId="102" shapeId="0" xr:uid="{D4A210C3-6550-43DD-8E17-D65E008139B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Celulares
</t>
      </text>
    </comment>
    <comment ref="K189" authorId="103" shapeId="0" xr:uid="{168D3812-1C75-41CC-B2BB-4714FE251485}">
      <text>
        <t>[Comentário encadeado]
Sua versão do Excel permite que você leia este comentário encadeado, no entanto, as edições serão removidas se o arquivo for aberto em uma versão mais recente do Excel. Saiba mais: https://go.microsoft.com/fwlink/?linkid=870924
Comentário:
    Reajuste 2024
Responder:
    Reoneração da F. P.</t>
      </text>
    </comment>
    <comment ref="R189" authorId="104" shapeId="0" xr:uid="{CD0FD374-647E-4C5B-A6FF-3738ED56F02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Celulares
</t>
      </text>
    </comment>
    <comment ref="K191" authorId="105" shapeId="0" xr:uid="{CE5F4814-0278-48A7-A01E-36AAA2602EEA}">
      <text>
        <t>[Comentário encadeado]
Sua versão do Excel permite que você leia este comentário encadeado, no entanto, as edições serão removidas se o arquivo for aberto em uma versão mais recente do Excel. Saiba mais: https://go.microsoft.com/fwlink/?linkid=870924
Comentário:
    Reoneração FoPag.</t>
      </text>
    </comment>
    <comment ref="K202" authorId="106" shapeId="0" xr:uid="{6542BF4D-83B5-4AAF-B76E-CBACCAF76232}">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203" authorId="107" shapeId="0" xr:uid="{9A001101-F4F5-48EA-9978-17F39D0385E1}">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204" authorId="108" shapeId="0" xr:uid="{D595DA18-7669-4799-A5E5-B4173BB0DBE4}">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205" authorId="109" shapeId="0" xr:uid="{9F13A140-F09C-4698-9844-88C12CCFF638}">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C206" authorId="110" shapeId="0" xr:uid="{716B5C48-728D-43FC-92B0-06390AEBF9E3}">
      <text>
        <t>[Comentário encadeado]
Sua versão do Excel permite que você leia este comentário encadeado, no entanto, as edições serão removidas se o arquivo for aberto em uma versão mais recente do Excel. Saiba mais: https://go.microsoft.com/fwlink/?linkid=870924
Comentário:
    Aguardando preenchimento do SLA</t>
      </text>
    </comment>
    <comment ref="K206" authorId="111" shapeId="0" xr:uid="{9E8DC63F-DE2E-42B6-A52E-9ED01A44F441}">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207" authorId="112" shapeId="0" xr:uid="{6F122F45-63D4-4F0F-A924-8BBECFD1D607}">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210" authorId="113" shapeId="0" xr:uid="{714C22DB-469E-406E-BC35-CF96D8398C82}">
      <text>
        <t>[Comentário encadeado]
Sua versão do Excel permite que você leia este comentário encadeado, no entanto, as edições serão removidas se o arquivo for aberto em uma versão mais recente do Excel. Saiba mais: https://go.microsoft.com/fwlink/?linkid=870924
Comentário:
    Reoneração FoPag.</t>
      </text>
    </comment>
    <comment ref="K212" authorId="114" shapeId="0" xr:uid="{B3789B43-ED5D-4A52-8355-E81047F2BEB6}">
      <text>
        <t>[Comentário encadeado]
Sua versão do Excel permite que você leia este comentário encadeado, no entanto, as edições serão removidas se o arquivo for aberto em uma versão mais recente do Excel. Saiba mais: https://go.microsoft.com/fwlink/?linkid=870924
Comentário:
    Reoneração FoPag.</t>
      </text>
    </comment>
    <comment ref="K213" authorId="115" shapeId="0" xr:uid="{9182E50E-47EA-4B1D-A80E-24F3BAF4D18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14" authorId="116" shapeId="0" xr:uid="{1D4EA8C4-A670-4814-87BA-B08F8FFB1FA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218" authorId="117" shapeId="0" xr:uid="{EB3D2820-F85E-458A-8ACC-87F949B47BBD}">
      <text>
        <t>[Comentário encadeado]
Sua versão do Excel permite que você leia este comentário encadeado, no entanto, as edições serão removidas se o arquivo for aberto em uma versão mais recente do Excel. Saiba mais: https://go.microsoft.com/fwlink/?linkid=870924
Comentário:
    Bailinho de Carnaval 01 e 02/03.</t>
      </text>
    </comment>
    <comment ref="AD221" authorId="118" shapeId="0" xr:uid="{6DDDB0F9-CB40-4C39-AECE-A8436960F57B}">
      <text>
        <t>[Comentário encadeado]
Sua versão do Excel permite que você leia este comentário encadeado, no entanto, as edições serão removidas se o arquivo for aberto em uma versão mais recente do Excel. Saiba mais: https://go.microsoft.com/fwlink/?linkid=870924
Comentário:
    Bailinho de Carnaval</t>
      </text>
    </comment>
    <comment ref="AC225" authorId="119" shapeId="0" xr:uid="{7B8B72E7-269E-45D9-B5FF-9DA4FDD92CD9}">
      <text>
        <t>[Comentário encadeado]
Sua versão do Excel permite que você leia este comentário encadeado, no entanto, as edições serão removidas se o arquivo for aberto em uma versão mais recente do Excel. Saiba mais: https://go.microsoft.com/fwlink/?linkid=870924
Comentário:
    Arraiá
Responder:
    + GastroSamba</t>
      </text>
    </comment>
    <comment ref="AD225" authorId="120" shapeId="0" xr:uid="{68AFE9A2-22E2-4C55-9B85-70A7EF611BB9}">
      <text>
        <t>[Comentário encadeado]
Sua versão do Excel permite que você leia este comentário encadeado, no entanto, as edições serão removidas se o arquivo for aberto em uma versão mais recente do Excel. Saiba mais: https://go.microsoft.com/fwlink/?linkid=870924
Comentário:
    Arraiá
Responder:
    + GastroSamba</t>
      </text>
    </comment>
    <comment ref="K229" authorId="121" shapeId="0" xr:uid="{8A5D21A8-9A1A-46F4-9AE5-28DAF7110D0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229" authorId="122" shapeId="0" xr:uid="{488D209E-4FFB-4583-8385-8F31FAF0A742}">
      <text>
        <t>[Comentário encadeado]
Sua versão do Excel permite que você leia este comentário encadeado, no entanto, as edições serão removidas se o arquivo for aberto em uma versão mais recente do Excel. Saiba mais: https://go.microsoft.com/fwlink/?linkid=870924
Comentário:
    Jan, fev e mar</t>
      </text>
    </comment>
    <comment ref="K230" authorId="123" shapeId="0" xr:uid="{3D8277BB-4E04-408F-AA16-104A742031F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31" authorId="124" shapeId="0" xr:uid="{D1E48661-FCC1-4ADA-A83A-D79B795234B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32" authorId="125" shapeId="0" xr:uid="{7F50CDB6-87CD-410A-B230-2F14EAEE0C6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34" authorId="126" shapeId="0" xr:uid="{E05819B0-4A53-4BEC-B800-B8038F2B4B1A}">
      <text>
        <t>[Comentário encadeado]
Sua versão do Excel permite que você leia este comentário encadeado, no entanto, as edições serão removidas se o arquivo for aberto em uma versão mais recente do Excel. Saiba mais: https://go.microsoft.com/fwlink/?linkid=870924
Comentário:
    Inclusão de containers</t>
      </text>
    </comment>
    <comment ref="AC234" authorId="127" shapeId="0" xr:uid="{FF699F49-6E0C-4A78-B8BB-A2DA1FF712E4}">
      <text>
        <t>[Comentário encadeado]
Sua versão do Excel permite que você leia este comentário encadeado, no entanto, as edições serão removidas se o arquivo for aberto em uma versão mais recente do Excel. Saiba mais: https://go.microsoft.com/fwlink/?linkid=870924
Comentário:
    02, 03 e 04 de maio.
Responder:
    + Dia das mães</t>
      </text>
    </comment>
    <comment ref="AD234" authorId="128" shapeId="0" xr:uid="{9DDF7CD1-3BEA-44B9-9C06-8C767D12D76F}">
      <text>
        <t>[Comentário encadeado]
Sua versão do Excel permite que você leia este comentário encadeado, no entanto, as edições serão removidas se o arquivo for aberto em uma versão mais recente do Excel. Saiba mais: https://go.microsoft.com/fwlink/?linkid=870924
Comentário:
    02, 03 e 04 de maio.
Responder:
    + Dia das mães</t>
      </text>
    </comment>
    <comment ref="K235" authorId="129" shapeId="0" xr:uid="{4603CD63-3554-47C7-A447-247DFBA1B953}">
      <text>
        <t>[Comentário encadeado]
Sua versão do Excel permite que você leia este comentário encadeado, no entanto, as edições serão removidas se o arquivo for aberto em uma versão mais recente do Excel. Saiba mais: https://go.microsoft.com/fwlink/?linkid=870924
Comentário:
    Inclusão de containers</t>
      </text>
    </comment>
    <comment ref="R235" authorId="130" shapeId="0" xr:uid="{244BBBC6-6674-409C-9381-05A783499B61}">
      <text>
        <t>[Comentário encadeado]
Sua versão do Excel permite que você leia este comentário encadeado, no entanto, as edições serão removidas se o arquivo for aberto em uma versão mais recente do Excel. Saiba mais: https://go.microsoft.com/fwlink/?linkid=870924
Comentário:
    A500 3 dias inoperante</t>
      </text>
    </comment>
    <comment ref="AD235" authorId="131" shapeId="0" xr:uid="{3C861B47-DD14-470E-8A84-C1B72EA8DE28}">
      <text>
        <t>[Comentário encadeado]
Sua versão do Excel permite que você leia este comentário encadeado, no entanto, as edições serão removidas se o arquivo for aberto em uma versão mais recente do Excel. Saiba mais: https://go.microsoft.com/fwlink/?linkid=870924
Comentário:
    Tratamento de piso: mão de obra + barracuda
Responder:
    Festa Junina: R$ 2374,46</t>
      </text>
    </comment>
    <comment ref="K236" authorId="132" shapeId="0" xr:uid="{420825F6-AC75-42DE-BD43-584662F3265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37" authorId="133" shapeId="0" xr:uid="{332EC687-8068-4F94-AD50-4B7835F120BC}">
      <text>
        <t>[Comentário encadeado]
Sua versão do Excel permite que você leia este comentário encadeado, no entanto, as edições serão removidas se o arquivo for aberto em uma versão mais recente do Excel. Saiba mais: https://go.microsoft.com/fwlink/?linkid=870924
Comentário:
    Reajuste 2025
+ Inclusão de containers
+ Carrinhos</t>
      </text>
    </comment>
    <comment ref="S237" authorId="134" shapeId="0" xr:uid="{2CA7EF4A-A7F4-40DF-962D-5F9B771D9A91}">
      <text>
        <t>[Comentário encadeado]
Sua versão do Excel permite que você leia este comentário encadeado, no entanto, as edições serão removidas se o arquivo for aberto em uma versão mais recente do Excel. Saiba mais: https://go.microsoft.com/fwlink/?linkid=870924
Comentário:
    9 cestas básicas</t>
      </text>
    </comment>
    <comment ref="I238" authorId="135" shapeId="0" xr:uid="{D4C3E6BA-CAB8-4596-A022-48F68E3E20B2}">
      <text>
        <t>[Comentário encadeado]
Sua versão do Excel permite que você leia este comentário encadeado, no entanto, as edições serão removidas se o arquivo for aberto em uma versão mais recente do Excel. Saiba mais: https://go.microsoft.com/fwlink/?linkid=870924
Comentário:
    20 Faltas de Julho e 21 Faltas em agosto</t>
      </text>
    </comment>
    <comment ref="K238" authorId="136" shapeId="0" xr:uid="{A8955343-623B-4B71-98FC-ED38025D3CE0}">
      <text>
        <t>[Comentário encadeado]
Sua versão do Excel permite que você leia este comentário encadeado, no entanto, as edições serão removidas se o arquivo for aberto em uma versão mais recente do Excel. Saiba mais: https://go.microsoft.com/fwlink/?linkid=870924
Comentário:
    Reajuste 2025
+ Inclusão de containers
+ Carrinhos
Responder:
    Pro-Rata sem considerar cestas básicas</t>
      </text>
    </comment>
    <comment ref="M238" authorId="137" shapeId="0" xr:uid="{FCE603B2-7D17-4214-8843-F12BBA99BB4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3281,64 de julho + 3617,14 de agosto
</t>
      </text>
    </comment>
    <comment ref="K239" authorId="138" shapeId="0" xr:uid="{4AA80FCD-EF0E-40DE-AAB6-DDADA291972A}">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V239" authorId="139" shapeId="0" xr:uid="{17B55D0B-2B13-426F-8AE5-FDD6116799F1}">
      <text>
        <t>[Comentário encadeado]
Sua versão do Excel permite que você leia este comentário encadeado, no entanto, as edições serão removidas se o arquivo for aberto em uma versão mais recente do Excel. Saiba mais: https://go.microsoft.com/fwlink/?linkid=870924
Comentário:
    Primeira NF foi bonificada</t>
      </text>
    </comment>
    <comment ref="K240" authorId="140" shapeId="0" xr:uid="{75914999-E6DC-4C97-BB5C-CCF0540B21C1}">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T240" authorId="141" shapeId="0" xr:uid="{361222A8-2273-4C76-BE9E-11843923071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Diferença de bonificação
 </t>
      </text>
    </comment>
    <comment ref="AC240" authorId="142" shapeId="0" xr:uid="{CAC857B0-F160-4CAF-8BD9-5775CBCF15B2}">
      <text>
        <t>[Comentário encadeado]
Sua versão do Excel permite que você leia este comentário encadeado, no entanto, as edições serão removidas se o arquivo for aberto em uma versão mais recente do Excel. Saiba mais: https://go.microsoft.com/fwlink/?linkid=870924
Comentário:
    Valor com tx de prorrogação de pgmto:  R$11.689,69</t>
      </text>
    </comment>
    <comment ref="AD240" authorId="143" shapeId="0" xr:uid="{FE3A19F5-9D4C-4B37-8D82-684237D7B4B7}">
      <text>
        <t>[Comentário encadeado]
Sua versão do Excel permite que você leia este comentário encadeado, no entanto, as edições serão removidas se o arquivo for aberto em uma versão mais recente do Excel. Saiba mais: https://go.microsoft.com/fwlink/?linkid=870924
Comentário:
    Valor com tx de prorrogação de pgmto:   R$ 10.755,80.</t>
      </text>
    </comment>
    <comment ref="K241" authorId="144" shapeId="0" xr:uid="{8EA61D64-8856-4838-A2B1-79560A65671B}">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K242" authorId="145" shapeId="0" xr:uid="{159BAA98-0116-4343-81E2-6B5C25FCCD8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43" authorId="146" shapeId="0" xr:uid="{9EFA1A50-4080-461C-A5B6-5FBF0ED8923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45" authorId="147" shapeId="0" xr:uid="{19D7E278-D1D0-444A-AD27-4F8290F733C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46" authorId="148" shapeId="0" xr:uid="{47FF93F0-01BB-43D7-9510-8AC022D2DD7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47" authorId="149" shapeId="0" xr:uid="{FA737732-7F92-45C6-A01F-BBE05CBFD2C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48" authorId="150" shapeId="0" xr:uid="{E65EFA76-AEAD-416A-AC2F-F6A76F9F103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248" authorId="151" shapeId="0" xr:uid="{57957BED-898A-4E44-B594-89237ED55357}">
      <text>
        <t>[Comentário encadeado]
Sua versão do Excel permite que você leia este comentário encadeado, no entanto, as edições serão removidas se o arquivo for aberto em uma versão mais recente do Excel. Saiba mais: https://go.microsoft.com/fwlink/?linkid=870924
Comentário:
    Abril a junho</t>
      </text>
    </comment>
    <comment ref="K249" authorId="152" shapeId="0" xr:uid="{F15CF6A0-CD7D-4224-A3F3-8AEF4228EBB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50" authorId="153" shapeId="0" xr:uid="{02B0E609-3D63-4885-8C10-873801EAE4F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51" authorId="154" shapeId="0" xr:uid="{D1A4169F-A32C-4468-BFEF-41E96FFE780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52" authorId="155" shapeId="0" xr:uid="{D08FE9E8-5B2C-45E4-ACB5-C512A6174F3F}">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V252" authorId="156" shapeId="0" xr:uid="{48EBB66B-3D0B-4BB9-A7E3-9307D89FAE9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Primeira NF bonificada
</t>
      </text>
    </comment>
    <comment ref="K254" authorId="157" shapeId="0" xr:uid="{3FE7FD65-6D23-4C39-A5A9-A8FA12430D4B}">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T254" authorId="158" shapeId="0" xr:uid="{1B252938-DFE4-4B45-B143-C9F94EF770E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Diferença de bonificação </t>
      </text>
    </comment>
    <comment ref="K255" authorId="159" shapeId="0" xr:uid="{E7C0648C-683A-449D-8BB1-D84843B9F1FF}">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K256" authorId="160" shapeId="0" xr:uid="{7BE0142D-0529-4B89-AB97-81A53751E24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57" authorId="161" shapeId="0" xr:uid="{FBA9D4AC-15D2-4B8E-A155-38E2C2D2997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69" authorId="162" shapeId="0" xr:uid="{C3FE9878-D861-4AE9-8944-EF1A238B899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Alteração na escala do pintor.</t>
      </text>
    </comment>
    <comment ref="R269" authorId="163" shapeId="0" xr:uid="{60E16B48-7F11-494D-BB31-91550AB9A34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Celulares
</t>
      </text>
    </comment>
    <comment ref="C270" authorId="164" shapeId="0" xr:uid="{07D13D05-1C3C-4584-A3F9-98C869AB9484}">
      <text>
        <t>[Comentário encadeado]
Sua versão do Excel permite que você leia este comentário encadeado, no entanto, as edições serão removidas se o arquivo for aberto em uma versão mais recente do Excel. Saiba mais: https://go.microsoft.com/fwlink/?linkid=870924
Comentário:
    Shopping enviou a medição mas estamos aguardando confirmações de faltas e atrasos.</t>
      </text>
    </comment>
    <comment ref="K270" authorId="165" shapeId="0" xr:uid="{E75430CF-86C8-4A99-B4D0-8FA89FDC57A8}">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Alteração na escala do pintor.</t>
      </text>
    </comment>
    <comment ref="R270" authorId="166" shapeId="0" xr:uid="{EA21EF15-06FE-4599-BBB6-917B686C5B4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Celulares
</t>
      </text>
    </comment>
    <comment ref="K279" authorId="167" shapeId="0" xr:uid="{6787636D-422E-4E29-952A-D8D20CE591A1}">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t>
      </text>
    </comment>
    <comment ref="K280" authorId="168" shapeId="0" xr:uid="{48E42D67-F31E-4721-8B40-044A96E72A9C}">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t>
      </text>
    </comment>
    <comment ref="K281" authorId="169" shapeId="0" xr:uid="{C3C745C2-C948-4017-93AA-AB52DF8F2A48}">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t>
      </text>
    </comment>
    <comment ref="K282" authorId="170" shapeId="0" xr:uid="{2FD25F57-4342-494D-8862-871352C06ABE}">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K283" authorId="171" shapeId="0" xr:uid="{8F59E296-4FBC-49CC-B21E-8BF484E45BBD}">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K284" authorId="172" shapeId="0" xr:uid="{AB5C152B-CBAE-4418-85C5-C2F0F631F854}">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K285" authorId="173" shapeId="0" xr:uid="{63A8725E-4A6E-4A4E-9818-029643B1453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Valor duplicado para setembro para envio automatizado
</t>
      </text>
    </comment>
    <comment ref="K286" authorId="174" shapeId="0" xr:uid="{97A8F0D9-53A8-4182-8505-E1CED41C5DA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87" authorId="175" shapeId="0" xr:uid="{EB1976BB-BEF2-4DA4-A643-53E44739E7A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B288" authorId="176" shapeId="0" xr:uid="{EBE66F10-416D-43E0-8C73-8CFDC4B8DC9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Medição de março enviada em 15/05. </t>
      </text>
    </comment>
    <comment ref="K288" authorId="177" shapeId="0" xr:uid="{14326B9D-31F9-4745-AEC5-E8D3F00A2E1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89" authorId="178" shapeId="0" xr:uid="{211D84C8-5603-4ACA-A351-9713EDFF10F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90" authorId="179" shapeId="0" xr:uid="{C863AC2B-4EF3-4AF5-A386-677F7EB1076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B291" authorId="180" shapeId="0" xr:uid="{4F6579CA-F997-44E1-A895-D0480D7CE09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Medição de março enviada em 15/05. </t>
      </text>
    </comment>
    <comment ref="K291" authorId="181" shapeId="0" xr:uid="{5E3098B9-6DF3-4E3E-ACFB-9CFABC16516B}">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Q291" authorId="182" shapeId="0" xr:uid="{2BB2B2C3-ADAE-4357-AFEC-948BD3D2F4B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SLA de janeiro e fevereiro </t>
      </text>
    </comment>
    <comment ref="K292" authorId="183" shapeId="0" xr:uid="{D96005D3-A9C6-4D9F-A8C7-D4C7083C77D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93" authorId="184" shapeId="0" xr:uid="{1074D987-37BE-4366-8B0E-1D0E3496B6F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293" authorId="185" shapeId="0" xr:uid="{FE009283-8C51-4400-B4A6-0D5DD293B10D}">
      <text>
        <t>[Comentário encadeado]
Sua versão do Excel permite que você leia este comentário encadeado, no entanto, as edições serão removidas se o arquivo for aberto em uma versão mais recente do Excel. Saiba mais: https://go.microsoft.com/fwlink/?linkid=870924
Comentário:
    1 porteiro de 02 a 15/05.</t>
      </text>
    </comment>
    <comment ref="K294" authorId="186" shapeId="0" xr:uid="{C1271826-3C93-4AA5-B03A-CE1CF09F7E79}">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Aguardando de acordo</t>
      </text>
    </comment>
    <comment ref="K295" authorId="187" shapeId="0" xr:uid="{CFE809A9-6DC7-4B66-B781-A5AE8AAB45B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96" authorId="188" shapeId="0" xr:uid="{2B3296FA-FAEB-4C47-8746-1E847831458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97" authorId="189" shapeId="0" xr:uid="{D2D0715E-4CEE-4C32-B8D5-DA0EEBFFB7C2}">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t>
      </text>
    </comment>
    <comment ref="K298" authorId="190" shapeId="0" xr:uid="{B158EFA9-EE85-4BB8-B4F9-E1C554272225}">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t>
      </text>
    </comment>
    <comment ref="K299" authorId="191" shapeId="0" xr:uid="{3E471C97-6343-4B89-B8AC-38FA7D49A69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00" authorId="192" shapeId="0" xr:uid="{33DC16FE-E92B-4E92-AAEE-9B51DE56FD7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01" authorId="193" shapeId="0" xr:uid="{D52B53F2-6710-4C22-BCE8-6BABB968075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02" authorId="194" shapeId="0" xr:uid="{ABBA8D3E-5956-461C-A7DB-3D9C0DBCAE7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03" authorId="195" shapeId="0" xr:uid="{EE0FE876-3B48-4423-9F6E-110625D9A890}">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Aguardando de acordo</t>
      </text>
    </comment>
    <comment ref="K304" authorId="196" shapeId="0" xr:uid="{7A29399D-762B-4106-98F1-0008B8413BE4}">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Aguardando de acordo</t>
      </text>
    </comment>
    <comment ref="K305" authorId="197" shapeId="0" xr:uid="{FFDD00EC-32E9-4E67-9BF2-63AD73FE1228}">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Aguardando de acordo</t>
      </text>
    </comment>
    <comment ref="K306" authorId="198" shapeId="0" xr:uid="{4AEF2AD4-63B8-4C6B-B668-1C5C2DFCC1DD}">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Aguardando de acordo</t>
      </text>
    </comment>
    <comment ref="K307" authorId="199" shapeId="0" xr:uid="{B98CBCA0-3E05-4EF6-9DA9-8E841DE545E2}">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t>
      </text>
    </comment>
    <comment ref="K308" authorId="200" shapeId="0" xr:uid="{4FF332F0-D84A-4C74-9A30-BC069EF3AAF1}">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t>
      </text>
    </comment>
    <comment ref="K309" authorId="201" shapeId="0" xr:uid="{7A848FCD-E6CC-4AB2-9084-D0C1DC21FE43}">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T309" authorId="202" shapeId="0" xr:uid="{377978E6-62FC-4AC2-A71D-486E7939BD9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Dano ocasionado á um lojista(tapete)
1/2
</t>
      </text>
    </comment>
    <comment ref="K310" authorId="203" shapeId="0" xr:uid="{1AACF935-E0DB-4C56-9FCC-16B4EDF6076C}">
      <text>
        <t>[Comentário encadeado]
Sua versão do Excel permite que você leia este comentário encadeado, no entanto, as edições serão removidas se o arquivo for aberto em uma versão mais recente do Excel. Saiba mais: https://go.microsoft.com/fwlink/?linkid=870924
Comentário:
    Reajuste 2024
Responder:
    Reoneração da F. P.</t>
      </text>
    </comment>
    <comment ref="K311" authorId="204" shapeId="0" xr:uid="{60CEE8AE-1740-466E-ACF1-15A7E0BCEC03}">
      <text>
        <t>[Comentário encadeado]
Sua versão do Excel permite que você leia este comentário encadeado, no entanto, as edições serão removidas se o arquivo for aberto em uma versão mais recente do Excel. Saiba mais: https://go.microsoft.com/fwlink/?linkid=870924
Comentário:
    Reajuste 2024
Responder:
    Reoneração da F. P.</t>
      </text>
    </comment>
    <comment ref="K312" authorId="205" shapeId="0" xr:uid="{4F371407-5581-42AE-93F2-4A745D2D3BE2}">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12 para 8 celulares</t>
      </text>
    </comment>
    <comment ref="K313" authorId="206" shapeId="0" xr:uid="{672C9EAB-C807-4589-8E2C-DE778579F114}">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T313" authorId="207" shapeId="0" xr:uid="{46263AE9-19B6-40DF-8A08-69FC9C5B40A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Dano ocasionado á um lojista(tapete)
2/2
</t>
      </text>
    </comment>
    <comment ref="K314" authorId="208" shapeId="0" xr:uid="{782DB846-1B6D-4C0E-A245-27A457CD5F83}">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
Responder:
    Aguardando de acordo</t>
      </text>
    </comment>
    <comment ref="T314" authorId="209" shapeId="0" xr:uid="{4D22C8A0-9A58-43EF-B829-FB006FD2DDA2}">
      <text>
        <t>[Comentário encadeado]
Sua versão do Excel permite que você leia este comentário encadeado, no entanto, as edições serão removidas se o arquivo for aberto em uma versão mais recente do Excel. Saiba mais: https://go.microsoft.com/fwlink/?linkid=870924
Comentário:
    Diferença referente à tx de prorrogação de pgto: R$ 2.762,08
Responder:
    Confirmar se a NF anterior foi emitida com D+30 ou D+90.</t>
      </text>
    </comment>
    <comment ref="AB314" authorId="210" shapeId="0" xr:uid="{F524F818-306D-4802-A88B-75FADFA78AF1}">
      <text>
        <t>[Comentário encadeado]
Sua versão do Excel permite que você leia este comentário encadeado, no entanto, as edições serão removidas se o arquivo for aberto em uma versão mais recente do Excel. Saiba mais: https://go.microsoft.com/fwlink/?linkid=870924
Comentário:
    Valor para pgmto em 90 dias.</t>
      </text>
    </comment>
    <comment ref="K315" authorId="211" shapeId="0" xr:uid="{57F711A5-DB8B-492F-99F8-20EAF17861BC}">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K316" authorId="212" shapeId="0" xr:uid="{AD20DB1B-4B35-4FCA-B2D4-E7064DE472A3}">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AD316" authorId="213" shapeId="0" xr:uid="{96B97054-2FAE-448A-810F-7549B7546E79}">
      <text>
        <t>[Comentário encadeado]
Sua versão do Excel permite que você leia este comentário encadeado, no entanto, as edições serão removidas se o arquivo for aberto em uma versão mais recente do Excel. Saiba mais: https://go.microsoft.com/fwlink/?linkid=870924
Comentário:
    27 dias HE.</t>
      </text>
    </comment>
    <comment ref="K317" authorId="214" shapeId="0" xr:uid="{2E6BF8EC-B7BB-4BDE-A402-A3C636E109AB}">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AD317" authorId="215" shapeId="0" xr:uid="{E56B9892-9DB6-42AE-A1B9-68AD8240A6E9}">
      <text>
        <t>[Comentário encadeado]
Sua versão do Excel permite que você leia este comentário encadeado, no entanto, as edições serão removidas se o arquivo for aberto em uma versão mais recente do Excel. Saiba mais: https://go.microsoft.com/fwlink/?linkid=870924
Comentário:
    Tratamento de piso 45 dias. 
Inicio em 21/04: R$ 38.872,90.
Responder:
    + Extras do mês.</t>
      </text>
    </comment>
    <comment ref="K318" authorId="216" shapeId="0" xr:uid="{4E88C188-FE9F-4D1B-89CE-BE45ED8B81EA}">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K319" authorId="217" shapeId="0" xr:uid="{20A9171B-0F0E-4EC2-B493-DF313357B24A}">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AD319" authorId="218" shapeId="0" xr:uid="{D89B0488-F8B2-4727-96C2-BC911F8E6705}">
      <text>
        <t>[Comentário encadeado]
Sua versão do Excel permite que você leia este comentário encadeado, no entanto, as edições serão removidas se o arquivo for aberto em uma versão mais recente do Excel. Saiba mais: https://go.microsoft.com/fwlink/?linkid=870924
Comentário:
    Tratamento de piso 45 dias. 
Inicio em 21/04: R$ 38.872,90.
Responder:
    R$ 6.794,61 extras de limpeza no mês de junho</t>
      </text>
    </comment>
    <comment ref="K320" authorId="219" shapeId="0" xr:uid="{F15801BE-8D51-40E2-A219-68B8F9773440}">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K321" authorId="220" shapeId="0" xr:uid="{80509702-38E1-47B0-9047-434DA9D6AE5C}">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K322" authorId="221" shapeId="0" xr:uid="{B9BA317D-B74B-43D9-8390-72EDC50E0C8A}">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12 para 8 celulares</t>
      </text>
    </comment>
    <comment ref="K323" authorId="222" shapeId="0" xr:uid="{A17A42C1-0729-488E-A912-4D7A02CB5FC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12 para 8 celulares</t>
      </text>
    </comment>
    <comment ref="R323" authorId="223" shapeId="0" xr:uid="{92A7FDE4-631B-4B10-999A-354074E1390A}">
      <text>
        <t>[Comentário encadeado]
Sua versão do Excel permite que você leia este comentário encadeado, no entanto, as edições serão removidas se o arquivo for aberto em uma versão mais recente do Excel. Saiba mais: https://go.microsoft.com/fwlink/?linkid=870924
Comentário:
    Desconto fones = 8*R$34</t>
      </text>
    </comment>
    <comment ref="K324" authorId="224" shapeId="0" xr:uid="{12DE642B-3447-4F2A-9943-0F2DE69FFA14}">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12 para 8 celulares</t>
      </text>
    </comment>
    <comment ref="K325" authorId="225" shapeId="0" xr:uid="{CA08F936-E69B-426A-B806-D0242243E013}">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K326" authorId="226" shapeId="0" xr:uid="{D8B5F0E3-934D-46A6-83DA-5FE3D4E1D7BC}">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R326" authorId="227" shapeId="0" xr:uid="{DAEC1A5E-077A-461A-845C-A244AF6DD1F9}">
      <text>
        <t>[Comentário encadeado]
Sua versão do Excel permite que você leia este comentário encadeado, no entanto, as edições serão removidas se o arquivo for aberto em uma versão mais recente do Excel. Saiba mais: https://go.microsoft.com/fwlink/?linkid=870924
Comentário:
    Desconto fones = 2*R$34</t>
      </text>
    </comment>
    <comment ref="K327" authorId="228" shapeId="0" xr:uid="{95573BD8-0A6F-404B-8CCB-9AB193931986}">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K328" authorId="229" shapeId="0" xr:uid="{2EC79F64-8522-4849-9654-1D36C3AFB23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29" authorId="230" shapeId="0" xr:uid="{D94E5C37-55B8-4B93-994C-074BF3236CA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30" authorId="231" shapeId="0" xr:uid="{1AE73D0D-47AA-40B2-BEE3-3D041EB3343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31" authorId="232" shapeId="0" xr:uid="{6AC35AF0-92A5-4120-868B-6F05655E95F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32" authorId="233" shapeId="0" xr:uid="{0EEFE28C-C011-475F-A916-07FEAFCD6B4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33" authorId="234" shapeId="0" xr:uid="{B2FF3FEB-E4ED-4E42-91EC-F5E12760320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51" authorId="235" shapeId="0" xr:uid="{37156F84-CF17-4BA9-990C-D737F81E3EB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52" authorId="236" shapeId="0" xr:uid="{A64DC098-4CA0-4156-98B6-B07D7FBE346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54" authorId="237" shapeId="0" xr:uid="{45DB38F4-8A6C-412B-A796-4143529D1C5F}">
      <text>
        <t>[Comentário encadeado]
Sua versão do Excel permite que você leia este comentário encadeado, no entanto, as edições serão removidas se o arquivo for aberto em uma versão mais recente do Excel. Saiba mais: https://go.microsoft.com/fwlink/?linkid=870924
Comentário:
    Se tornou orgânico em fev.</t>
      </text>
    </comment>
    <comment ref="K355" authorId="238" shapeId="0" xr:uid="{2EBE0631-39CD-4646-8F12-E6240CBBD42B}">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356" authorId="239" shapeId="0" xr:uid="{4505865E-D497-4083-B880-901442830B37}">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357" authorId="240" shapeId="0" xr:uid="{8B8C6126-F7A9-4857-BE79-8618BED1E909}">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358" authorId="241" shapeId="0" xr:uid="{5360AC1B-AB38-4FBF-9C9F-A829EB95ABBD}">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359" authorId="242" shapeId="0" xr:uid="{5A257BE3-A90C-44FD-AA50-C0A1312F3B04}">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363" authorId="243" shapeId="0" xr:uid="{207CD9FF-E287-4D82-B45F-AD482D8F8D80}">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364" authorId="244" shapeId="0" xr:uid="{F15E9517-CC29-420C-8AFD-A7BB945B6DD8}">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AGS Líder em 16/05.
Verificar a dif retroativa a maio.</t>
      </text>
    </comment>
    <comment ref="K366" authorId="245" shapeId="0" xr:uid="{EAEAADF7-32E4-4052-8AA8-179D8CC10896}">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AGS Líder em 16/05.
Verificar a dif retroativa a maio.</t>
      </text>
    </comment>
    <comment ref="K373" authorId="246" shapeId="0" xr:uid="{E4171B57-73FF-4316-92E3-0C8279C238C1}">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374" authorId="247" shapeId="0" xr:uid="{60D8D3A8-397C-426A-A6D1-CB5A64115F9F}">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375" authorId="248" shapeId="0" xr:uid="{4061F93E-B59D-4DB5-945D-E75DFE37A6F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76" authorId="249" shapeId="0" xr:uid="{A9C5BDA6-E0C4-49AA-8BA8-DFC02C841AA9}">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AD377" authorId="250" shapeId="0" xr:uid="{00071D11-4BF1-41B9-9530-E9785D54A62A}">
      <text>
        <t>[Comentário encadeado]
Sua versão do Excel permite que você leia este comentário encadeado, no entanto, as edições serão removidas se o arquivo for aberto em uma versão mais recente do Excel. Saiba mais: https://go.microsoft.com/fwlink/?linkid=870924
Comentário:
    11, 12, 19, 20, 25 e 26/01 - Supervisor de 10h às 22h.</t>
      </text>
    </comment>
    <comment ref="K382" authorId="251" shapeId="0" xr:uid="{41B9F637-197C-4154-B8D7-E2FAC000359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83" authorId="252" shapeId="0" xr:uid="{295C3FD1-DBD2-4C0C-9F89-58D8BE2B490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84" authorId="253" shapeId="0" xr:uid="{C0575DB0-5F30-4688-AB4B-053D0949BA7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Q388" authorId="254" shapeId="0" xr:uid="{B0708EBB-2FFA-4D31-9C0E-799E4D7462ED}">
      <text>
        <t>[Comentário encadeado]
Sua versão do Excel permite que você leia este comentário encadeado, no entanto, as edições serão removidas se o arquivo for aberto em uma versão mais recente do Excel. Saiba mais: https://go.microsoft.com/fwlink/?linkid=870924
Comentário:
    Desconto mês de março.</t>
      </text>
    </comment>
    <comment ref="K389" authorId="255" shapeId="0" xr:uid="{7A51D502-E5E1-47AC-92A4-C2A49019F7C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389" authorId="256" shapeId="0" xr:uid="{2A5161C8-1654-4B80-9E61-B2744A9D9CEC}">
      <text>
        <t>[Comentário encadeado]
Sua versão do Excel permite que você leia este comentário encadeado, no entanto, as edições serão removidas se o arquivo for aberto em uma versão mais recente do Excel. Saiba mais: https://go.microsoft.com/fwlink/?linkid=870924
Comentário:
    Retroativo de março e abril.
Responder:
    Aguardando informação sobre forma de pgmto,</t>
      </text>
    </comment>
    <comment ref="K390" authorId="257" shapeId="0" xr:uid="{E586EB25-0DB8-49D0-B55E-BF96C694FFB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91" authorId="258" shapeId="0" xr:uid="{E1199E18-B38F-4507-88EF-9B9D043B59D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92" authorId="259" shapeId="0" xr:uid="{E4F3FB55-3BD5-4ABF-A737-A0416BD9B72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94" authorId="260" shapeId="0" xr:uid="{D3712C9C-7567-458F-8F4D-9611E6E2A35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2 Aux Manut </t>
      </text>
    </comment>
    <comment ref="K395" authorId="261" shapeId="0" xr:uid="{D3EFDE27-6693-447D-89B7-E4C951DEF05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2 Aux Manut </t>
      </text>
    </comment>
    <comment ref="K396" authorId="262" shapeId="0" xr:uid="{EF6E05C7-53C2-49F2-B783-83B3047017B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2 Aux Manut </t>
      </text>
    </comment>
    <comment ref="K397" authorId="263" shapeId="0" xr:uid="{EC1F51EE-EBC7-459C-B259-ABCE6C2D768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2 Aux Manut </t>
      </text>
    </comment>
    <comment ref="K398" authorId="264" shapeId="0" xr:uid="{F58B7DC3-5CEE-477C-ACE0-47C2AFCD7C7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99" authorId="265" shapeId="0" xr:uid="{61580619-6A33-4939-BC32-FABA87B7474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00" authorId="266" shapeId="0" xr:uid="{B83B66CC-7EFD-4711-8338-E049CB30F2BA}">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408" authorId="267" shapeId="0" xr:uid="{94D4F477-79B9-4C38-B222-F44F27EDD69D}">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409" authorId="268" shapeId="0" xr:uid="{66D07D63-5704-4501-A020-5F05CDE55AE4}">
      <text>
        <t>[Comentário encadeado]
Sua versão do Excel permite que você leia este comentário encadeado, no entanto, as edições serão removidas se o arquivo for aberto em uma versão mais recente do Excel. Saiba mais: https://go.microsoft.com/fwlink/?linkid=870924
Comentário:
    Valor 2025: R$ 542.723,86</t>
      </text>
    </comment>
    <comment ref="K410" authorId="269" shapeId="0" xr:uid="{451136E2-981C-4691-A629-594BB5E4A9F5}">
      <text>
        <t>[Comentário encadeado]
Sua versão do Excel permite que você leia este comentário encadeado, no entanto, as edições serão removidas se o arquivo for aberto em uma versão mais recente do Excel. Saiba mais: https://go.microsoft.com/fwlink/?linkid=870924
Comentário:
    Valor 2025: R$ 542.723,86</t>
      </text>
    </comment>
    <comment ref="K411" authorId="270" shapeId="0" xr:uid="{21F32078-AC0D-4495-B425-52AC05EAE7AD}">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12" authorId="271" shapeId="0" xr:uid="{7BF20B70-5B71-41CF-A4E5-A1D48878BD55}">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13" authorId="272" shapeId="0" xr:uid="{A44C4728-293D-437A-89C8-CB2B9EFBDA12}">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14" authorId="273" shapeId="0" xr:uid="{D3719F5A-6D8F-4835-9F9A-01A7C0246790}">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15" authorId="274" shapeId="0" xr:uid="{C59FA140-3403-4AF7-9387-F1CBAAE5E8A2}">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16" authorId="275" shapeId="0" xr:uid="{75113F33-533E-49BB-B494-6FBDAF962876}">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421" authorId="276" shapeId="0" xr:uid="{ADEE0CD9-D7BA-411B-A19D-7C5FFC591065}">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422" authorId="277" shapeId="0" xr:uid="{D08CF24E-62DC-420A-8874-81D23695FB53}">
      <text>
        <t>[Comentário encadeado]
Sua versão do Excel permite que você leia este comentário encadeado, no entanto, as edições serão removidas se o arquivo for aberto em uma versão mais recente do Excel. Saiba mais: https://go.microsoft.com/fwlink/?linkid=870924
Comentário:
    Banheiristas noturno inicio em 01/05.</t>
      </text>
    </comment>
    <comment ref="K423" authorId="278" shapeId="0" xr:uid="{0B2A706A-FC4B-4AD6-9790-8F2346940802}">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Barracuda em 08/07</t>
      </text>
    </comment>
    <comment ref="K424" authorId="279" shapeId="0" xr:uid="{AFE535E1-8D3F-4735-A84D-382A9C8C16FA}">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Barracuda em 08/07</t>
      </text>
    </comment>
    <comment ref="K425" authorId="280" shapeId="0" xr:uid="{EA8B9A53-57E4-4D16-8056-22F6FCBF364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Inclusão de Barracuda em 08/07
Inclusão de Coletor 01/09
</t>
      </text>
    </comment>
    <comment ref="K426" authorId="281" shapeId="0" xr:uid="{B29488C1-7F3F-4761-92FA-BC19D1EC264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Inclusão de Barracuda em 08/07
Inclusão de Coletor 01/09
</t>
      </text>
    </comment>
    <comment ref="K427" authorId="282" shapeId="0" xr:uid="{749BE45A-67C3-451C-957E-3C099762E6CB}">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28" authorId="283" shapeId="0" xr:uid="{D827476A-8703-45D0-BF6E-83BFB0E8331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29" authorId="284" shapeId="0" xr:uid="{3FC5B964-342F-44FF-85D6-91B3611457A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0" authorId="285" shapeId="0" xr:uid="{21A77D32-FE2B-4BFA-884F-CD79BFD5857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1" authorId="286" shapeId="0" xr:uid="{6227705B-B368-421D-BE7E-FD9F7504811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2" authorId="287" shapeId="0" xr:uid="{EBE542E3-95E0-419E-B013-19410214E26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3" authorId="288" shapeId="0" xr:uid="{EB5F54D7-ACF8-4B59-903A-7F470FE8019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4" authorId="289" shapeId="0" xr:uid="{F7F762B7-422A-4238-B023-2D4F84B4F0A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5" authorId="290" shapeId="0" xr:uid="{ED0E5375-EDF7-45FA-BF9C-5D8DCC4A3A5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6" authorId="291" shapeId="0" xr:uid="{D36B7F89-0BE4-48A7-9564-18E1B3CA058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AGS Líder em 16/05.
Verificar a dif retroativa a maio.</t>
      </text>
    </comment>
    <comment ref="K439" authorId="292" shapeId="0" xr:uid="{AF760235-FE93-45BF-B414-2EA4C09CAB3D}">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440" authorId="293" shapeId="0" xr:uid="{7F73F250-A344-438E-9CEF-6B46EE822B19}">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441" authorId="294" shapeId="0" xr:uid="{D8EFCCBF-E1F9-44D7-8719-650157419052}">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442" authorId="295" shapeId="0" xr:uid="{68FCA3A9-DB1D-4DD3-8991-ED24B7F82F00}">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43" authorId="296" shapeId="0" xr:uid="{74230D2C-5B76-4BBB-9D45-81D29EFAFC70}">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44" authorId="297" shapeId="0" xr:uid="{6C5E5290-B5A9-43C6-B069-C2ED8E16C365}">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Q467" authorId="298" shapeId="0" xr:uid="{8643DD6F-1F4F-4E56-BDEA-C584B5A5CD66}">
      <text>
        <t>[Comentário encadeado]
Sua versão do Excel permite que você leia este comentário encadeado, no entanto, as edições serão removidas se o arquivo for aberto em uma versão mais recente do Excel. Saiba mais: https://go.microsoft.com/fwlink/?linkid=870924
Comentário:
    Desconto fev</t>
      </text>
    </comment>
    <comment ref="K472" authorId="299" shapeId="0" xr:uid="{0653DDB4-C676-4274-A202-0F38B0EC028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3" authorId="300" shapeId="0" xr:uid="{537E5793-9AF1-44B2-A342-54D443ED089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4" authorId="301" shapeId="0" xr:uid="{DF2087DD-9ED5-45D8-9540-B86D1467375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5" authorId="302" shapeId="0" xr:uid="{3BB3F964-F2ED-4422-B1D6-96442AFF071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6" authorId="303" shapeId="0" xr:uid="{845B67CB-F4DB-4BB7-86EA-F5D0EC175A3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7" authorId="304" shapeId="0" xr:uid="{4088B1D0-CA07-416D-A3DC-27E35D86557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8" authorId="305" shapeId="0" xr:uid="{10C56F63-0123-4D24-839A-E98C6A36A99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9" authorId="306" shapeId="0" xr:uid="{9D9F6362-41EC-4F41-B475-66363C69CE5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80" authorId="307" shapeId="0" xr:uid="{E6D45726-92A0-4EB4-AD8B-AD37E26060F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86" authorId="308" shapeId="0" xr:uid="{5BDF11DE-F085-4E91-8BB2-E21A7B407AC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87" authorId="309" shapeId="0" xr:uid="{69403072-E9F3-447C-AA6F-6DFFD96048F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88" authorId="310" shapeId="0" xr:uid="{B28F7D43-9EFB-4DDE-91CF-683754F9DF7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94" authorId="311" shapeId="0" xr:uid="{7B4001CD-8579-4E87-A23A-36F00C349DC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95" authorId="312" shapeId="0" xr:uid="{4F402B07-35F4-4AE9-A542-1D080A1F238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96" authorId="313" shapeId="0" xr:uid="{F1A93EC5-722E-44D1-BAAD-EA33A9AEAB4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98" authorId="314" shapeId="0" xr:uid="{F17C248F-81FD-4592-9BAF-DE7DB187335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Q498" authorId="315" shapeId="0" xr:uid="{E86C7667-8B2E-4C49-897B-427684685714}">
      <text>
        <t>[Comentário encadeado]
Sua versão do Excel permite que você leia este comentário encadeado, no entanto, as edições serão removidas se o arquivo for aberto em uma versão mais recente do Excel. Saiba mais: https://go.microsoft.com/fwlink/?linkid=870924
Comentário:
    Desconto de junho</t>
      </text>
    </comment>
    <comment ref="K502" authorId="316" shapeId="0" xr:uid="{2454952C-945E-4CB7-8BA8-46FEF247DDC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03" authorId="317" shapeId="0" xr:uid="{FB97F1AC-2626-4487-A6CC-B6CE512426E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04" authorId="318" shapeId="0" xr:uid="{0635045D-B8A7-4E37-A400-38FBB31D492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05" authorId="319" shapeId="0" xr:uid="{4F57E618-CE37-4A48-B75D-0EE5ECAE1F9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06" authorId="320" shapeId="0" xr:uid="{80566A13-DB78-4007-AAC9-AF6943F858E3}">
      <text>
        <t>[Comentário encadeado]
Sua versão do Excel permite que você leia este comentário encadeado, no entanto, as edições serão removidas se o arquivo for aberto em uma versão mais recente do Excel. Saiba mais: https://go.microsoft.com/fwlink/?linkid=870924
Comentário:
    Sem planejador/almoxarife</t>
      </text>
    </comment>
    <comment ref="K507" authorId="321" shapeId="0" xr:uid="{E6262076-9910-4832-96CE-1BD945D8DF7C}">
      <text>
        <t>[Comentário encadeado]
Sua versão do Excel permite que você leia este comentário encadeado, no entanto, as edições serão removidas se o arquivo for aberto em uma versão mais recente do Excel. Saiba mais: https://go.microsoft.com/fwlink/?linkid=870924
Comentário:
    Sem planejador/almoxarife</t>
      </text>
    </comment>
    <comment ref="K508" authorId="322" shapeId="0" xr:uid="{A2AA45E2-3CD0-43EA-B7C1-0F884CF1E88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10" authorId="323" shapeId="0" xr:uid="{5DE590A2-69E6-46E2-AE66-F32808A4A9E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T511" authorId="324" shapeId="0" xr:uid="{4301A13E-AA8F-40F6-9B56-500A3D687FB7}">
      <text>
        <t>[Comentário encadeado]
Sua versão do Excel permite que você leia este comentário encadeado, no entanto, as edições serão removidas se o arquivo for aberto em uma versão mais recente do Excel. Saiba mais: https://go.microsoft.com/fwlink/?linkid=870924
Comentário:
    Diferença referente às NFs de jan e fev com reoneração indevida.</t>
      </text>
    </comment>
    <comment ref="K514" authorId="325" shapeId="0" xr:uid="{F1AECEAB-2710-4F30-A797-25C94BC4529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15" authorId="326" shapeId="0" xr:uid="{185CE4A1-CEFE-4CA7-8288-DC999C50268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16" authorId="327" shapeId="0" xr:uid="{8B070A78-AE47-4D25-B77A-3F204E97288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0" authorId="328" shapeId="0" xr:uid="{6265460B-1C9F-4285-A0C0-4460F0D928C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P520" authorId="329" shapeId="0" xr:uid="{B0AFB1FE-FB1C-462A-940F-4CBD54F661D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1" authorId="330" shapeId="0" xr:uid="{B26497C6-E7B3-4795-940D-9445485611C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2" authorId="331" shapeId="0" xr:uid="{9F3BA6B1-70E2-408B-8B7B-268803AD879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3" authorId="332" shapeId="0" xr:uid="{29FAA485-F820-44DA-BF34-1C7140BCDD2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4" authorId="333" shapeId="0" xr:uid="{D257A8DE-F73C-4E08-96C9-C525E9CA6C5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5" authorId="334" shapeId="0" xr:uid="{C2A7D104-F18C-4644-A511-41A428A4140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44" authorId="335" shapeId="0" xr:uid="{C9DB8B36-92C7-4B3B-88BE-3654F370B9EB}">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45" authorId="336" shapeId="0" xr:uid="{43A32047-EF70-4080-952E-007141994816}">
      <text>
        <t>[Comentário encadeado]
Sua versão do Excel permite que você leia este comentário encadeado, no entanto, as edições serão removidas se o arquivo for aberto em uma versão mais recente do Excel. Saiba mais: https://go.microsoft.com/fwlink/?linkid=870924
Comentário:
    Redução de HC para 14.</t>
      </text>
    </comment>
    <comment ref="K553" authorId="337" shapeId="0" xr:uid="{07B041D8-AF31-44D9-8B47-CBA085C327E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553" authorId="338" shapeId="0" xr:uid="{99AABF26-C69B-444F-B81D-AF8D6B37F58A}">
      <text>
        <t>[Comentário encadeado]
Sua versão do Excel permite que você leia este comentário encadeado, no entanto, as edições serão removidas se o arquivo for aberto em uma versão mais recente do Excel. Saiba mais: https://go.microsoft.com/fwlink/?linkid=870924
Comentário:
    Aguardando confirmação da forma de pagamento</t>
      </text>
    </comment>
    <comment ref="O557" authorId="339" shapeId="0" xr:uid="{3C57EB4D-AB9D-4EEC-A51F-065729ECC4F7}">
      <text>
        <t>[Comentário encadeado]
Sua versão do Excel permite que você leia este comentário encadeado, no entanto, as edições serão removidas se o arquivo for aberto em uma versão mais recente do Excel. Saiba mais: https://go.microsoft.com/fwlink/?linkid=870924
Comentário:
    Faltas referente ao mês de fevereiro.</t>
      </text>
    </comment>
    <comment ref="K560" authorId="340" shapeId="0" xr:uid="{651CDF06-6828-4FF7-B1E2-24BDF6C85BA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61" authorId="341" shapeId="0" xr:uid="{1B5F6731-39E0-4714-9AFF-25D5E781023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Serval CCT24. Início em 07/04.
</t>
      </text>
    </comment>
    <comment ref="K569" authorId="342" shapeId="0" xr:uid="{304D7F23-5150-4848-A767-B5302F78F9F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0" authorId="343" shapeId="0" xr:uid="{0F560FFE-970E-4C28-97FB-F304BA91E93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1" authorId="344" shapeId="0" xr:uid="{BD8B1CDD-6B62-4C0B-810B-010A8EC8A71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2" authorId="345" shapeId="0" xr:uid="{87FFFAC4-CF59-45FA-B3E1-CE4A165E1D9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3" authorId="346" shapeId="0" xr:uid="{8F05F646-4E73-4340-AE2F-4DE2D256D28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4" authorId="347" shapeId="0" xr:uid="{9F591515-CA28-4F2F-87C5-3BCE8AAA8A9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5" authorId="348" shapeId="0" xr:uid="{9362E503-CE8F-4168-991F-0E69A8CFBAE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6" authorId="349" shapeId="0" xr:uid="{CADF48ED-9578-4124-9B07-61ABCB3E8C34}">
      <text>
        <t>[Comentário encadeado]
Sua versão do Excel permite que você leia este comentário encadeado, no entanto, as edições serão removidas se o arquivo for aberto em uma versão mais recente do Excel. Saiba mais: https://go.microsoft.com/fwlink/?linkid=870924
Comentário:
    Redução de HC para 14.</t>
      </text>
    </comment>
    <comment ref="K577" authorId="350" shapeId="0" xr:uid="{2DB52EE7-0862-4BA9-B895-2355D8927444}">
      <text>
        <t>[Comentário encadeado]
Sua versão do Excel permite que você leia este comentário encadeado, no entanto, as edições serão removidas se o arquivo for aberto em uma versão mais recente do Excel. Saiba mais: https://go.microsoft.com/fwlink/?linkid=870924
Comentário:
    Redução de HC para 14.</t>
      </text>
    </comment>
    <comment ref="K578" authorId="351" shapeId="0" xr:uid="{8E3A4EE8-B2B2-473E-A3FE-1C23137DE345}">
      <text>
        <t>[Comentário encadeado]
Sua versão do Excel permite que você leia este comentário encadeado, no entanto, as edições serão removidas se o arquivo for aberto em uma versão mais recente do Excel. Saiba mais: https://go.microsoft.com/fwlink/?linkid=870924
Comentário:
    Nova SC negociada no BID.
Início em 01/07.
Responder:
    Valor reajuste 2025</t>
      </text>
    </comment>
    <comment ref="K579" authorId="352" shapeId="0" xr:uid="{3E1477E7-C636-4E8D-85F7-205A4BA7CA7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80" authorId="353" shapeId="0" xr:uid="{D8B4AFA5-2078-4544-8C77-62CD9C4B4B4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87" authorId="354" shapeId="0" xr:uid="{4A51EC80-1733-4066-A9E0-76D8CF5E0356}">
      <text>
        <t>[Comentário encadeado]
Sua versão do Excel permite que você leia este comentário encadeado, no entanto, as edições serão removidas se o arquivo for aberto em uma versão mais recente do Excel. Saiba mais: https://go.microsoft.com/fwlink/?linkid=870924
Comentário:
    Renoneração FoPag.</t>
      </text>
    </comment>
    <comment ref="K588" authorId="355" shapeId="0" xr:uid="{11FFF353-F2B6-4187-B6B1-C2C52DEDCE98}">
      <text>
        <t>[Comentário encadeado]
Sua versão do Excel permite que você leia este comentário encadeado, no entanto, as edições serão removidas se o arquivo for aberto em uma versão mais recente do Excel. Saiba mais: https://go.microsoft.com/fwlink/?linkid=870924
Comentário:
    Renoneração FoPag.</t>
      </text>
    </comment>
    <comment ref="T588" authorId="356" shapeId="0" xr:uid="{335A88C6-827A-4563-A5EC-3FF1DCCF06B5}">
      <text>
        <t>[Comentário encadeado]
Sua versão do Excel permite que você leia este comentário encadeado, no entanto, as edições serão removidas se o arquivo for aberto em uma versão mais recente do Excel. Saiba mais: https://go.microsoft.com/fwlink/?linkid=870924
Comentário:
    Descontos de falta e SLA do mês anterior.
GPS emitiu NF sem descontos.
Responder:
    Shopping pediu para desconsiderar</t>
      </text>
    </comment>
    <comment ref="K589" authorId="357" shapeId="0" xr:uid="{B69208F8-24A5-462A-8566-6D00A63D300D}">
      <text>
        <t>[Comentário encadeado]
Sua versão do Excel permite que você leia este comentário encadeado, no entanto, as edições serão removidas se o arquivo for aberto em uma versão mais recente do Excel. Saiba mais: https://go.microsoft.com/fwlink/?linkid=870924
Comentário:
    Renoneração FoPag.</t>
      </text>
    </comment>
    <comment ref="K590" authorId="358" shapeId="0" xr:uid="{CE6400E3-9B63-4E17-AD76-CFDA6168A573}">
      <text>
        <t>[Comentário encadeado]
Sua versão do Excel permite que você leia este comentário encadeado, no entanto, as edições serão removidas se o arquivo for aberto em uma versão mais recente do Excel. Saiba mais: https://go.microsoft.com/fwlink/?linkid=870924
Comentário:
    Renoneração FoPag.</t>
      </text>
    </comment>
    <comment ref="K591" authorId="359" shapeId="0" xr:uid="{E6094861-FF59-4F69-840F-993D30BB5393}">
      <text>
        <t>[Comentário encadeado]
Sua versão do Excel permite que você leia este comentário encadeado, no entanto, as edições serão removidas se o arquivo for aberto em uma versão mais recente do Excel. Saiba mais: https://go.microsoft.com/fwlink/?linkid=870924
Comentário:
    Implantação parcial.
Responder:
    Pró rata considerando valor 2025.</t>
      </text>
    </comment>
    <comment ref="K592" authorId="360" shapeId="0" xr:uid="{7C492A0D-D551-467D-B0DE-E4A6EB921EE6}">
      <text>
        <t>[Comentário encadeado]
Sua versão do Excel permite que você leia este comentário encadeado, no entanto, as edições serão removidas se o arquivo for aberto em uma versão mais recente do Excel. Saiba mais: https://go.microsoft.com/fwlink/?linkid=870924
Comentário:
    De 07/05 a 31/05</t>
      </text>
    </comment>
    <comment ref="P592" authorId="361" shapeId="0" xr:uid="{C5BC60E5-BACC-4C5D-B60D-EB710AB28BE3}">
      <text>
        <t>[Comentário encadeado]
Sua versão do Excel permite que você leia este comentário encadeado, no entanto, as edições serão removidas se o arquivo for aberto em uma versão mais recente do Excel. Saiba mais: https://go.microsoft.com/fwlink/?linkid=870924
Comentário:
    Recreio decidiu não descontar o SLA.</t>
      </text>
    </comment>
    <comment ref="T593" authorId="362" shapeId="0" xr:uid="{DD49990E-0B17-4B13-B44D-788970F9DE61}">
      <text>
        <t>[Comentário encadeado]
Sua versão do Excel permite que você leia este comentário encadeado, no entanto, as edições serão removidas se o arquivo for aberto em uma versão mais recente do Excel. Saiba mais: https://go.microsoft.com/fwlink/?linkid=870924
Comentário:
    Desconto operadores de prensa.</t>
      </text>
    </comment>
    <comment ref="K595" authorId="363" shapeId="0" xr:uid="{D885CA94-EFEA-4E59-9159-7ED122E29B46}">
      <text>
        <t>[Comentário encadeado]
Sua versão do Excel permite que você leia este comentário encadeado, no entanto, as edições serão removidas se o arquivo for aberto em uma versão mais recente do Excel. Saiba mais: https://go.microsoft.com/fwlink/?linkid=870924
Comentário:
    Mudança na escala dos coletores</t>
      </text>
    </comment>
    <comment ref="T595" authorId="364" shapeId="0" xr:uid="{FFFF5AA8-A511-453C-943F-1285061F425F}">
      <text>
        <t>[Comentário encadeado]
Sua versão do Excel permite que você leia este comentário encadeado, no entanto, as edições serão removidas se o arquivo for aberto em uma versão mais recente do Excel. Saiba mais: https://go.microsoft.com/fwlink/?linkid=870924
Comentário:
    Referente à diferença da implantação do novo horário dos coletores. Início em 01/06. 
Valor faturado em julho (referente à junho) não considerou esse ajuste.</t>
      </text>
    </comment>
    <comment ref="K596" authorId="365" shapeId="0" xr:uid="{3F3CC720-AA40-4BBD-8CA8-6900FFB275E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98" authorId="366" shapeId="0" xr:uid="{393CC7F0-A351-49EA-BF6B-26550C2B05B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99" authorId="367" shapeId="0" xr:uid="{96E01624-93C1-4033-8F6A-5235D6582D0B}">
      <text>
        <t>[Comentário encadeado]
Sua versão do Excel permite que você leia este comentário encadeado, no entanto, as edições serão removidas se o arquivo for aberto em uma versão mais recente do Excel. Saiba mais: https://go.microsoft.com/fwlink/?linkid=870924
Comentário:
    Serval CCT24. Início em 07/04.</t>
      </text>
    </comment>
    <comment ref="P600" authorId="368" shapeId="0" xr:uid="{7C8C932F-E8B7-4CE1-A22B-19E3E130106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Recreio decidiu não descontar o SLA.
</t>
      </text>
    </comment>
    <comment ref="K601" authorId="369" shapeId="0" xr:uid="{EB0D1AB4-C846-4C64-86D8-EA042EA577F4}">
      <text>
        <t>[Comentário encadeado]
Sua versão do Excel permite que você leia este comentário encadeado, no entanto, as edições serão removidas se o arquivo for aberto em uma versão mais recente do Excel. Saiba mais: https://go.microsoft.com/fwlink/?linkid=870924
Comentário:
    Mudança na escala dos coletores</t>
      </text>
    </comment>
    <comment ref="K602" authorId="370" shapeId="0" xr:uid="{B7C727AE-6C5E-4F7E-A2D0-2F86FD1EF2D3}">
      <text>
        <t>[Comentário encadeado]
Sua versão do Excel permite que você leia este comentário encadeado, no entanto, as edições serão removidas se o arquivo for aberto em uma versão mais recente do Excel. Saiba mais: https://go.microsoft.com/fwlink/?linkid=870924
Comentário:
    Mudança na escala dos coletores</t>
      </text>
    </comment>
    <comment ref="K603" authorId="371" shapeId="0" xr:uid="{ED204829-9326-487F-805E-7AA42A50538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t>
      </text>
    </comment>
    <comment ref="K607" authorId="372" shapeId="0" xr:uid="{14E19697-5EEA-4B52-86D0-5F6BF2927972}">
      <text>
        <t>[Comentário encadeado]
Sua versão do Excel permite que você leia este comentário encadeado, no entanto, as edições serão removidas se o arquivo for aberto em uma versão mais recente do Excel. Saiba mais: https://go.microsoft.com/fwlink/?linkid=870924
Comentário:
    Nova SC negociada no BID.
Início em 01/07.
Responder:
    Valor reajuste 2025</t>
      </text>
    </comment>
    <comment ref="K608" authorId="373" shapeId="0" xr:uid="{AAA6F321-0A89-4522-8B6A-41495629F210}">
      <text>
        <t>[Comentário encadeado]
Sua versão do Excel permite que você leia este comentário encadeado, no entanto, as edições serão removidas se o arquivo for aberto em uma versão mais recente do Excel. Saiba mais: https://go.microsoft.com/fwlink/?linkid=870924
Comentário:
    Nova SC negociada no BID.
Início em 01/07.
Responder:
    Valor reajuste 2025</t>
      </text>
    </comment>
    <comment ref="K609" authorId="374" shapeId="0" xr:uid="{A06009D1-077A-4F2B-9FAA-01988B99911C}">
      <text>
        <t>[Comentário encadeado]
Sua versão do Excel permite que você leia este comentário encadeado, no entanto, as edições serão removidas se o arquivo for aberto em uma versão mais recente do Excel. Saiba mais: https://go.microsoft.com/fwlink/?linkid=870924
Comentário:
    Nova SC negociada no BID.
Início em 01/07.
Responder:
    Valor reajuste 2025</t>
      </text>
    </comment>
    <comment ref="K613" authorId="375" shapeId="0" xr:uid="{1D4608BA-134E-4C99-B63C-EFE731AC33C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4" authorId="376" shapeId="0" xr:uid="{717ED829-3DFB-4B45-BF1A-9F1A2774C47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5" authorId="377" shapeId="0" xr:uid="{6A746A26-602D-4B4E-9E90-1ACCA9D6C6A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6" authorId="378" shapeId="0" xr:uid="{F417EA40-2190-4A84-A62A-60120EFE510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7" authorId="379" shapeId="0" xr:uid="{714478B8-4785-46D1-8D70-A8E01665090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8" authorId="380" shapeId="0" xr:uid="{642C6EDF-10C2-4128-98D2-A632D72B9FA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48" authorId="381" shapeId="0" xr:uid="{82EE1A24-713B-40E4-97AC-DD27FB4FFD8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55" authorId="382" shapeId="0" xr:uid="{E8F65DC4-C920-49CA-B7BC-E915A53BA1A6}">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 ASG noturno.</t>
      </text>
    </comment>
    <comment ref="K661" authorId="383" shapeId="0" xr:uid="{19683000-AC62-4FAA-B5D7-D4F55370072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62" authorId="384" shapeId="0" xr:uid="{C2717AA8-6661-481E-931F-F2532E611CD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63" authorId="385" shapeId="0" xr:uid="{1A8EE49A-6968-453A-B558-959447AB936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64" authorId="386" shapeId="0" xr:uid="{853CA7FE-2389-47B7-8DDD-A4FE8A803DB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65" authorId="387" shapeId="0" xr:uid="{691590EF-FFCA-4154-B5F6-CB7C822146F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66" authorId="388" shapeId="0" xr:uid="{7E1D0777-6805-4CF8-9759-B3F7201C75A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74" authorId="389" shapeId="0" xr:uid="{BBA95F93-13A5-46E6-BE22-9519D9E434E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 ASG noturno.</t>
      </text>
    </comment>
    <comment ref="K675" authorId="390" shapeId="0" xr:uid="{BA426E3E-4788-4C36-9D88-44D4D22B3644}">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 ASG noturno.</t>
      </text>
    </comment>
    <comment ref="K676" authorId="391" shapeId="0" xr:uid="{81A33483-A3BA-4FC4-AEAC-605356022B50}">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 ASG noturno.</t>
      </text>
    </comment>
    <comment ref="K689" authorId="392" shapeId="0" xr:uid="{8A4D34B1-09E7-466F-BBDC-1CEC81076CB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91" authorId="393" shapeId="0" xr:uid="{FB712270-0380-4CEB-AB4E-3AD9FD8F9DE5}">
      <text>
        <t>[Comentário encadeado]
Sua versão do Excel permite que você leia este comentário encadeado, no entanto, as edições serão removidas se o arquivo for aberto em uma versão mais recente do Excel. Saiba mais: https://go.microsoft.com/fwlink/?linkid=870924
Comentário:
    Ajuste salário mínimo.</t>
      </text>
    </comment>
    <comment ref="K692" authorId="394" shapeId="0" xr:uid="{CD9B31F5-DA0A-432B-BF3F-22B06527D166}">
      <text>
        <t>[Comentário encadeado]
Sua versão do Excel permite que você leia este comentário encadeado, no entanto, as edições serão removidas se o arquivo for aberto em uma versão mais recente do Excel. Saiba mais: https://go.microsoft.com/fwlink/?linkid=870924
Comentário:
    Implantação Verzani 01/02</t>
      </text>
    </comment>
    <comment ref="K693" authorId="395" shapeId="0" xr:uid="{C143CEAB-6ABD-46B1-9E26-BEA36ECA6403}">
      <text>
        <t>[Comentário encadeado]
Sua versão do Excel permite que você leia este comentário encadeado, no entanto, as edições serão removidas se o arquivo for aberto em uma versão mais recente do Excel. Saiba mais: https://go.microsoft.com/fwlink/?linkid=870924
Comentário:
    Implantação Verzani 01/02</t>
      </text>
    </comment>
    <comment ref="K694" authorId="396" shapeId="0" xr:uid="{A533299C-5A12-4AF3-A60E-40A8CF6BD420}">
      <text>
        <t>[Comentário encadeado]
Sua versão do Excel permite que você leia este comentário encadeado, no entanto, as edições serão removidas se o arquivo for aberto em uma versão mais recente do Excel. Saiba mais: https://go.microsoft.com/fwlink/?linkid=870924
Comentário:
    Implantação Verzani 01/02</t>
      </text>
    </comment>
    <comment ref="K695" authorId="397" shapeId="0" xr:uid="{2A6080B3-36AE-4787-8AC9-9C73E1E7CC3A}">
      <text>
        <t>[Comentário encadeado]
Sua versão do Excel permite que você leia este comentário encadeado, no entanto, as edições serão removidas se o arquivo for aberto em uma versão mais recente do Excel. Saiba mais: https://go.microsoft.com/fwlink/?linkid=870924
Comentário:
    Implantação Verzani 01/02</t>
      </text>
    </comment>
    <comment ref="AD695" authorId="398" shapeId="0" xr:uid="{52068B94-1B61-477E-9F25-86087A21CA7A}">
      <text>
        <t>[Comentário encadeado]
Sua versão do Excel permite que você leia este comentário encadeado, no entanto, as edições serão removidas se o arquivo for aberto em uma versão mais recente do Excel. Saiba mais: https://go.microsoft.com/fwlink/?linkid=870924
Comentário:
    Extra dias: 06, 14, 18, 20, 21, 27 e 28/6.
Responder:
    Extra dias: 04, 05, 11 e 26/7</t>
      </text>
    </comment>
    <comment ref="K696" authorId="399" shapeId="0" xr:uid="{1CBF4644-4FB2-4692-B8BC-4A7A7DF727D1}">
      <text>
        <t>[Comentário encadeado]
Sua versão do Excel permite que você leia este comentário encadeado, no entanto, as edições serão removidas se o arquivo for aberto em uma versão mais recente do Excel. Saiba mais: https://go.microsoft.com/fwlink/?linkid=870924
Comentário:
    Implantação Verzani 01/02</t>
      </text>
    </comment>
    <comment ref="K697" authorId="400" shapeId="0" xr:uid="{AA8D33AE-2FA1-4189-BF60-E2C6DBC0AAB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98" authorId="401" shapeId="0" xr:uid="{37F215D7-522A-4D4A-B715-774C881232AD}">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
Responder:
    Reajuste 2025</t>
      </text>
    </comment>
    <comment ref="K699" authorId="402" shapeId="0" xr:uid="{8225FBFC-1DC0-4644-B73D-2CE04EDCEA3D}">
      <text>
        <t>[Comentário encadeado]
Sua versão do Excel permite que você leia este comentário encadeado, no entanto, as edições serão removidas se o arquivo for aberto em uma versão mais recente do Excel. Saiba mais: https://go.microsoft.com/fwlink/?linkid=870924
Comentário:
    Planilha Simulação + celulares
Responder:
    Ajuste salário Rodrigo</t>
      </text>
    </comment>
    <comment ref="K700" authorId="403" shapeId="0" xr:uid="{D4B84B04-6D9F-4837-9266-408A42BEDC23}">
      <text>
        <t>[Comentário encadeado]
Sua versão do Excel permite que você leia este comentário encadeado, no entanto, as edições serão removidas se o arquivo for aberto em uma versão mais recente do Excel. Saiba mais: https://go.microsoft.com/fwlink/?linkid=870924
Comentário:
    Planilha Simulação + celulares
Responder:
    Ajuste salário Rodrigo</t>
      </text>
    </comment>
    <comment ref="K701" authorId="404" shapeId="0" xr:uid="{6556C5FD-E244-4052-B125-EC4E1ED09901}">
      <text>
        <t>[Comentário encadeado]
Sua versão do Excel permite que você leia este comentário encadeado, no entanto, as edições serão removidas se o arquivo for aberto em uma versão mais recente do Excel. Saiba mais: https://go.microsoft.com/fwlink/?linkid=870924
Comentário:
    Planilha Simulação + celulares
Responder:
    Ajuste salário Rodrigo</t>
      </text>
    </comment>
    <comment ref="K702" authorId="405" shapeId="0" xr:uid="{593C01AF-4DFB-4757-8458-B0A5483D475B}">
      <text>
        <t>[Comentário encadeado]
Sua versão do Excel permite que você leia este comentário encadeado, no entanto, as edições serão removidas se o arquivo for aberto em uma versão mais recente do Excel. Saiba mais: https://go.microsoft.com/fwlink/?linkid=870924
Comentário:
    Planilha Simulação + celulares
Responder:
    Ajuste salário Rodrigo</t>
      </text>
    </comment>
    <comment ref="K703" authorId="406" shapeId="0" xr:uid="{F37F08ED-824F-451A-A326-B9C767024FD7}">
      <text>
        <t>[Comentário encadeado]
Sua versão do Excel permite que você leia este comentário encadeado, no entanto, as edições serão removidas se o arquivo for aberto em uma versão mais recente do Excel. Saiba mais: https://go.microsoft.com/fwlink/?linkid=870924
Comentário:
    Planilha Simulação + celulares
Responder:
    Ajuste salário Rodrigo
Responder:
    Reajuste 2025</t>
      </text>
    </comment>
    <comment ref="K704" authorId="407" shapeId="0" xr:uid="{BAA99CD1-EA52-4F3D-B0D8-E08E281361A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12" authorId="408" shapeId="0" xr:uid="{D11BA802-4257-40F9-9DC4-A98EF796CD3F}">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
Responder:
    Reajuste 2025</t>
      </text>
    </comment>
    <comment ref="K714" authorId="409" shapeId="0" xr:uid="{D076A569-B3FB-46A9-A258-6E2DA5D9F007}">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t>
      </text>
    </comment>
    <comment ref="K715" authorId="410" shapeId="0" xr:uid="{DDB7D8A4-F9AC-4379-8C93-CF918B8BEFA1}">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t>
      </text>
    </comment>
    <comment ref="K716" authorId="411" shapeId="0" xr:uid="{2AC97FE1-120C-4E3A-9966-E969CEEFF550}">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t>
      </text>
    </comment>
    <comment ref="K717" authorId="412" shapeId="0" xr:uid="{B7AB1611-500C-4302-B2F5-8A144F6D7996}">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t>
      </text>
    </comment>
    <comment ref="K718" authorId="413" shapeId="0" xr:uid="{05B17B4F-6837-4D94-954E-26E43BA9B08B}">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
Responder:
    Reajuste 2025</t>
      </text>
    </comment>
    <comment ref="AC718" authorId="414" shapeId="0" xr:uid="{804304AE-304D-4B47-832C-D556A5F2F224}">
      <text>
        <t>[Comentário encadeado]
Sua versão do Excel permite que você leia este comentário encadeado, no entanto, as edições serão removidas se o arquivo for aberto em uma versão mais recente do Excel. Saiba mais: https://go.microsoft.com/fwlink/?linkid=870924
Comentário:
    Referente a março, abril e maio.</t>
      </text>
    </comment>
    <comment ref="K719" authorId="415" shapeId="0" xr:uid="{6545108A-54A1-4904-934F-F3E6D50E5630}">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720" authorId="416" shapeId="0" xr:uid="{FBA59D83-BF00-4630-B796-4ECAE6EBDDA9}">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
Responder:
    Reajuste 2025</t>
      </text>
    </comment>
    <comment ref="K722" authorId="417" shapeId="0" xr:uid="{B48AAC2D-FED1-4248-BF88-6F982AA60BB3}">
      <text>
        <t>[Comentário encadeado]
Sua versão do Excel permite que você leia este comentário encadeado, no entanto, as edições serão removidas se o arquivo for aberto em uma versão mais recente do Excel. Saiba mais: https://go.microsoft.com/fwlink/?linkid=870924
Comentário:
    Alteração no horário do condutor</t>
      </text>
    </comment>
    <comment ref="AD722" authorId="418" shapeId="0" xr:uid="{9B7164B1-A3F8-4642-8ED7-94479CD7213E}">
      <text>
        <t>[Comentário encadeado]
Sua versão do Excel permite que você leia este comentário encadeado, no entanto, as edições serão removidas se o arquivo for aberto em uma versão mais recente do Excel. Saiba mais: https://go.microsoft.com/fwlink/?linkid=870924
Comentário:
    15 e 16/02.</t>
      </text>
    </comment>
    <comment ref="K723" authorId="419" shapeId="0" xr:uid="{781BEC19-3D9F-46DB-86FD-1773020DCA23}">
      <text>
        <t>[Comentário encadeado]
Sua versão do Excel permite que você leia este comentário encadeado, no entanto, as edições serão removidas se o arquivo for aberto em uma versão mais recente do Excel. Saiba mais: https://go.microsoft.com/fwlink/?linkid=870924
Comentário:
    Alteração no horário do condutor</t>
      </text>
    </comment>
    <comment ref="AC723" authorId="420" shapeId="0" xr:uid="{1C5503CC-4CC4-416A-BBA6-E46C15B40C98}">
      <text>
        <t>[Comentário encadeado]
Sua versão do Excel permite que você leia este comentário encadeado, no entanto, as edições serão removidas se o arquivo for aberto em uma versão mais recente do Excel. Saiba mais: https://go.microsoft.com/fwlink/?linkid=870924
Comentário:
    Bailinho de carnaval.</t>
      </text>
    </comment>
    <comment ref="AD723" authorId="421" shapeId="0" xr:uid="{BF3FE5CE-3B34-421B-B95D-6F84C3F5C433}">
      <text>
        <t>[Comentário encadeado]
Sua versão do Excel permite que você leia este comentário encadeado, no entanto, as edições serão removidas se o arquivo for aberto em uma versão mais recente do Excel. Saiba mais: https://go.microsoft.com/fwlink/?linkid=870924
Comentário:
    Bailinho de carnaval.</t>
      </text>
    </comment>
    <comment ref="K725" authorId="422" shapeId="0" xr:uid="{B2FFEC61-FD75-46CA-98ED-FA20EAF7AC11}">
      <text>
        <t>[Comentário encadeado]
Sua versão do Excel permite que você leia este comentário encadeado, no entanto, as edições serão removidas se o arquivo for aberto em uma versão mais recente do Excel. Saiba mais: https://go.microsoft.com/fwlink/?linkid=870924
Comentário:
    P30 Supervisores. Início em 01/02.</t>
      </text>
    </comment>
    <comment ref="K726" authorId="423" shapeId="0" xr:uid="{EBF63758-49D9-4C23-9C3F-1BCF96910644}">
      <text>
        <t>[Comentário encadeado]
Sua versão do Excel permite que você leia este comentário encadeado, no entanto, as edições serão removidas se o arquivo for aberto em uma versão mais recente do Excel. Saiba mais: https://go.microsoft.com/fwlink/?linkid=870924
Comentário:
    P30 Supervisores. Início em 01/02.</t>
      </text>
    </comment>
    <comment ref="K727" authorId="424" shapeId="0" xr:uid="{7E52676C-7BE8-4EEF-9F98-A1D862C3C275}">
      <text>
        <t>[Comentário encadeado]
Sua versão do Excel permite que você leia este comentário encadeado, no entanto, as edições serão removidas se o arquivo for aberto em uma versão mais recente do Excel. Saiba mais: https://go.microsoft.com/fwlink/?linkid=870924
Comentário:
    P30 Supervisores. Início em 01/02.</t>
      </text>
    </comment>
    <comment ref="K728" authorId="425" shapeId="0" xr:uid="{610D1354-DC7B-420E-825C-5E46174A3063}">
      <text>
        <t>[Comentário encadeado]
Sua versão do Excel permite que você leia este comentário encadeado, no entanto, as edições serão removidas se o arquivo for aberto em uma versão mais recente do Excel. Saiba mais: https://go.microsoft.com/fwlink/?linkid=870924
Comentário:
    P30 Supervisores. Início em 01/02.</t>
      </text>
    </comment>
    <comment ref="K729" authorId="426" shapeId="0" xr:uid="{55972AD2-B294-4B53-8CD2-A0C892C1AD5E}">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AC729" authorId="427" shapeId="0" xr:uid="{F1233251-0FBE-408B-AD3F-970E390C0325}">
      <text>
        <t>[Comentário encadeado]
Sua versão do Excel permite que você leia este comentário encadeado, no entanto, as edições serão removidas se o arquivo for aberto em uma versão mais recente do Excel. Saiba mais: https://go.microsoft.com/fwlink/?linkid=870924
Comentário:
    Jan a Abr</t>
      </text>
    </comment>
    <comment ref="AD729" authorId="428" shapeId="0" xr:uid="{16FA56D5-7084-4283-B647-AA51E42D3310}">
      <text>
        <t>[Comentário encadeado]
Sua versão do Excel permite que você leia este comentário encadeado, no entanto, as edições serão removidas se o arquivo for aberto em uma versão mais recente do Excel. Saiba mais: https://go.microsoft.com/fwlink/?linkid=870924
Comentário:
    Aguardando infos sobre forma de pgmto.
Responder:
    Faturamento em 01/05</t>
      </text>
    </comment>
    <comment ref="K730" authorId="429" shapeId="0" xr:uid="{1CCA8F37-23AA-407A-8161-33711689755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AD730" authorId="430" shapeId="0" xr:uid="{65D63112-B46F-4B50-833C-097602B0F19E}">
      <text>
        <t>[Comentário encadeado]
Sua versão do Excel permite que você leia este comentário encadeado, no entanto, as edições serão removidas se o arquivo for aberto em uma versão mais recente do Excel. Saiba mais: https://go.microsoft.com/fwlink/?linkid=870924
Comentário:
    Dia das mães.
Responder:
    Extra dias: 06, 14, 18, 20, 21, 27 e 28/6.
Responder:
    Extra dias: 04, 05, 11 e 26/6</t>
      </text>
    </comment>
    <comment ref="K731" authorId="431" shapeId="0" xr:uid="{083885FD-A024-4490-B115-847389D66A24}">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AC731" authorId="432" shapeId="0" xr:uid="{18606141-9DF2-426A-9451-217E027D3F12}">
      <text>
        <t>[Comentário encadeado]
Sua versão do Excel permite que você leia este comentário encadeado, no entanto, as edições serão removidas se o arquivo for aberto em uma versão mais recente do Excel. Saiba mais: https://go.microsoft.com/fwlink/?linkid=870924
Comentário:
    05 e 06 de julho</t>
      </text>
    </comment>
    <comment ref="AD731" authorId="433" shapeId="0" xr:uid="{4D6549D6-D9DC-4116-9AB4-8279FFA95ABD}">
      <text>
        <t>[Comentário encadeado]
Sua versão do Excel permite que você leia este comentário encadeado, no entanto, as edições serão removidas se o arquivo for aberto em uma versão mais recente do Excel. Saiba mais: https://go.microsoft.com/fwlink/?linkid=870924
Comentário:
    05 e 06 de julho</t>
      </text>
    </comment>
    <comment ref="K732" authorId="434" shapeId="0" xr:uid="{C5FF1E4C-4C65-4810-AB62-A094B07D2CF1}">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Programador</t>
      </text>
    </comment>
    <comment ref="K733" authorId="435" shapeId="0" xr:uid="{00DFE497-833E-4426-87F2-5E07F81946E7}">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
Responder:
    Reajuste 2025</t>
      </text>
    </comment>
    <comment ref="K734" authorId="436" shapeId="0" xr:uid="{D7C0C96E-3952-43F8-BBB9-4D954C90ADF3}">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K735" authorId="437" shapeId="0" xr:uid="{F59A3D55-79C3-421B-BA6D-401427D5C415}">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K736" authorId="438" shapeId="0" xr:uid="{93044ECF-8B1D-4CC5-866C-E0D625C62780}">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K737" authorId="439" shapeId="0" xr:uid="{F5A7C150-4640-4551-882D-E653BAF8DB73}">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K738" authorId="440" shapeId="0" xr:uid="{C4CE9EDB-D3E2-4786-A3E6-B7CD0D574C1E}">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AD738" authorId="441" shapeId="0" xr:uid="{425A79D5-1229-4EB5-AFC7-BC94CD600CDE}">
      <text>
        <t>[Comentário encadeado]
Sua versão do Excel permite que você leia este comentário encadeado, no entanto, as edições serão removidas se o arquivo for aberto em uma versão mais recente do Excel. Saiba mais: https://go.microsoft.com/fwlink/?linkid=870924
Comentário:
    Extra dias: 06, 14, 18, 20, 21, 27 e 28/6.</t>
      </text>
    </comment>
    <comment ref="K739" authorId="442" shapeId="0" xr:uid="{608EEE7A-85AE-4CDA-9D8D-98B6942B08EE}">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AD739" authorId="443" shapeId="0" xr:uid="{4341C287-0848-4F0D-844D-46D16CBB2C7F}">
      <text>
        <t>[Comentário encadeado]
Sua versão do Excel permite que você leia este comentário encadeado, no entanto, as edições serão removidas se o arquivo for aberto em uma versão mais recente do Excel. Saiba mais: https://go.microsoft.com/fwlink/?linkid=870924
Comentário:
    Dia dos namorados</t>
      </text>
    </comment>
    <comment ref="K740" authorId="444" shapeId="0" xr:uid="{326D5905-66C3-4A23-8D57-6EE3B751BDAD}">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Programador</t>
      </text>
    </comment>
    <comment ref="K741" authorId="445" shapeId="0" xr:uid="{A0A11B6E-4754-44BC-AF85-39C4E8CB512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t>
      </text>
    </comment>
    <comment ref="AC741" authorId="446" shapeId="0" xr:uid="{0B3A23A1-1B1C-4BBD-A28E-E4640FA0BEE8}">
      <text>
        <t>[Comentário encadeado]
Sua versão do Excel permite que você leia este comentário encadeado, no entanto, as edições serão removidas se o arquivo for aberto em uma versão mais recente do Excel. Saiba mais: https://go.microsoft.com/fwlink/?linkid=870924
Comentário:
    Referente a abril, maio e junho</t>
      </text>
    </comment>
    <comment ref="AD742" authorId="447" shapeId="0" xr:uid="{C7BD5175-9FF3-4494-AA38-AEC54B2CB9AB}">
      <text>
        <t>[Comentário encadeado]
Sua versão do Excel permite que você leia este comentário encadeado, no entanto, as edições serão removidas se o arquivo for aberto em uma versão mais recente do Excel. Saiba mais: https://go.microsoft.com/fwlink/?linkid=870924
Comentário:
    Festa Junina</t>
      </text>
    </comment>
    <comment ref="AD744" authorId="448" shapeId="0" xr:uid="{8C237B6A-5A84-4F90-B0B7-A4A53FFA9492}">
      <text>
        <t>[Comentário encadeado]
Sua versão do Excel permite que você leia este comentário encadeado, no entanto, as edições serão removidas se o arquivo for aberto em uma versão mais recente do Excel. Saiba mais: https://go.microsoft.com/fwlink/?linkid=870924
Comentário:
    Extra Carnaval dias: 01 á 04/03</t>
      </text>
    </comment>
    <comment ref="K745" authorId="449" shapeId="0" xr:uid="{2995C01E-3989-4A82-8EC0-94804375BC80}">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47" authorId="450" shapeId="0" xr:uid="{CAAA0C1A-9E6E-4E63-AFDA-164DB9E2F3F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749" authorId="451" shapeId="0" xr:uid="{D8971182-3A43-437F-9319-B7892D56D972}">
      <text>
        <t>[Comentário encadeado]
Sua versão do Excel permite que você leia este comentário encadeado, no entanto, as edições serão removidas se o arquivo for aberto em uma versão mais recente do Excel. Saiba mais: https://go.microsoft.com/fwlink/?linkid=870924
Comentário:
    18, 21 e 23 de abril</t>
      </text>
    </comment>
    <comment ref="AD751" authorId="452" shapeId="0" xr:uid="{A0F91DDC-C699-47B8-A1C6-F4720BC07C2E}">
      <text>
        <t>[Comentário encadeado]
Sua versão do Excel permite que você leia este comentário encadeado, no entanto, as edições serão removidas se o arquivo for aberto em uma versão mais recente do Excel. Saiba mais: https://go.microsoft.com/fwlink/?linkid=870924
Comentário:
    Dia dos namorados</t>
      </text>
    </comment>
    <comment ref="K757" authorId="453" shapeId="0" xr:uid="{B277E68C-13B1-4E4A-99B0-A37478E2360C}">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Programador</t>
      </text>
    </comment>
    <comment ref="K758" authorId="454" shapeId="0" xr:uid="{AB8F2F7E-8BC2-406C-BDE2-518D021CFE3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Programador</t>
      </text>
    </comment>
    <comment ref="K759" authorId="455" shapeId="0" xr:uid="{B8B5FCE5-8E16-485F-AC1F-416C94594BE0}">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Programador</t>
      </text>
    </comment>
    <comment ref="K760" authorId="456" shapeId="0" xr:uid="{BC056B5C-3412-47B0-8DDD-7BAEA46AB75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1" authorId="457" shapeId="0" xr:uid="{74ED8D92-E67B-4D56-B9F6-A988D58EB43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2" authorId="458" shapeId="0" xr:uid="{2975AB63-95C1-480F-AB4C-BBCCFE698C4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3" authorId="459" shapeId="0" xr:uid="{BC20406B-FE2C-43D2-8153-F216C80F2BD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4" authorId="460" shapeId="0" xr:uid="{4C5FF15F-211B-497E-8FDE-81528B6E37A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5" authorId="461" shapeId="0" xr:uid="{7B7BE963-F0D6-4D24-B0A1-15A7E516602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6" authorId="462" shapeId="0" xr:uid="{28DE24FA-F5A8-41DD-9FBB-A250321DBD4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t>
      </text>
    </comment>
    <comment ref="K767" authorId="463" shapeId="0" xr:uid="{3F8D9910-5D2D-4D89-89CC-7FA9413BA22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t>
      </text>
    </comment>
    <comment ref="K768" authorId="464" shapeId="0" xr:uid="{74F48475-A52D-4926-AFE1-BD28742BC12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t>
      </text>
    </comment>
    <comment ref="K772" authorId="465" shapeId="0" xr:uid="{A45FE303-23D0-4687-94F4-8C481B3F29D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773" authorId="466" shapeId="0" xr:uid="{1BEEB9A5-A555-4F3B-9543-51B86F909DDB}">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774" authorId="467" shapeId="0" xr:uid="{091E17DE-5FF5-4674-925C-4F6BAE8DD910}">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793" authorId="468" shapeId="0" xr:uid="{FD09DA73-A1CF-4CDE-8CCD-2B8AE55CD653}">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94" authorId="469" shapeId="0" xr:uid="{C7C04BC1-2640-4121-ACA6-16D66EC3BEFF}">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95" authorId="470" shapeId="0" xr:uid="{084EFD57-2543-4BF5-8F03-3A6F852D7D56}">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96" authorId="471" shapeId="0" xr:uid="{15DA1A53-ED0D-4033-8EA3-D73326A3538D}">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97" authorId="472" shapeId="0" xr:uid="{2C21E4D9-166E-41D0-807E-DA67CB9E0B27}">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98" authorId="473" shapeId="0" xr:uid="{BCAC99CE-750E-4AA4-8B8F-9E7710039DDE}">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800" authorId="474" shapeId="0" xr:uid="{630B31E4-A8BB-44F5-A5FD-F7132A64F702}">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C805" authorId="475" shapeId="0" xr:uid="{1CC62B28-E1DC-4D01-A0C4-BB4B4D88C4D3}">
      <text>
        <t>[Comentário encadeado]
Sua versão do Excel permite que você leia este comentário encadeado, no entanto, as edições serão removidas se o arquivo for aberto em uma versão mais recente do Excel. Saiba mais: https://go.microsoft.com/fwlink/?linkid=870924
Comentário:
    Enviou somente a NF em 04/06.</t>
      </text>
    </comment>
    <comment ref="K807" authorId="476" shapeId="0" xr:uid="{23DBFBB4-03E1-4BA8-9C3E-1AF793E135AE}">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08" authorId="477" shapeId="0" xr:uid="{B90F327F-F5BE-4903-9C32-1606C122B87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809" authorId="478" shapeId="0" xr:uid="{633B0275-4C3F-4B08-9D7E-C82A921A39B8}">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K810" authorId="479" shapeId="0" xr:uid="{02114F7B-5ACF-4E94-A4EF-CB77D6ECF452}">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11" authorId="480" shapeId="0" xr:uid="{FFCE4DDF-21FC-4584-B296-7707A7736990}">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12" authorId="481" shapeId="0" xr:uid="{39D26DEF-C4D1-48EF-96D7-D41F634EC73F}">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13" authorId="482" shapeId="0" xr:uid="{F5127CCE-0C60-4240-A010-0AD4F853DB4C}">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14" authorId="483" shapeId="0" xr:uid="{CF849DF1-C8AF-469D-A277-00414BE2F940}">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15" authorId="484" shapeId="0" xr:uid="{B670772F-03BF-4AAF-B986-B7B49224D2B8}">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
Responder:
    Ajuste de horários</t>
      </text>
    </comment>
    <comment ref="K816" authorId="485" shapeId="0" xr:uid="{9828EBE1-4A23-4028-875B-12C383A2057E}">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t>
      </text>
    </comment>
    <comment ref="K817" authorId="486" shapeId="0" xr:uid="{269B3C9B-81EF-4C76-88AA-6CEE41503ACF}">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t>
      </text>
    </comment>
    <comment ref="K818" authorId="487" shapeId="0" xr:uid="{C06FA38C-3794-4F86-BC3B-C9A9A5774234}">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t>
      </text>
    </comment>
    <comment ref="K819" authorId="488" shapeId="0" xr:uid="{91100127-7B5B-4C0C-BC6C-CA40174DE0A9}">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t>
      </text>
    </comment>
    <comment ref="K820" authorId="489" shapeId="0" xr:uid="{9CDA4BE1-12E3-4788-9E79-17FA9E627F5C}">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t>
      </text>
    </comment>
    <comment ref="K821" authorId="490" shapeId="0" xr:uid="{44DA6EF1-397C-4522-A042-F8C1FA5D5C73}">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
Responder:
    Ajuste de horários</t>
      </text>
    </comment>
    <comment ref="K822" authorId="491" shapeId="0" xr:uid="{32AF6801-1EB7-405E-A7D1-C50E591CE3B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23" authorId="492" shapeId="0" xr:uid="{B0DAAF17-73DE-46DC-8F4F-4A25D9D18D63}">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825" authorId="493" shapeId="0" xr:uid="{13DCB24F-EE8A-4E7C-A191-94460523314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26" authorId="494" shapeId="0" xr:uid="{09FF4997-5C6A-48EA-94F3-E6CA34BAF6C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27" authorId="495" shapeId="0" xr:uid="{F1897CDD-4A4E-477A-A0FB-12F0ED85CE4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28" authorId="496" shapeId="0" xr:uid="{9DBD6CB0-2D4F-4BDB-A0FF-F83D4933B3A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29" authorId="497" shapeId="0" xr:uid="{BE299464-0FAD-4533-B56D-38C85FC0399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30" authorId="498" shapeId="0" xr:uid="{EF1B89B5-11AC-4C32-8103-EF438418347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33" authorId="499" shapeId="0" xr:uid="{199E5C25-89F0-4CEE-B048-B0EF0F3238F3}">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em 01/02/2025.</t>
      </text>
    </comment>
    <comment ref="K834" authorId="500" shapeId="0" xr:uid="{97DF1F04-41FE-4372-B429-490E8399322E}">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em 01/02/2025.</t>
      </text>
    </comment>
    <comment ref="K835" authorId="501" shapeId="0" xr:uid="{2D91F650-2694-46A3-B170-A87032DF8DCF}">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em 01/02/2025.</t>
      </text>
    </comment>
    <comment ref="K836" authorId="502" shapeId="0" xr:uid="{2E18E56E-DC7A-4AD7-A3FD-7D50DCB810C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38" authorId="503" shapeId="0" xr:uid="{309575CA-C5CE-46DA-A66D-3F0F7F4A878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838" authorId="504" shapeId="0" xr:uid="{53A3C705-99A4-40C7-954F-091244DC0D3C}">
      <text>
        <t>[Comentário encadeado]
Sua versão do Excel permite que você leia este comentário encadeado, no entanto, as edições serão removidas se o arquivo for aberto em uma versão mais recente do Excel. Saiba mais: https://go.microsoft.com/fwlink/?linkid=870924
Comentário:
    Referente a março e abril</t>
      </text>
    </comment>
    <comment ref="K839" authorId="505" shapeId="0" xr:uid="{8756C4B1-EEC5-452D-8F88-21D804DFC4A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46" authorId="506" shapeId="0" xr:uid="{8EDCB041-41CF-44E3-A242-1C6AA903234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47" authorId="507" shapeId="0" xr:uid="{01773C38-3B27-4249-984B-9BAEA04CABD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48" authorId="508" shapeId="0" xr:uid="{8904920D-D7A4-4416-9CD6-A853A43724C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49" authorId="509" shapeId="0" xr:uid="{B26CA363-4A41-4AD6-928B-7C31C5311F4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50" authorId="510" shapeId="0" xr:uid="{466F803F-03F5-4522-AD62-5A82FCC6EF5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1 posto 12x36 no estacionamento.</t>
      </text>
    </comment>
    <comment ref="K856" authorId="511" shapeId="0" xr:uid="{2FD3A027-9B0A-4F2B-B588-CE3ED3941C2B}">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1 posto 12x36 no estacionamento.</t>
      </text>
    </comment>
    <comment ref="K857" authorId="512" shapeId="0" xr:uid="{E81E99ED-A25F-47CF-ADA5-8344046760C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58" authorId="513" shapeId="0" xr:uid="{3C8BC8F0-F76F-4BC5-9B76-6641CF6E5FA5}">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859" authorId="514" shapeId="0" xr:uid="{550A6E81-67FA-4DA9-A2CA-8130DB76FEB7}">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860" authorId="515" shapeId="0" xr:uid="{2AEE21F2-626C-4063-A5E4-0653DA95AA78}">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no estacionamento.
Responder:
    Pró rata da inclusão de posto a partir de 21/04.</t>
      </text>
    </comment>
    <comment ref="K861" authorId="516" shapeId="0" xr:uid="{91BFCE1C-9B8D-43B9-A645-C895775FE49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62" authorId="517" shapeId="0" xr:uid="{1389FED7-7F19-4256-816F-AA5B85D2D1F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63" authorId="518" shapeId="0" xr:uid="{183D687E-086D-4462-99E2-C8FA488DCFD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64" authorId="519" shapeId="0" xr:uid="{992D0A42-211F-49B6-AD66-D425A13DA632}">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866" authorId="520" shapeId="0" xr:uid="{DCF1C9C1-3D9D-4221-BF98-1A74BF6EA0CF}">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em 01/02/2025.</t>
      </text>
    </comment>
    <comment ref="K867" authorId="521" shapeId="0" xr:uid="{BA757D1C-1592-4417-B87F-7D7F810C80D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 I40 para os banheiristas.
Responder:
    + Inclusão de 1 posto banheirista 12x36.
</t>
      </text>
    </comment>
    <comment ref="K868" authorId="522" shapeId="0" xr:uid="{E1CFE260-B20A-4CDA-A3AF-CDB854EE3B9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 I40 para os banheiristas.
Responder:
    + Inclusão de 1 posto banheirista 12x36.
</t>
      </text>
    </comment>
    <comment ref="K869" authorId="523" shapeId="0" xr:uid="{4651FC77-6085-441A-A4B1-7FF50A64426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 I40 para os banheiristas.
Responder:
    + Inclusão de 1 posto banheirista 12x36.
</t>
      </text>
    </comment>
    <comment ref="K870" authorId="524" shapeId="0" xr:uid="{2E037471-6847-4EE0-8D89-F12A85C47A1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870" authorId="525" shapeId="0" xr:uid="{29A98399-F007-4BD3-94FE-678A54323383}">
      <text>
        <t>[Comentário encadeado]
Sua versão do Excel permite que você leia este comentário encadeado, no entanto, as edições serão removidas se o arquivo for aberto em uma versão mais recente do Excel. Saiba mais: https://go.microsoft.com/fwlink/?linkid=870924
Comentário:
    Referente a março e abril
Responder:
    Enviado no e-mail: "Faturamento Limpeza e Jardinagem - Maio 25"</t>
      </text>
    </comment>
    <comment ref="K871" authorId="526" shapeId="0" xr:uid="{A3006886-99AA-4E8D-B741-9D4C8739B3F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72" authorId="527" shapeId="0" xr:uid="{A5332C1E-9378-4CFA-8845-94EBB9FE2DD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R872" authorId="528" shapeId="0" xr:uid="{6F24F2C0-6228-4A1E-B90F-61AA91E96242}">
      <text>
        <t>[Comentário encadeado]
Sua versão do Excel permite que você leia este comentário encadeado, no entanto, as edições serão removidas se o arquivo for aberto em uma versão mais recente do Excel. Saiba mais: https://go.microsoft.com/fwlink/?linkid=870924
Comentário:
    Brava e Eureka</t>
      </text>
    </comment>
    <comment ref="K875" authorId="529" shapeId="0" xr:uid="{8F33A07F-F0F4-4069-8EF2-C82A4DDE8D8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76" authorId="530" shapeId="0" xr:uid="{D4780FA2-18D5-43BA-8B66-013B78C0623A}">
      <text>
        <t>[Comentário encadeado]
Sua versão do Excel permite que você leia este comentário encadeado, no entanto, as edições serão removidas se o arquivo for aberto em uma versão mais recente do Excel. Saiba mais: https://go.microsoft.com/fwlink/?linkid=870924
Comentário:
    Inclusão 1 posto 12x36 na praça de alimentação.
Responder:
    Início em 01/09</t>
      </text>
    </comment>
    <comment ref="K877" authorId="531" shapeId="0" xr:uid="{6E50EA0F-A217-416C-A4D4-4D22510D6CD1}">
      <text>
        <t>[Comentário encadeado]
Sua versão do Excel permite que você leia este comentário encadeado, no entanto, as edições serão removidas se o arquivo for aberto em uma versão mais recente do Excel. Saiba mais: https://go.microsoft.com/fwlink/?linkid=870924
Comentário:
    Inclusão 1 posto 12x36 na praça de alimentação.
Responder:
    Início em 01/09</t>
      </text>
    </comment>
    <comment ref="K878" authorId="532" shapeId="0" xr:uid="{48B5E112-5492-4CCB-8FC4-10AF307F86F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79" authorId="533" shapeId="0" xr:uid="{8A27A1E3-FF94-4BE8-B8CB-49B85EF8812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1" authorId="534" shapeId="0" xr:uid="{A038A422-90A3-4A2D-88B8-568D355A64C8}">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82" authorId="535" shapeId="0" xr:uid="{F8133017-03F1-4CBB-8C85-71037DB07298}">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83" authorId="536" shapeId="0" xr:uid="{F33A455A-957F-469E-B2F6-0BC12E986660}">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84" authorId="537" shapeId="0" xr:uid="{B86AC527-63C7-42D7-BC3B-2BBC2A10B2E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5" authorId="538" shapeId="0" xr:uid="{42B3AEB1-F1B7-4C80-BB78-D1239C35DC6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6" authorId="539" shapeId="0" xr:uid="{C499F6B3-E4ED-4A99-A22A-88F89CAAAFF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8" authorId="540" shapeId="0" xr:uid="{E97538B3-83F5-418E-8885-2B012543FBD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9" authorId="541" shapeId="0" xr:uid="{85A30496-F75B-4786-917A-368FE65C649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90" authorId="542" shapeId="0" xr:uid="{E6F4D7ED-8C80-41BF-93E1-201D0B628D33}">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1 posto 12x36 no estacionamento.</t>
      </text>
    </comment>
    <comment ref="K891" authorId="543" shapeId="0" xr:uid="{2DD7DCF0-A18C-4855-ADD5-30B5009BF56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1 posto 12x36 no estacionamento.</t>
      </text>
    </comment>
    <comment ref="K892" authorId="544" shapeId="0" xr:uid="{6D1090FF-8A8D-45C1-B1FC-F5C8DEF4317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1 posto 12x36 no estacionamento.</t>
      </text>
    </comment>
    <comment ref="K897" authorId="545" shapeId="0" xr:uid="{BD129DCF-6F77-41FB-93D7-640A8B5D243E}">
      <text>
        <t>[Comentário encadeado]
Sua versão do Excel permite que você leia este comentário encadeado, no entanto, as edições serão removidas se o arquivo for aberto em uma versão mais recente do Excel. Saiba mais: https://go.microsoft.com/fwlink/?linkid=870924
Comentário:
    Renegociação de contrato</t>
      </text>
    </comment>
    <comment ref="K913" authorId="546" shapeId="0" xr:uid="{C5CAF699-CD4C-474D-8142-4ED0C99314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2023 com reoneração
</t>
      </text>
    </comment>
    <comment ref="K914" authorId="547" shapeId="0" xr:uid="{E9B9AB45-E782-4597-B1B0-C3B970C9354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2023 com reoneração
</t>
      </text>
    </comment>
    <comment ref="K915" authorId="548" shapeId="0" xr:uid="{544BAE84-B694-4959-A9C1-389665681246}">
      <text>
        <t>[Comentário encadeado]
Sua versão do Excel permite que você leia este comentário encadeado, no entanto, as edições serão removidas se o arquivo for aberto em uma versão mais recente do Excel. Saiba mais: https://go.microsoft.com/fwlink/?linkid=870924
Comentário:
    Adequação Novo Organograma.</t>
      </text>
    </comment>
    <comment ref="K916" authorId="549" shapeId="0" xr:uid="{A6344B3E-9F3A-487C-825A-78BF50F9E10C}">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K917" authorId="550" shapeId="0" xr:uid="{FDC6BAEC-DC5F-4A4E-98C9-6EA2CF2924C8}">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K918" authorId="551" shapeId="0" xr:uid="{006BF937-4DA6-4D11-9153-27F5DEF6A145}">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AC918" authorId="552" shapeId="0" xr:uid="{4B3DB17B-FC50-4A22-9661-555D28C7BD4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HE abril e maio
</t>
      </text>
    </comment>
    <comment ref="AD918" authorId="553" shapeId="0" xr:uid="{DAC326AE-A6D3-4672-A4CB-ED82CDB7FC4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HE abril e maio
</t>
      </text>
    </comment>
    <comment ref="K919" authorId="554" shapeId="0" xr:uid="{8F3B32F8-1B52-4FD2-AE70-195F0043ECD8}">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920" authorId="555" shapeId="0" xr:uid="{120601B1-8E08-479C-B8E7-994E607B4E93}">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K921" authorId="556" shapeId="0" xr:uid="{00E96FB6-4118-4D70-918D-6AC447510AB4}">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923" authorId="557" shapeId="0" xr:uid="{AD550AB1-09C2-424F-98AF-11D58C1583A2}">
      <text>
        <t>[Comentário encadeado]
Sua versão do Excel permite que você leia este comentário encadeado, no entanto, as edições serão removidas se o arquivo for aberto em uma versão mais recente do Excel. Saiba mais: https://go.microsoft.com/fwlink/?linkid=870924
Comentário:
    Alteração de escopo
Responder:
    Implantação em 01/02.
Responder:
    Reajuste 2025 em análise.</t>
      </text>
    </comment>
    <comment ref="K924" authorId="558" shapeId="0" xr:uid="{EAB72365-AEEF-4EF9-B454-A61C0ED645CC}">
      <text>
        <t>[Comentário encadeado]
Sua versão do Excel permite que você leia este comentário encadeado, no entanto, as edições serão removidas se o arquivo for aberto em uma versão mais recente do Excel. Saiba mais: https://go.microsoft.com/fwlink/?linkid=870924
Comentário:
    Reajuste 2024</t>
      </text>
    </comment>
    <comment ref="K925" authorId="559" shapeId="0" xr:uid="{363A85A7-33BE-4157-8B6B-F91DD8DCEA7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T925" authorId="560" shapeId="0" xr:uid="{2EFE111E-7042-4700-8320-8466918FCD2A}">
      <text>
        <t>[Comentário encadeado]
Sua versão do Excel permite que você leia este comentário encadeado, no entanto, as edições serão removidas se o arquivo for aberto em uma versão mais recente do Excel. Saiba mais: https://go.microsoft.com/fwlink/?linkid=870924
Comentário:
    Referente à diferença dos valores de extras faturados no mês anterior</t>
      </text>
    </comment>
    <comment ref="K926" authorId="561" shapeId="0" xr:uid="{17959D59-ADB4-488E-8B65-07CEB63B0B8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27" authorId="562" shapeId="0" xr:uid="{F9A3C6B2-AC1E-4082-9E3D-4317C08E7EE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28" authorId="563" shapeId="0" xr:uid="{367EB903-FB7A-4747-9C02-3690EAA5CBB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928" authorId="564" shapeId="0" xr:uid="{80EC56D9-7BC4-4918-8441-F7F73A22675B}">
      <text>
        <t>[Comentário encadeado]
Sua versão do Excel permite que você leia este comentário encadeado, no entanto, as edições serão removidas se o arquivo for aberto em uma versão mais recente do Excel. Saiba mais: https://go.microsoft.com/fwlink/?linkid=870924
Comentário:
    HE junho</t>
      </text>
    </comment>
    <comment ref="K929" authorId="565" shapeId="0" xr:uid="{0795AA3F-1161-4FB7-85F1-5CED47294140}">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930" authorId="566" shapeId="0" xr:uid="{841D3710-C1D0-478E-9F79-C96F7C1228D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31" authorId="567" shapeId="0" xr:uid="{97CADB88-950B-4F1D-8DAB-0B8CCB64542A}">
      <text>
        <t>[Comentário encadeado]
Sua versão do Excel permite que você leia este comentário encadeado, no entanto, as edições serão removidas se o arquivo for aberto em uma versão mais recente do Excel. Saiba mais: https://go.microsoft.com/fwlink/?linkid=870924
Comentário:
    Alteração de escopo
Responder:
    Implantação em 01/02.
Responder:
    Reajuste 2025 em análise.</t>
      </text>
    </comment>
    <comment ref="K932" authorId="568" shapeId="0" xr:uid="{E7973BA3-6419-4F14-832E-17D7F8C9647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T932" authorId="569" shapeId="0" xr:uid="{8553B337-A7E0-4E8E-A6E5-04EEB75F4C34}">
      <text>
        <t>[Comentário encadeado]
Sua versão do Excel permite que você leia este comentário encadeado, no entanto, as edições serão removidas se o arquivo for aberto em uma versão mais recente do Excel. Saiba mais: https://go.microsoft.com/fwlink/?linkid=870924
Comentário:
    Referente à diferença dos valores de extras faturados no mês anterior</t>
      </text>
    </comment>
    <comment ref="K933" authorId="570" shapeId="0" xr:uid="{9C71B8C4-7AE2-4D9E-8E3B-D656AC30E92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34" authorId="571" shapeId="0" xr:uid="{472B743C-773F-4B00-81D3-5E6E4A3E9B2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35" authorId="572" shapeId="0" xr:uid="{31370597-AF41-4EE8-BC18-4532C1912C0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36" authorId="573" shapeId="0" xr:uid="{10346FAE-4204-4C61-A1C1-A44B5103CD1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K937" authorId="574" shapeId="0" xr:uid="{49066E35-A8AD-415B-AD18-4D6F249C0C3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38" authorId="575" shapeId="0" xr:uid="{4A35DFB8-3E4C-421A-B3E5-9CB02C1EF8F7}">
      <text>
        <t>[Comentário encadeado]
Sua versão do Excel permite que você leia este comentário encadeado, no entanto, as edições serão removidas se o arquivo for aberto em uma versão mais recente do Excel. Saiba mais: https://go.microsoft.com/fwlink/?linkid=870924
Comentário:
    Valor 2023 com reoneração</t>
      </text>
    </comment>
    <comment ref="K939" authorId="576" shapeId="0" xr:uid="{EE83D892-77AF-4B99-9CBB-64ABA7A175C0}">
      <text>
        <t>[Comentário encadeado]
Sua versão do Excel permite que você leia este comentário encadeado, no entanto, as edições serão removidas se o arquivo for aberto em uma versão mais recente do Excel. Saiba mais: https://go.microsoft.com/fwlink/?linkid=870924
Comentário:
    Valor 2023 com reoneração</t>
      </text>
    </comment>
    <comment ref="K945" authorId="577" shapeId="0" xr:uid="{81E0459F-6F37-4732-A0EC-0E54D96E0BA3}">
      <text>
        <t>[Comentário encadeado]
Sua versão do Excel permite que você leia este comentário encadeado, no entanto, as edições serão removidas se o arquivo for aberto em uma versão mais recente do Excel. Saiba mais: https://go.microsoft.com/fwlink/?linkid=870924
Comentário:
    Adequação Novo Organograma.
Responder:
    Início em 01/03.</t>
      </text>
    </comment>
    <comment ref="K946" authorId="578" shapeId="0" xr:uid="{F34D38D4-16EC-49DC-930B-C46CCDCE0B5C}">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AC946" authorId="579" shapeId="0" xr:uid="{17BEDA27-5CDC-4D27-BB74-BD3E1A540AD0}">
      <text>
        <t>[Comentário encadeado]
Sua versão do Excel permite que você leia este comentário encadeado, no entanto, as edições serão removidas se o arquivo for aberto em uma versão mais recente do Excel. Saiba mais: https://go.microsoft.com/fwlink/?linkid=870924
Comentário:
    Retroativo referente a dez/24 a jun/25</t>
      </text>
    </comment>
    <comment ref="K947" authorId="580" shapeId="0" xr:uid="{EE766DF1-CB79-41A0-B4C1-8E767FB746E4}">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AC947" authorId="581" shapeId="0" xr:uid="{D0577E88-4F20-4FBF-8DE6-AC6FB7C2A8B4}">
      <text>
        <t>[Comentário encadeado]
Sua versão do Excel permite que você leia este comentário encadeado, no entanto, as edições serão removidas se o arquivo for aberto em uma versão mais recente do Excel. Saiba mais: https://go.microsoft.com/fwlink/?linkid=870924
Comentário:
    Retroativo referente a dez/24 a jun/25</t>
      </text>
    </comment>
    <comment ref="AD947" authorId="582" shapeId="0" xr:uid="{455962F0-BDC3-4A31-B2D6-0A58C55A25F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Ambulância
</t>
      </text>
    </comment>
    <comment ref="K948" authorId="583" shapeId="0" xr:uid="{3E71F632-9EF6-4A60-AA22-FBFCEB1FBA6A}">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AD948" authorId="584" shapeId="0" xr:uid="{59194584-3F9F-48B5-AC44-FCF6CBD126A9}">
      <text>
        <t>[Comentário encadeado]
Sua versão do Excel permite que você leia este comentário encadeado, no entanto, as edições serão removidas se o arquivo for aberto em uma versão mais recente do Excel. Saiba mais: https://go.microsoft.com/fwlink/?linkid=870924
Comentário:
    Março e abril</t>
      </text>
    </comment>
    <comment ref="K949" authorId="585" shapeId="0" xr:uid="{633B82D6-C2F2-4753-BC79-AF47DF808BEF}">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K950" authorId="586" shapeId="0" xr:uid="{B1AD79B1-B1B9-4D89-BF8F-13C2AC289451}">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
Responder:
    Ajuste no salário do Supervisor.</t>
      </text>
    </comment>
    <comment ref="AC950" authorId="587" shapeId="0" xr:uid="{F25076C5-5045-408C-B786-57D45031CDEA}">
      <text>
        <t>[Comentário encadeado]
Sua versão do Excel permite que você leia este comentário encadeado, no entanto, as edições serão removidas se o arquivo for aberto em uma versão mais recente do Excel. Saiba mais: https://go.microsoft.com/fwlink/?linkid=870924
Comentário:
    HE abril e maio</t>
      </text>
    </comment>
    <comment ref="AD950" authorId="588" shapeId="0" xr:uid="{6EA2362D-4C1F-43E4-BF70-41C84C62358B}">
      <text>
        <t>[Comentário encadeado]
Sua versão do Excel permite que você leia este comentário encadeado, no entanto, as edições serão removidas se o arquivo for aberto em uma versão mais recente do Excel. Saiba mais: https://go.microsoft.com/fwlink/?linkid=870924
Comentário:
    HE abril e maio</t>
      </text>
    </comment>
    <comment ref="K951" authorId="589" shapeId="0" xr:uid="{4606A987-9C0F-4D51-B8DF-FF53A3B218E4}">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
Responder:
    Ajuste no salário do Supervisor.
Responder:
    Inclusão notebooks</t>
      </text>
    </comment>
    <comment ref="T951" authorId="590" shapeId="0" xr:uid="{694CF2BE-8F10-4A79-BABE-A397CBBFBAFF}">
      <text>
        <t>[Comentário encadeado]
Sua versão do Excel permite que você leia este comentário encadeado, no entanto, as edições serão removidas se o arquivo for aberto em uma versão mais recente do Excel. Saiba mais: https://go.microsoft.com/fwlink/?linkid=870924
Comentário:
    Referente à diferença de pagamentos realizados a maior em alguns meses anteriores
Responder:
    Email "DIFERENÇAS PAGAMENTOS - BR MALLS VILA VELHA X INFRALINK"</t>
      </text>
    </comment>
    <comment ref="K952" authorId="591" shapeId="0" xr:uid="{701A167D-1709-4DCE-A941-2845D8D3F6E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K953" authorId="592" shapeId="0" xr:uid="{BB18EEC8-5A6B-4C1D-94F4-08ACCA9E3FF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K954" authorId="593" shapeId="0" xr:uid="{218FC72E-0F8D-4CE6-A4AF-36869104B2CF}">
      <text>
        <t>[Comentário encadeado]
Sua versão do Excel permite que você leia este comentário encadeado, no entanto, as edições serão removidas se o arquivo for aberto em uma versão mais recente do Excel. Saiba mais: https://go.microsoft.com/fwlink/?linkid=870924
Comentário:
    Alteração de escopo - a partir do dia 17 de janeiro utilizaram o valor novo de R$339.969,57</t>
      </text>
    </comment>
    <comment ref="K955" authorId="594" shapeId="0" xr:uid="{72AE609D-9EE4-48D0-B166-174CC45A10E9}">
      <text>
        <t>[Comentário encadeado]
Sua versão do Excel permite que você leia este comentário encadeado, no entanto, as edições serão removidas se o arquivo for aberto em uma versão mais recente do Excel. Saiba mais: https://go.microsoft.com/fwlink/?linkid=870924
Comentário:
    Alteração de escopo - a partir do dia 17 de janeiro utilizaram o valor novo de R$339.969,57</t>
      </text>
    </comment>
    <comment ref="K956" authorId="595" shapeId="0" xr:uid="{D2DE6691-CDAE-436C-8EFA-B17720693508}">
      <text>
        <t>[Comentário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Aguardando de acordo.</t>
      </text>
    </comment>
    <comment ref="K957" authorId="596" shapeId="0" xr:uid="{F814A439-37DF-4CB5-BF46-748CAF27140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AD957" authorId="597" shapeId="0" xr:uid="{354FA26D-1D5C-4935-ABAF-340B17D6F3A0}">
      <text>
        <t>[Comentário encadeado]
Sua versão do Excel permite que você leia este comentário encadeado, no entanto, as edições serão removidas se o arquivo for aberto em uma versão mais recente do Excel. Saiba mais: https://go.microsoft.com/fwlink/?linkid=870924
Comentário:
    HE de abril e maio validadas em junho R$ 28.609,21</t>
      </text>
    </comment>
    <comment ref="K958" authorId="598" shapeId="0" xr:uid="{B02A573B-B841-4140-A0DA-B73ECEDC77D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AD958" authorId="599" shapeId="0" xr:uid="{F31B77B1-9E62-4403-9E6F-EE20E442BD89}">
      <text>
        <t>[Comentário encadeado]
Sua versão do Excel permite que você leia este comentário encadeado, no entanto, as edições serão removidas se o arquivo for aberto em uma versão mais recente do Excel. Saiba mais: https://go.microsoft.com/fwlink/?linkid=870924
Comentário:
    HE junho: R$ 15.623,89
HE fevereiro validadas em julho: R$ 5.261,53</t>
      </text>
    </comment>
    <comment ref="K959" authorId="600" shapeId="0" xr:uid="{FB6DF18E-B7E9-4BD8-89EB-9EE48755120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K960" authorId="601" shapeId="0" xr:uid="{E989DD43-64BA-451F-AE29-892FA944AD24}">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
Responder:
    Ajuste no salário do Supervisor.
Responder:
    Inclusão notebooks</t>
      </text>
    </comment>
    <comment ref="K961" authorId="602" shapeId="0" xr:uid="{7CAA60DE-3135-4EC7-BF10-08D13AEE9D1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2" authorId="603" shapeId="0" xr:uid="{3CCB0CC3-96B2-438D-8919-F2EE91E0584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3" authorId="604" shapeId="0" xr:uid="{29BA929D-746C-47E6-8E89-71D40BAFD5D9}">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K964" authorId="605" shapeId="0" xr:uid="{3D7ECA88-B976-4A27-B726-00A925815FB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5" authorId="606" shapeId="0" xr:uid="{6D641468-CABA-4784-9C10-C7920F08C0F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6" authorId="607" shapeId="0" xr:uid="{6143759D-1440-40DC-8481-D110D9A95A8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7" authorId="608" shapeId="0" xr:uid="{48B5240C-7754-443B-A778-57C1451A639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R967" authorId="609" shapeId="0" xr:uid="{970AD277-8DB4-46F0-B5AD-33D04F9D0147}">
      <text>
        <t>[Comentário encadeado]
Sua versão do Excel permite que você leia este comentário encadeado, no entanto, as edições serão removidas se o arquivo for aberto em uma versão mais recente do Excel. Saiba mais: https://go.microsoft.com/fwlink/?linkid=870924
Comentário:
    Extravio de Smartphone</t>
      </text>
    </comment>
    <comment ref="K968" authorId="610" shapeId="0" xr:uid="{B60327A9-D909-4C1F-8315-C78BF467CDFB}">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9" authorId="611" shapeId="0" xr:uid="{A869D273-44F1-4887-A9CC-F5FA0E57DCE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70" authorId="612" shapeId="0" xr:uid="{666BD102-263A-4FB6-BAF6-C595F3DF014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71" authorId="613" shapeId="0" xr:uid="{F6056C61-290D-445C-A6CF-60BD0C2347E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85" authorId="614" shapeId="0" xr:uid="{CACFE84F-A08D-4C7C-A8DE-4D6724259459}">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tc={0490A3BB-6686-4035-9B68-E32956F3491F}</author>
    <author>tc={92078AA8-00B4-45C2-BB9E-D591137CB19A}</author>
    <author>tc={46D1C5AD-5E97-4B21-B1C3-4DBFD09BA3A8}</author>
    <author>tc={CCBD2A1F-AC0D-4055-9017-300783BDF96D}</author>
    <author>tc={8E3D89B8-5F26-49B6-A8C6-0944AE0D938E}</author>
    <author>tc={0365C79F-0A6E-429C-AD85-658B06135EF0}</author>
    <author>tc={95C75877-E963-4B67-8734-AE2CB34AEE49}</author>
    <author>tc={C0C562F6-AFFE-42EB-B0BC-9BBE95BF8721}</author>
    <author>tc={D77F45DB-E6BC-41E3-8B99-079D7458D71C}</author>
    <author>tc={92360EAA-8E54-4E5E-8AC8-E785C5190CA8}</author>
    <author>tc={A64E02C8-2D80-4096-B71D-7FA3DB719B12}</author>
    <author>tc={9C4BE272-8D85-42CC-BB48-2F66BD0EFDB7}</author>
    <author>tc={0DD1DE7D-B0A0-4D86-BBBB-2F6920597D2D}</author>
  </authors>
  <commentList>
    <comment ref="P19" authorId="0" shapeId="0" xr:uid="{0490A3BB-6686-4035-9B68-E32956F3491F}">
      <text>
        <t>[Comentário encadeado]
Sua versão do Excel permite que você leia este comentário encadeado, no entanto, as edições serão removidas se o arquivo for aberto em uma versão mais recente do Excel. Saiba mais: https://go.microsoft.com/fwlink/?linkid=870924
Comentário:
    Fornecedor não reajustou PAF</t>
      </text>
    </comment>
    <comment ref="K20" authorId="1" shapeId="0" xr:uid="{92078AA8-00B4-45C2-BB9E-D591137CB19A}">
      <text>
        <t>[Comentário encadeado]
Sua versão do Excel permite que você leia este comentário encadeado, no entanto, as edições serão removidas se o arquivo for aberto em uma versão mais recente do Excel. Saiba mais: https://go.microsoft.com/fwlink/?linkid=870924
Comentário:
    Reajuste Global; 4,93%</t>
      </text>
    </comment>
    <comment ref="K21" authorId="2" shapeId="0" xr:uid="{46D1C5AD-5E97-4B21-B1C3-4DBFD09BA3A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Global; 4,93%
</t>
      </text>
    </comment>
    <comment ref="K22" authorId="3" shapeId="0" xr:uid="{CCBD2A1F-AC0D-4055-9017-300783BDF96D}">
      <text>
        <t>[Comentário encadeado]
Sua versão do Excel permite que você leia este comentário encadeado, no entanto, as edições serão removidas se o arquivo for aberto em uma versão mais recente do Excel. Saiba mais: https://go.microsoft.com/fwlink/?linkid=870924
Comentário:
    Reajuste Global: 4,62%</t>
      </text>
    </comment>
    <comment ref="K23" authorId="4" shapeId="0" xr:uid="{8E3D89B8-5F26-49B6-A8C6-0944AE0D938E}">
      <text>
        <t>[Comentário encadeado]
Sua versão do Excel permite que você leia este comentário encadeado, no entanto, as edições serão removidas se o arquivo for aberto em uma versão mais recente do Excel. Saiba mais: https://go.microsoft.com/fwlink/?linkid=870924
Comentário:
    Reajuste Global: 4,62%</t>
      </text>
    </comment>
    <comment ref="P27" authorId="5" shapeId="0" xr:uid="{0365C79F-0A6E-429C-AD85-658B06135EF0}">
      <text>
        <t>[Comentário encadeado]
Sua versão do Excel permite que você leia este comentário encadeado, no entanto, as edições serão removidas se o arquivo for aberto em uma versão mais recente do Excel. Saiba mais: https://go.microsoft.com/fwlink/?linkid=870924
Comentário:
    Fornecedor enviou o pleito utilizando o salário mínimo como base de cálculo para o adicional de insalubridade. No entanto, a CCT estabelece o salário da função como a base de cálculo para esse benefício.</t>
      </text>
    </comment>
    <comment ref="P29" authorId="6" shapeId="0" xr:uid="{95C75877-E963-4B67-8734-AE2CB34AEE49}">
      <text>
        <t>[Comentário encadeado]
Sua versão do Excel permite que você leia este comentário encadeado, no entanto, as edições serão removidas se o arquivo for aberto em uma versão mais recente do Excel. Saiba mais: https://go.microsoft.com/fwlink/?linkid=870924
Comentário:
    Fornecedor não reajustou PROGRAMA DE QUALIFICAÇÃO DO TRABALHADOR e  BENEFÍCIO DE ASSISTÊNCIA A SAÚDE DO TRABALHADOR, previstos na CCT.</t>
      </text>
    </comment>
    <comment ref="K57" authorId="7" shapeId="0" xr:uid="{C0C562F6-AFFE-42EB-B0BC-9BBE95BF8721}">
      <text>
        <t>[Comentário encadeado]
Sua versão do Excel permite que você leia este comentário encadeado, no entanto, as edições serão removidas se o arquivo for aberto em uma versão mais recente do Excel. Saiba mais: https://go.microsoft.com/fwlink/?linkid=870924
Comentário:
    Percentual de Reajuste Global: 4,75%</t>
      </text>
    </comment>
    <comment ref="K58" authorId="8" shapeId="0" xr:uid="{D77F45DB-E6BC-41E3-8B99-079D7458D71C}">
      <text>
        <t>[Comentário encadeado]
Sua versão do Excel permite que você leia este comentário encadeado, no entanto, as edições serão removidas se o arquivo for aberto em uma versão mais recente do Excel. Saiba mais: https://go.microsoft.com/fwlink/?linkid=870924
Comentário:
    Percentual de Reajuste Global: 4,75%</t>
      </text>
    </comment>
    <comment ref="L59" authorId="9" shapeId="0" xr:uid="{92360EAA-8E54-4E5E-8AC8-E785C5190CA8}">
      <text>
        <t>[Comentário encadeado]
Sua versão do Excel permite que você leia este comentário encadeado, no entanto, as edições serão removidas se o arquivo for aberto em uma versão mais recente do Excel. Saiba mais: https://go.microsoft.com/fwlink/?linkid=870924
Comentário:
    Diferença entre o valor enviado para o faturamento de junho e o valor validado Atlas.</t>
      </text>
    </comment>
    <comment ref="P73" authorId="10" shapeId="0" xr:uid="{A64E02C8-2D80-4096-B71D-7FA3DB719B12}">
      <text>
        <t>[Comentário encadeado]
Sua versão do Excel permite que você leia este comentário encadeado, no entanto, as edições serão removidas se o arquivo for aberto em uma versão mais recente do Excel. Saiba mais: https://go.microsoft.com/fwlink/?linkid=870924
Comentário:
    Fornecedor não reajustou o PAF.</t>
      </text>
    </comment>
    <comment ref="K77" authorId="11" shapeId="0" xr:uid="{9C4BE272-8D85-42CC-BB48-2F66BD0EFDB7}">
      <text>
        <t>[Comentário encadeado]
Sua versão do Excel permite que você leia este comentário encadeado, no entanto, as edições serão removidas se o arquivo for aberto em uma versão mais recente do Excel. Saiba mais: https://go.microsoft.com/fwlink/?linkid=870924
Comentário:
    Reajuste Global: 4,72%</t>
      </text>
    </comment>
    <comment ref="K78" authorId="12" shapeId="0" xr:uid="{0DD1DE7D-B0A0-4D86-BBBB-2F6920597D2D}">
      <text>
        <t>[Comentário encadeado]
Sua versão do Excel permite que você leia este comentário encadeado, no entanto, as edições serão removidas se o arquivo for aberto em uma versão mais recente do Excel. Saiba mais: https://go.microsoft.com/fwlink/?linkid=870924
Comentário:
    4,72%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tc={8D3F99BC-2E19-4FC5-8488-479CC26336BF}</author>
  </authors>
  <commentList>
    <comment ref="D9" authorId="0" shapeId="0" xr:uid="{8D3F99BC-2E19-4FC5-8488-479CC26336BF}">
      <text>
        <t>[Comentário encadeado]
Sua versão do Excel permite que você leia este comentário encadeado, no entanto, as edições serão removidas se o arquivo for aberto em uma versão mais recente do Excel. Saiba mais: https://go.microsoft.com/fwlink/?linkid=870924
Comentário:
    Adequação ao Novo Organograma.
Responder:
    Início em 01/09</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565270-2046-4DFC-9937-ED3C3A788F4A}" keepAlive="1" interval="60" name="Consulta - Categoria" description="Conexão com a consulta 'Categoria' na pasta de trabalho." type="5" refreshedVersion="8" background="1" saveData="1">
    <dbPr connection="Provider=Microsoft.Mashup.OleDb.1;Data Source=$Workbook$;Location=Categoria;Extended Properties=&quot;&quot;" command="SELECT * FROM [Categoria]"/>
  </connection>
  <connection id="2" xr16:uid="{FD6A1EE1-D74F-47BC-99A1-E4F9AEE43D94}" keepAlive="1" interval="60" name="Consulta - Fornecedor" description="Conexão com a consulta 'Fornecedor' na pasta de trabalho." type="5" refreshedVersion="8" background="1" saveData="1">
    <dbPr connection="Provider=Microsoft.Mashup.OleDb.1;Data Source=$Workbook$;Location=Fornecedor;Extended Properties=&quot;&quot;" command="SELECT * FROM [Fornecedor]"/>
  </connection>
  <connection id="3" xr16:uid="{91A29B0C-6CE1-4423-B47A-D19CE02C9ACE}" keepAlive="1" interval="60" name="Consulta - HC" description="Conexão com a consulta 'HC' na pasta de trabalho." type="5" refreshedVersion="8" background="1" saveData="1">
    <dbPr connection="Provider=Microsoft.Mashup.OleDb.1;Data Source=$Workbook$;Location=HC;Extended Properties=&quot;&quot;" command="SELECT * FROM [HC]"/>
  </connection>
  <connection id="4" xr16:uid="{8A5920D5-8E30-49A1-A87A-7DFD452435FF}" keepAlive="1" interval="60" name="Consulta - tabShoppingsEmails" description="Conexão com a consulta 'tabShoppingsEmails' na pasta de trabalho." type="5" refreshedVersion="8" background="1" saveData="1">
    <dbPr connection="Provider=Microsoft.Mashup.OleDb.1;Data Source=$Workbook$;Location=tabShoppingsEmails;Extended Properties=&quot;&quot;" command="SELECT * FROM [tabShoppingsEmails]"/>
  </connection>
  <connection id="5" xr16:uid="{A6FC5936-640E-4190-B48F-E1D6B3F13A3F}" keepAlive="1" interval="60" name="Consulta - Unidade" description="Conexão com a consulta 'Unidade' na pasta de trabalho." type="5" refreshedVersion="8" background="1" saveData="1">
    <dbPr connection="Provider=Microsoft.Mashup.OleDb.1;Data Source=$Workbook$;Location=Unidade;Extended Properties=&quot;&quot;" command="SELECT * FROM [Unidad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<sst xmlns="http://schemas.openxmlformats.org/spreadsheetml/2006/main" count="12169" uniqueCount="775">
  <si>
    <t>Unidade</t>
  </si>
  <si>
    <t>Regional UF</t>
  </si>
  <si>
    <t>Regional PS</t>
  </si>
  <si>
    <t>Regional RS</t>
  </si>
  <si>
    <t>Cluster</t>
  </si>
  <si>
    <t>Portifólio</t>
  </si>
  <si>
    <t>Bangu Shopping</t>
  </si>
  <si>
    <t>RJ</t>
  </si>
  <si>
    <t>Sérgio P.</t>
  </si>
  <si>
    <t>Joana</t>
  </si>
  <si>
    <t>Próprio</t>
  </si>
  <si>
    <t>Carioca Shopping</t>
  </si>
  <si>
    <t>Caxias Shopping</t>
  </si>
  <si>
    <t>Independência Shopping</t>
  </si>
  <si>
    <t>Norte Shopping</t>
  </si>
  <si>
    <t>Passeio Shopping</t>
  </si>
  <si>
    <t>Administrado</t>
  </si>
  <si>
    <t>Recreio Shopping</t>
  </si>
  <si>
    <t>Rio Design Leblon</t>
  </si>
  <si>
    <t>Shopping Grande Rio</t>
  </si>
  <si>
    <t>Shopping Leblon</t>
  </si>
  <si>
    <t>Shopping Vila Velha</t>
  </si>
  <si>
    <t>Categoria</t>
  </si>
  <si>
    <t>HC_Min</t>
  </si>
  <si>
    <t>HC_Max</t>
  </si>
  <si>
    <t>Manutenção</t>
  </si>
  <si>
    <t>PMOC</t>
  </si>
  <si>
    <t>Fornecedor</t>
  </si>
  <si>
    <t>Brigada de Incêndio</t>
  </si>
  <si>
    <t>Estacionamento</t>
  </si>
  <si>
    <t>Limpeza</t>
  </si>
  <si>
    <t>Portaria</t>
  </si>
  <si>
    <t>Vigilância</t>
  </si>
  <si>
    <t>Jardinagem</t>
  </si>
  <si>
    <t>Ascensorista</t>
  </si>
  <si>
    <t>Resíduos</t>
  </si>
  <si>
    <t>Action Fire</t>
  </si>
  <si>
    <t>FTR</t>
  </si>
  <si>
    <t>Índigo</t>
  </si>
  <si>
    <t>Verzani</t>
  </si>
  <si>
    <t>GPS</t>
  </si>
  <si>
    <t>Brasanitas</t>
  </si>
  <si>
    <t>Liderforte</t>
  </si>
  <si>
    <t>Império</t>
  </si>
  <si>
    <t>Agro Rio</t>
  </si>
  <si>
    <t>Onet</t>
  </si>
  <si>
    <t>Protege</t>
  </si>
  <si>
    <t>Flora Rocha</t>
  </si>
  <si>
    <t>AgroGarden</t>
  </si>
  <si>
    <t>Medmais</t>
  </si>
  <si>
    <t>Brasil Park</t>
  </si>
  <si>
    <t>Grupo Opus</t>
  </si>
  <si>
    <t>Resolv</t>
  </si>
  <si>
    <t>C&amp;C</t>
  </si>
  <si>
    <t>Agrotexas</t>
  </si>
  <si>
    <t>Grupo Altum</t>
  </si>
  <si>
    <t>Nova Rio</t>
  </si>
  <si>
    <t>Sethvac</t>
  </si>
  <si>
    <t>Veper</t>
  </si>
  <si>
    <t>O Jardineiro</t>
  </si>
  <si>
    <t>Ambi Verde</t>
  </si>
  <si>
    <t>Parker</t>
  </si>
  <si>
    <t>IMC Saste</t>
  </si>
  <si>
    <t>Grupo JLR</t>
  </si>
  <si>
    <t>Reambient</t>
  </si>
  <si>
    <t>AMPLA Resgate Treinamentos</t>
  </si>
  <si>
    <t>Proteção</t>
  </si>
  <si>
    <t>Sinart</t>
  </si>
  <si>
    <t>Grupo Serval</t>
  </si>
  <si>
    <t>BP Engenharia</t>
  </si>
  <si>
    <t>Tecnitest</t>
  </si>
  <si>
    <t>Art Garden</t>
  </si>
  <si>
    <t>Recicla Engenharia</t>
  </si>
  <si>
    <t>Seleto</t>
  </si>
  <si>
    <t>L.F. Pinheiro Crepaldi</t>
  </si>
  <si>
    <t>Ambiente Verde</t>
  </si>
  <si>
    <t>Artemp</t>
  </si>
  <si>
    <t>CTA</t>
  </si>
  <si>
    <t>Limpcar</t>
  </si>
  <si>
    <t>PA COSTA</t>
  </si>
  <si>
    <t>Auto Park</t>
  </si>
  <si>
    <t xml:space="preserve">Viver Treinamentos </t>
  </si>
  <si>
    <t>SulClean</t>
  </si>
  <si>
    <t>Masstin</t>
  </si>
  <si>
    <t>Grupo RCR</t>
  </si>
  <si>
    <t>Cheiro de Mata</t>
  </si>
  <si>
    <t>BM Serviços de Jardinagem</t>
  </si>
  <si>
    <t>Primazzia</t>
  </si>
  <si>
    <t>Pratica Service</t>
  </si>
  <si>
    <t>Primar</t>
  </si>
  <si>
    <t>GR</t>
  </si>
  <si>
    <t>CM Couto</t>
  </si>
  <si>
    <t>MAP</t>
  </si>
  <si>
    <t>Lorenzo</t>
  </si>
  <si>
    <t>GSBRU</t>
  </si>
  <si>
    <t>Brasil Gestão</t>
  </si>
  <si>
    <t>Solução</t>
  </si>
  <si>
    <t>LNR</t>
  </si>
  <si>
    <t>Segurpro</t>
  </si>
  <si>
    <t xml:space="preserve">Sioux </t>
  </si>
  <si>
    <t>Paisagismo Ouro</t>
  </si>
  <si>
    <t xml:space="preserve">Brasil Gestão </t>
  </si>
  <si>
    <t>Vegetal</t>
  </si>
  <si>
    <t>Bravo Fire</t>
  </si>
  <si>
    <t>Project</t>
  </si>
  <si>
    <t>Embavig</t>
  </si>
  <si>
    <t>Leve Paisagismo</t>
  </si>
  <si>
    <t>Protesul</t>
  </si>
  <si>
    <t>Marcia Novaes Paisagismo</t>
  </si>
  <si>
    <t>Chácara Phoenix</t>
  </si>
  <si>
    <t>Sion</t>
  </si>
  <si>
    <t>Jardinando</t>
  </si>
  <si>
    <t>Enseg</t>
  </si>
  <si>
    <t>Marcia Lima Paisagismo</t>
  </si>
  <si>
    <t>Colecta</t>
  </si>
  <si>
    <t>Variações GPS</t>
  </si>
  <si>
    <t>Variações Verzani</t>
  </si>
  <si>
    <t>Variações Brasanitas</t>
  </si>
  <si>
    <t>Variações Grupo Altum</t>
  </si>
  <si>
    <t>Variações Seleto</t>
  </si>
  <si>
    <t>Variações Grupo JLR</t>
  </si>
  <si>
    <t xml:space="preserve">Floreada </t>
  </si>
  <si>
    <t>Top Service</t>
  </si>
  <si>
    <t>Veman</t>
  </si>
  <si>
    <t>Infralink</t>
  </si>
  <si>
    <t>Liberdade</t>
  </si>
  <si>
    <t>Líder</t>
  </si>
  <si>
    <t>Sudeste</t>
  </si>
  <si>
    <t>EMOAR</t>
  </si>
  <si>
    <t>In Haus</t>
  </si>
  <si>
    <t>5 estrelas</t>
  </si>
  <si>
    <t>Prosper</t>
  </si>
  <si>
    <t>Vivante</t>
  </si>
  <si>
    <t>Tecnoguarda</t>
  </si>
  <si>
    <t>Graber</t>
  </si>
  <si>
    <t>Tecnoseg</t>
  </si>
  <si>
    <t>Rena's Paisagismo</t>
  </si>
  <si>
    <t>Floreada</t>
  </si>
  <si>
    <t>Sunset</t>
  </si>
  <si>
    <t>Master</t>
  </si>
  <si>
    <t>Oficina Jardim</t>
  </si>
  <si>
    <t>Fluency</t>
  </si>
  <si>
    <t>Visel</t>
  </si>
  <si>
    <t>Adversi</t>
  </si>
  <si>
    <t>Garden Green</t>
  </si>
  <si>
    <t>Polo Norte</t>
  </si>
  <si>
    <t>5SS</t>
  </si>
  <si>
    <t>Real Mudas</t>
  </si>
  <si>
    <t>GEBE Garden</t>
  </si>
  <si>
    <t>SERVIS</t>
  </si>
  <si>
    <t>Jatobá Garden Park</t>
  </si>
  <si>
    <t>Kaizen</t>
  </si>
  <si>
    <t>Maxi Service</t>
  </si>
  <si>
    <t>Sioux</t>
  </si>
  <si>
    <t>Viver Treinamentos</t>
  </si>
  <si>
    <t>JS MOURA</t>
  </si>
  <si>
    <t>TREVO</t>
  </si>
  <si>
    <t>CAG Lojista</t>
  </si>
  <si>
    <t>Estacionamento|Portaria 1 atendente 6x1</t>
  </si>
  <si>
    <t>Fraldário</t>
  </si>
  <si>
    <t>Limpeza - Barra Bonita</t>
  </si>
  <si>
    <t>Manutenção CAG</t>
  </si>
  <si>
    <t>PMOC CAG</t>
  </si>
  <si>
    <t>PMOC Lojista</t>
  </si>
  <si>
    <t>Prensa</t>
  </si>
  <si>
    <t>Taste Lab</t>
  </si>
  <si>
    <t>Shopping</t>
  </si>
  <si>
    <t>E-mails consolidados</t>
  </si>
  <si>
    <t>E-mails teste</t>
  </si>
  <si>
    <t>Amazonas Shopping</t>
  </si>
  <si>
    <t>andrezza.gaona@allos.co; karen.lima@allos.co; larissa.enes@allos.co; roberto.filho@allos.co; gregori.saavedra@allos.co; pedro.mendes@allos.co</t>
  </si>
  <si>
    <t/>
  </si>
  <si>
    <t>Shopping da Bahia</t>
  </si>
  <si>
    <t>leidiane.santos@allos.co; antonio.carvalho@allos.co; jose.azevedo@allos.co; jose.fortes@allos.co; mauricio.cerqueira@allos.co; joeval.souza@allos.co; adolfo.klein@allos.co; adson.santos@allos.co; gilson.souza@allos.co</t>
  </si>
  <si>
    <t>Boulevard Bauru</t>
  </si>
  <si>
    <t>kelly.bezerrra@boulevardshoppingbauru.com.br; yumi.leite@boulevardshoppingbauru.com.br; murillo.rosa@boulevardshoppingbauru.com.br; fabio.correa@boulevardshoppingbauru.com.br; higor.carneiro@boulevardshoppingbauru.com.br</t>
  </si>
  <si>
    <t>Boulevard Belém</t>
  </si>
  <si>
    <t>Boulevard BH</t>
  </si>
  <si>
    <t>carla.costa@allos.co; carla.mairinck@allos.co; davidson.pelolungo@allos.co; mariana.almeida@allos.co; denilson.sanches@allos.co; cassio.costa@allos.co; maressa.oliveira@allos.co</t>
  </si>
  <si>
    <t>Shopping Campo Grande</t>
  </si>
  <si>
    <t>wilson.lobo@allos.co; murillo.meyer@allos.co; alexandre.ramos@allos.co; ludimila.machado@allos.co</t>
  </si>
  <si>
    <t>Shopping Campo Limpo</t>
  </si>
  <si>
    <t>vania.assis@allos.co; gabriela.queiroz@allos.co; camila.pontes@allos.co; fabio.gurjao@allos.co; silvia.machado@allos.co; ricardo.santos@allos.co; fabio.correa@allos.co</t>
  </si>
  <si>
    <t>david.souza@allos.co; bruna.wanzeler@allos.co; priscilla.souza@allos.co; julio.spinelli@allos.co; andressa.vieira@allos.co; gd_geop.cariocashopping@allos.co; alessandro.gomes@allos.co</t>
  </si>
  <si>
    <t>Cariri Shopping</t>
  </si>
  <si>
    <t>rafaela.portilho@caririshopping.com.br; brenda.brito@caririshopping.com.br; vitoria.silva@caririshopping.com.br; emilly.santos@caririshopping.com.br; ana.andrade@caririshopping.com.br; jesualdo.farias@caririshopping.com.br</t>
  </si>
  <si>
    <t>Catuaí Shopping Londrina</t>
  </si>
  <si>
    <t>willian.elsner@allos.co; erminia.wada@allos.co; everton.stock@allos.co; giovani.junior@allos.co; tienne.rezende@allos.co</t>
  </si>
  <si>
    <t>Catuaí Shopping Maringá</t>
  </si>
  <si>
    <t>sandra.sakamoto@allos.co; marcelo.mizuta@allos.co; emerson.junior@allos.co; daniela.aldrovande@allos.co; lindomar.freitas@allos.co; jonas.godeny@allos.co elaine.oliveira@allos.co</t>
  </si>
  <si>
    <t>italo.correa@allos.co; gabriela.souza@allos.co; fagnersilva@allos.co; rafael.almeida@allos.co; keline.silva@allos.co; matheus.luiz@allos.co; jose.junior@allos.co</t>
  </si>
  <si>
    <t>Center Shopping Uberlândia</t>
  </si>
  <si>
    <t>rogerio.silva@allos.co; amanda.mariana@allos.co; marcelo.laraia@allos.co; fernando.naves@allos.co; camila.freitas@allos.co; natalina.yang@allos.co; flavio.junior@allos.co</t>
  </si>
  <si>
    <t>Shopping Curitiba</t>
  </si>
  <si>
    <t>gisele.parana@allos.co; edmar.junior@allos.co; manoel.ribas@allos.co; rodrigo.cordeiro@allos.co</t>
  </si>
  <si>
    <t>Shopping Del Rey</t>
  </si>
  <si>
    <t>pedro.irineu@allos.co; vinicius.martins@allos.co; aline.jesus@allos.co; jean.medeiros@allos.co; bruno.rocha@allos.co; monica.mariano@allos.co</t>
  </si>
  <si>
    <t>Shopping Estação BH</t>
  </si>
  <si>
    <t>ellen.costa@allos.co; ewerton.ferreira@allos.co; rute.azevedo@allos.co; jose.pinheiro@allos.co; wesley.sardinha@allos.co; lanayara.reis@allos.co; ana.beatriz@allos.co</t>
  </si>
  <si>
    <t>Shopping Estação Cuiabá</t>
  </si>
  <si>
    <t>luciano.pedroso@allos.co; vandersilva@allos.co; paula.borges@allos.co; gabriela.salome@allos.co; marcel.pinheiro@allos.co; alan.carvalho@allos.co; heliezer.silva@allos.co; leticia.mendonca@allos.co; laura.lsilva@allos.co</t>
  </si>
  <si>
    <t>Boulevard Feira de Santana</t>
  </si>
  <si>
    <t>hebert.ferreira@boulevardfeira.com.br; caio.gama@boulevardfeira.com.br; renato.santos@boulevardfeira.com.br; lais.araujo@boulevardfeira.com.br; ludmilla.santiago@boulevardfeira.com.br; gabriel.neto@boulevardfeira.com.br</t>
  </si>
  <si>
    <t>Franca Shopping</t>
  </si>
  <si>
    <t>gilmar.oliveira@allos.co; bruna.rodrigues@allos.co; aline.barbara@allos.co; arthur.almeida@allos.co; renato.rangel@allos.co; amanda.santos@allos.co</t>
  </si>
  <si>
    <t>Shopping Goiânia</t>
  </si>
  <si>
    <t>ismail.goncalves@allos.co; fernanda.machado@allos.co; lucas.ribeiro@allos.co; wladimir.mota@allos.co</t>
  </si>
  <si>
    <t>jonas.oliveira@allos.co; daniele.freitas@allos.co; fernanda.moraes@allos.co; lidiane.firmo@allos.co; gd_operacoes.shoppinggranderio@allos.co; mauricio.teixeira@allos.co</t>
  </si>
  <si>
    <t>talita.ribeiro@allos.co; esther.santos@allos.co; juliani.arruda@allos.co; tamires.abdallah@allos.co; tiago.figueiredo@brmallsadm.com.br</t>
  </si>
  <si>
    <t>barbara.vidal@allos.co; chantala.ayres@allos.co; beatriz.figueiroa@allos.co; thiago.vilela@allos.co; thiago.pampurre@shoppingleblon.com.br; viviane.araujo@allos.co; zafenate.cardoso@allos.co</t>
  </si>
  <si>
    <t>Manauara Shopping</t>
  </si>
  <si>
    <t>robert.lima@allos.co; andre.zurita@allos.co; elissandra.dourado@allos.co; zamir.rodriguez@allos.co; andre.bittencourt@allos.co</t>
  </si>
  <si>
    <t>Shopping Metrô Santa Cruz</t>
  </si>
  <si>
    <t>angelica.santos@allos.co; elaine.zanotti@allos.co; bianca.santos@allos.co; jair.tenorio@allos.co; juliana.santos@allos.co; caio.santos@allos.co; leonardo.oliveira@allos.co; arnaldo.junior@allos.co; regiane.paula@allos.co</t>
  </si>
  <si>
    <t>Shopping Metrópole</t>
  </si>
  <si>
    <t>amanda.ferreira@allos.co; davi.rafael@allos.co; rafael.sbrana@allos.co; jessica.caus@allos.co; angelica.moreira@allos.co</t>
  </si>
  <si>
    <t>Mooca Plaza Shopping</t>
  </si>
  <si>
    <t>fernanda.sppinetti@allos.co; monica.brasil@allos.co; andre.cnascimento@allos.co; deborah.dutra@allos.co; pedro.moreira@allos.co; ester.santos@allos.co; francisco.maciel@allos.co</t>
  </si>
  <si>
    <t>antonio.padua@allos.co; taina.campos@allos.co; cattane.loca@allos.co; patricia.couto@allos.co; nathalie.santana@allos.co; renato.souza@allos.co; wallace.santos@allos.co; waldiney.santos@allos.co; luis.oliveira@allos.co</t>
  </si>
  <si>
    <t>Shopping Parangaba</t>
  </si>
  <si>
    <t>gilton.alves@allos.co; geovanny.freire@allos.co; renato.agostinho@allos.co; hamilton.lyra@allos.co; lucas.ssousa@allos.co</t>
  </si>
  <si>
    <t>Parque Shopping Belém</t>
  </si>
  <si>
    <t>joao.bosco@allos.co; kamila.santos@allos.co; alaim.silva@allos.co; rafaela.rodrigues@allos.co; mery.josiely@allos.co; gustavo.marinho@allos.co</t>
  </si>
  <si>
    <t>Shopping Parque Dom Pedro</t>
  </si>
  <si>
    <t>amanda.tavela@allos.co; carlos.goto@allos.co; felipe.moraes@allos.co</t>
  </si>
  <si>
    <t>josewellington.inacio@passeioshopping.com.br; marcele.gomes@passeioshopping.com.br; gustavo.xavier@recreioshopping.com.br; leonardo.machado@passeioshopping.com.br</t>
  </si>
  <si>
    <t>Shopping Passeio das Águas</t>
  </si>
  <si>
    <t>fagner.ssilva@allos.co; renato.moreira@allos.co; amanda.zoltay@allos.co; sandro.junior@allos.co; giseli.vieira@allos.co; higor.silva@allos.co; giovanna.rezende@allos.co</t>
  </si>
  <si>
    <t>Shopping Piracicaba</t>
  </si>
  <si>
    <t>ricardo.vieira@allos.co; enzo.cremasco@allos.co; vinicius.esteves@allos.co; lais.medeiros@allos.co; filipe.cordeiro@allos.co</t>
  </si>
  <si>
    <t>Shopping Plaza Niterói</t>
  </si>
  <si>
    <t>danielle.borges@allos.co; lucas.bernardo@allos.co; pedro.ggoncalves@allos.co; ellerson.oliveira@allos.co; leonardo.gomes@allos.co; juliana.queiroz@allos.co; pablo.siqueira@allos.co; eneias.araujo@allos.co</t>
  </si>
  <si>
    <t>Shopping Plaza Sul</t>
  </si>
  <si>
    <t>breno.oliveira@allos.co; anna.veloso@allos.co; raimunda.santos@allos.co; victor.carmo@allos.co; amanda.fonseca@allos.co; thiago.carpanezi@allos.co; caio.miranda@allos.co</t>
  </si>
  <si>
    <t>Praça Nova Araçatuba</t>
  </si>
  <si>
    <t>rita.marques@pracanovaaracatuba.com.br; guilherme@pracanovaaracatuba.com.br; jesse.nogueira@pracanovaaracatuba.com.br; islauane@pracanovaaracatuba.com.br; danielle.ohira@pracanovaaracatuba.com.br; thales@pracanovaaracatuba.com.br</t>
  </si>
  <si>
    <t>Praça Nova Santa Maria</t>
  </si>
  <si>
    <t>camila.jaques@pracanovashopping.com.br; alessandro.gomes@pracanovashopping.com.br</t>
  </si>
  <si>
    <t>carolina.gomes@recreioshopping.com.br; thiago.sampaio@recreioshopping.com.br; bruna.paiva@recreioshopping.com.br; eduardo.leorde@recreioshopping.com.br; leonardo.ferreira@recreioshopping.com.br; gustavo.xavier@recreioshopping.com.br</t>
  </si>
  <si>
    <t>Shopping Rio Anil</t>
  </si>
  <si>
    <t>lelia.santiago@allos.co; vinicius.ssilva@allos.co; joao.costa@allos.co; saulo.bezerra@allos.co; robson.campos@allos.co</t>
  </si>
  <si>
    <t>luiz.viana@allos.co; hingridh.oliveira@allos.co; zafenate.cardoso@allos.co</t>
  </si>
  <si>
    <t>São Bernardo Plaza Shopping</t>
  </si>
  <si>
    <t>marivaldo.junior@allos.co; natalia.figueiredo@allos.co; railson.campelo@allos.co; silvana.dornellas@allos.co; vanessa.santos@allos.co</t>
  </si>
  <si>
    <t>Shopping Taboão</t>
  </si>
  <si>
    <t>luiza.mello@allos.co; patricia.ribeiro@allos.co; cleiton.alencar@allos.co; ari.neto@allos.co; ingryd.messias@allos.co; alexandre.anfora@allos.co</t>
  </si>
  <si>
    <t>Shopping Tamboré</t>
  </si>
  <si>
    <t>gabrielle.dias@allos.co; leonardo.paes@allos.co; leonardo.batista@allos.co; kimberlym.camargo@allos.co; matheus.santos@allos.co; daniel.lafaete@allos.co; daniel.bferreira@allos.co</t>
  </si>
  <si>
    <t>Shopping Tijuca</t>
  </si>
  <si>
    <t>roberta.santos@allos.co; vanilza.pereira@allos.co; marlos.crispim@allos.co; luis.veloso@allos.co; rodrigo.viana@allos.co; tj.inspetor_ope@allos.co; leonardo.oliveira@allos.co</t>
  </si>
  <si>
    <t>leonardo.pinheiro@allos.co; humberto.lorenzutti@allos.co; patricia.cordeiro@allos.co; lorenzo.zucolotto@allos.co; bruno.cogo@allos.co; giovanna.nunes@allos.co</t>
  </si>
  <si>
    <t>Shopping Villagio Caxias</t>
  </si>
  <si>
    <t>patricia.benvenuti@allos.co; ludmila.fachin@allos.co; emerson.silveira@allos.co; juliana.slomp@allos.co</t>
  </si>
  <si>
    <t>Shopping Villa Lobos</t>
  </si>
  <si>
    <t>renan.mattos@allos.co; rita.silva@allos.co; kathleen.hoveler@allos.co; wellington.novaes@allos.co;alberto.oliveira@allos.co</t>
  </si>
  <si>
    <t xml:space="preserve"> </t>
  </si>
  <si>
    <t>Data de Envio</t>
  </si>
  <si>
    <t>Enviou/Retornou a Medição?</t>
  </si>
  <si>
    <t>HC Organograma</t>
  </si>
  <si>
    <t>HC Planilha</t>
  </si>
  <si>
    <t>Dias Faltas</t>
  </si>
  <si>
    <t>Horas Atrasos</t>
  </si>
  <si>
    <t>Valor Planilha</t>
  </si>
  <si>
    <t>Desconto de faltas solicitado pelo fornecedor</t>
  </si>
  <si>
    <t>Desconto Falta Validado Atlas</t>
  </si>
  <si>
    <t>Desconto de atrasos solicitado pelo fornecedor</t>
  </si>
  <si>
    <t>Desconto Atrasos Validado Atlas</t>
  </si>
  <si>
    <t>Desconto SLA Mês</t>
  </si>
  <si>
    <t>Desconto SLA Retroativo</t>
  </si>
  <si>
    <t>Desconto Equipamentos</t>
  </si>
  <si>
    <t>Prêmio Assiduidade</t>
  </si>
  <si>
    <t>Outros descontos</t>
  </si>
  <si>
    <t>Vai descontar SLA?</t>
  </si>
  <si>
    <t>Valor mensal final</t>
  </si>
  <si>
    <t>Taxa de prorrogação do prazo pagamento</t>
  </si>
  <si>
    <t>Valor mensal com prorrogação do prazo pagamento</t>
  </si>
  <si>
    <t>Retroativo de dissídio</t>
  </si>
  <si>
    <t>Parcela
(x/x)</t>
  </si>
  <si>
    <t>Mês de referência para faturamento</t>
  </si>
  <si>
    <t>Mês de emissão da NF</t>
  </si>
  <si>
    <t>Extras Solicitado pelo fornecedor</t>
  </si>
  <si>
    <t>Valor extras validado Atlas</t>
  </si>
  <si>
    <t>Valor NF Extra</t>
  </si>
  <si>
    <t>NF enviada sistema?</t>
  </si>
  <si>
    <t>Valor NF</t>
  </si>
  <si>
    <t>NF ok?</t>
  </si>
  <si>
    <t>SEFIP Enviada Sistema?</t>
  </si>
  <si>
    <t>Saving Faltas</t>
  </si>
  <si>
    <t>Saving Extras</t>
  </si>
  <si>
    <t>Deduções Totais</t>
  </si>
  <si>
    <t>Observações</t>
  </si>
  <si>
    <t>E-mail</t>
  </si>
  <si>
    <t>Não</t>
  </si>
  <si>
    <t>Preenchimento pendente</t>
  </si>
  <si>
    <t>Informação pendente</t>
  </si>
  <si>
    <t>Sim</t>
  </si>
  <si>
    <t>3|4</t>
  </si>
  <si>
    <t>1|4</t>
  </si>
  <si>
    <t>2|4</t>
  </si>
  <si>
    <t xml:space="preserve">Sim </t>
  </si>
  <si>
    <t>4|4</t>
  </si>
  <si>
    <t>preenchimento pendente</t>
  </si>
  <si>
    <t>1|1</t>
  </si>
  <si>
    <t>1|2</t>
  </si>
  <si>
    <t>1|3</t>
  </si>
  <si>
    <t>2|2</t>
  </si>
  <si>
    <t>8,,47</t>
  </si>
  <si>
    <t>2|3</t>
  </si>
  <si>
    <t>3|3</t>
  </si>
  <si>
    <t>Feriado</t>
  </si>
  <si>
    <t>1.1</t>
  </si>
  <si>
    <t>Mês falta</t>
  </si>
  <si>
    <t>Função</t>
  </si>
  <si>
    <t>Escala</t>
  </si>
  <si>
    <t>Turno</t>
  </si>
  <si>
    <t>Horário fim</t>
  </si>
  <si>
    <t>Quantidade de horas de atraso</t>
  </si>
  <si>
    <t>Valor hora atraso</t>
  </si>
  <si>
    <t>Total atrasos</t>
  </si>
  <si>
    <t>Qtd de dias de faltas</t>
  </si>
  <si>
    <t>Valor falta</t>
  </si>
  <si>
    <t>Total faltas</t>
  </si>
  <si>
    <t xml:space="preserve">Equipamento </t>
  </si>
  <si>
    <t>Dias inoperantes</t>
  </si>
  <si>
    <t>Valor contrato</t>
  </si>
  <si>
    <t>Valor do contrato sem o equipamento</t>
  </si>
  <si>
    <t>Valor pro rata dias sem equipamento</t>
  </si>
  <si>
    <t>Valor pro rata dias com equipamento</t>
  </si>
  <si>
    <t>Pro rata total</t>
  </si>
  <si>
    <t>Diferença</t>
  </si>
  <si>
    <t>Quantidade</t>
  </si>
  <si>
    <t>Desconto equipamentos</t>
  </si>
  <si>
    <t>Operador de Máquina de Limpeza Tripulada*</t>
  </si>
  <si>
    <t>12x36</t>
  </si>
  <si>
    <t>10:00</t>
  </si>
  <si>
    <t>6x1</t>
  </si>
  <si>
    <t>22:20</t>
  </si>
  <si>
    <t>Agente de Limpeza - coletor de lixo*</t>
  </si>
  <si>
    <t>18:20</t>
  </si>
  <si>
    <t>Auxiliar de Serviços Gerais</t>
  </si>
  <si>
    <t>06:00</t>
  </si>
  <si>
    <t>14:20</t>
  </si>
  <si>
    <t>22:00</t>
  </si>
  <si>
    <t>13:40</t>
  </si>
  <si>
    <t>Banheiristas</t>
  </si>
  <si>
    <t>Encarregado</t>
  </si>
  <si>
    <t>18:00</t>
  </si>
  <si>
    <t>Auxiliar de Serviços Gerais (limpador de vidros)</t>
  </si>
  <si>
    <t>19:00</t>
  </si>
  <si>
    <t>23:00</t>
  </si>
  <si>
    <t>Auxiliar de Serviços Gerais (Banheirista)</t>
  </si>
  <si>
    <t>Agente de Limpeza</t>
  </si>
  <si>
    <t>Banheirista</t>
  </si>
  <si>
    <t>Agente de Limpeza - lavação</t>
  </si>
  <si>
    <t>Auxiliar de Manutenção</t>
  </si>
  <si>
    <t>5x2</t>
  </si>
  <si>
    <t>Pintor</t>
  </si>
  <si>
    <t>Civil</t>
  </si>
  <si>
    <t>Eletricista</t>
  </si>
  <si>
    <t>5X2</t>
  </si>
  <si>
    <t>Orientador de trafego</t>
  </si>
  <si>
    <t>Porteiro</t>
  </si>
  <si>
    <t xml:space="preserve">Agende de limpeza </t>
  </si>
  <si>
    <t>Auto lavadora em formato MOP</t>
  </si>
  <si>
    <t>Lavadora Manual - Piso (Bateria)</t>
  </si>
  <si>
    <t>Agende de limpeza - coletor de lixo</t>
  </si>
  <si>
    <t>Agente de Limpeza Líder</t>
  </si>
  <si>
    <t>Agente de Limpeza - Coletor de Lixo</t>
  </si>
  <si>
    <t>Copeiro</t>
  </si>
  <si>
    <t>Pracista</t>
  </si>
  <si>
    <t>Operador de Máquina de Limpeza Tripulada</t>
  </si>
  <si>
    <t>Encarregado - 16 A 30 Empregados</t>
  </si>
  <si>
    <t>Operador de Prensa</t>
  </si>
  <si>
    <t>Agente de limpeza - coletor de lixo</t>
  </si>
  <si>
    <t>Jardineiro</t>
  </si>
  <si>
    <t>Auxiliar de jardinagem</t>
  </si>
  <si>
    <t>Vigilante</t>
  </si>
  <si>
    <t>12X36</t>
  </si>
  <si>
    <t>Porteiro Noturno</t>
  </si>
  <si>
    <t>4X2</t>
  </si>
  <si>
    <t>Supervisor Diurno</t>
  </si>
  <si>
    <t>Vigilante Serviço Extra</t>
  </si>
  <si>
    <t>Vigilante Rendedor</t>
  </si>
  <si>
    <t>Vigilante Condutor</t>
  </si>
  <si>
    <t>Auxiliar Administrativo</t>
  </si>
  <si>
    <t>Vigilante Líder</t>
  </si>
  <si>
    <t>4x2</t>
  </si>
  <si>
    <t>Porteiro noturno</t>
  </si>
  <si>
    <t>Agente de Portaria</t>
  </si>
  <si>
    <t>08:00</t>
  </si>
  <si>
    <t>20:00</t>
  </si>
  <si>
    <t>11:00</t>
  </si>
  <si>
    <t>ASG Praça</t>
  </si>
  <si>
    <t>Agente de Limpeza - Tratamento de Piso</t>
  </si>
  <si>
    <t>5x1</t>
  </si>
  <si>
    <t>Bombeiro hidráulico</t>
  </si>
  <si>
    <t>Planejamento</t>
  </si>
  <si>
    <t>Bombeiro Hidráulico</t>
  </si>
  <si>
    <t>Eletricista II</t>
  </si>
  <si>
    <t>6X1</t>
  </si>
  <si>
    <t>06:20</t>
  </si>
  <si>
    <t>Agente de Limpeza - Adicional de Copa*</t>
  </si>
  <si>
    <t>15:48</t>
  </si>
  <si>
    <t>Limpador de Vidro em Altura</t>
  </si>
  <si>
    <t>21:00</t>
  </si>
  <si>
    <t>05:20</t>
  </si>
  <si>
    <t>Agente de Limpeza - Operador de Residuos</t>
  </si>
  <si>
    <t>Cesta básica</t>
  </si>
  <si>
    <t>12:00</t>
  </si>
  <si>
    <t>20:20</t>
  </si>
  <si>
    <t>A500</t>
  </si>
  <si>
    <t>6x2</t>
  </si>
  <si>
    <t>Agente de Limpeza - Coletor de lixo</t>
  </si>
  <si>
    <t>Controlador de acesso</t>
  </si>
  <si>
    <t>Bombeiro Civil</t>
  </si>
  <si>
    <t>07:00</t>
  </si>
  <si>
    <t>Orientador de Tráfego</t>
  </si>
  <si>
    <t>00:00</t>
  </si>
  <si>
    <t>Operador de CFTV Líder*</t>
  </si>
  <si>
    <t>16:20</t>
  </si>
  <si>
    <t>Celular</t>
  </si>
  <si>
    <t>Operador de CFTV*</t>
  </si>
  <si>
    <t>16:00</t>
  </si>
  <si>
    <t>00:20</t>
  </si>
  <si>
    <t>Agente de portaria</t>
  </si>
  <si>
    <t>17:48</t>
  </si>
  <si>
    <t>Agente de Limpeza/Copeira</t>
  </si>
  <si>
    <t>Supervisor de Operação</t>
  </si>
  <si>
    <t>Agente de limpeza</t>
  </si>
  <si>
    <t xml:space="preserve">6x1 </t>
  </si>
  <si>
    <t>5X1</t>
  </si>
  <si>
    <t>Total</t>
  </si>
  <si>
    <t>Mês Referência Relatório - Mês que o reajuste foi validado pelas partes</t>
  </si>
  <si>
    <t>Data 
Reajuste do Contrato</t>
  </si>
  <si>
    <t>Status</t>
  </si>
  <si>
    <t>Valor 2024</t>
  </si>
  <si>
    <t>Valor 2025</t>
  </si>
  <si>
    <t>Reajuste</t>
  </si>
  <si>
    <t>% Reajuste</t>
  </si>
  <si>
    <t>Retroativo Fornecedor</t>
  </si>
  <si>
    <t>Retroativo Atlas</t>
  </si>
  <si>
    <t>Valor 2025
Fornecedor</t>
  </si>
  <si>
    <t>Valor 2025
Revisão Atlas</t>
  </si>
  <si>
    <t>Diferença Atlas-Fornecedor</t>
  </si>
  <si>
    <t>Diferença Anual</t>
  </si>
  <si>
    <t>CCT Vinculada</t>
  </si>
  <si>
    <t>Observação</t>
  </si>
  <si>
    <t>OK</t>
  </si>
  <si>
    <t>SEAC/RJ
 RJ001061/2025</t>
  </si>
  <si>
    <t>SINDIVIG/RJ</t>
  </si>
  <si>
    <t>SEAC/CAXIAS
RJ001510/2025</t>
  </si>
  <si>
    <t>Fornecedor não reajustou PAF</t>
  </si>
  <si>
    <t>SINTRAINDISTAL</t>
  </si>
  <si>
    <t>Reajuste Global; 4,93%</t>
  </si>
  <si>
    <t>Reajuste Global: 4,62%</t>
  </si>
  <si>
    <t>SINDIBOMBEIROS/MG</t>
  </si>
  <si>
    <t>SEAC/MG</t>
  </si>
  <si>
    <t>SINTEAC 
MG004343/2024</t>
  </si>
  <si>
    <t>Fornecedor enviou o pleito utilizando o salário mínimo como base de cálculo para o adicional de insalubridade. No entanto, a CCT estabelece o salário da função como a base de cálculo para esse benefício.</t>
  </si>
  <si>
    <t>Fornecedor não reajustou PROGRAMA DE QUALIFICAÇÃO DO TRABALHADOR e BENEFÍCIO DE ASSISTÊNCIA A SAÚDE DO TRABALHADOR, previstos na CCT.</t>
  </si>
  <si>
    <t>SINDIVIG/MG</t>
  </si>
  <si>
    <t>SINTRAINDISTAL RJ</t>
  </si>
  <si>
    <t>SINDBOMBEIROCIVIL-RJ|RJ001456/2025</t>
  </si>
  <si>
    <t>Reajuste CCT</t>
  </si>
  <si>
    <t>Reajuste de equipamentos</t>
  </si>
  <si>
    <t>CCT BPC RJ 2025/2026</t>
  </si>
  <si>
    <t>Em revisão</t>
  </si>
  <si>
    <t>40% insalubridade até 30/09 (banheiristas fixos); híbrido s/ adicional após 01/10.</t>
  </si>
  <si>
    <t>banheiristas em regime híbrido, sem exclusividade no banheiro</t>
  </si>
  <si>
    <t>Planilha antiga</t>
  </si>
  <si>
    <t>Planilha negociada no BID 2025</t>
  </si>
  <si>
    <t>SINDBOMBEIROCIVIL-RJ
RJ001456/2025</t>
  </si>
  <si>
    <t>Fornecedor não reajustou o PAF.</t>
  </si>
  <si>
    <t>SEAC/ES 
 ES000055/2025</t>
  </si>
  <si>
    <t>SINTRACONST/ES
ES000344/2024</t>
  </si>
  <si>
    <t>Reajuste 2024 validado somente em maio de 2025</t>
  </si>
  <si>
    <t>SINDBOMBEIROS-ES</t>
  </si>
  <si>
    <t>SINDISEG/ES 
ES000036/2025</t>
  </si>
  <si>
    <t>Mês cálculo</t>
  </si>
  <si>
    <t>Data base CCT</t>
  </si>
  <si>
    <t>Mês de competência NF</t>
  </si>
  <si>
    <t>NF</t>
  </si>
  <si>
    <t>Valor Faturado</t>
  </si>
  <si>
    <t>Valor devido</t>
  </si>
  <si>
    <t>Retroativo</t>
  </si>
  <si>
    <t>Contrato</t>
  </si>
  <si>
    <t>Extra</t>
  </si>
  <si>
    <t>Contrato + Extra</t>
  </si>
  <si>
    <t>extra</t>
  </si>
  <si>
    <t>Condição de faturamento</t>
  </si>
  <si>
    <t>Data de corte</t>
  </si>
  <si>
    <t>Chave3</t>
  </si>
  <si>
    <t>Emissão no mês subsequente ao de prestação do serviço</t>
  </si>
  <si>
    <t>Emissão no mês da prestação do serviço</t>
  </si>
  <si>
    <t>Diferenças valor devido e pagamento realizado</t>
  </si>
  <si>
    <t>Passou do horário devido a falta de energia.</t>
  </si>
  <si>
    <t>Passou do horário para finalizar a pintura da adm.</t>
  </si>
  <si>
    <t>Março</t>
  </si>
  <si>
    <t>ACRÉSCIMO</t>
  </si>
  <si>
    <t>­­­­­­­</t>
  </si>
  <si>
    <t>Veio de extra a pedido do M2 para realizar a troca da tubulação na casa de bombas.</t>
  </si>
  <si>
    <t>DATA</t>
  </si>
  <si>
    <t>HORARIO DO POSTO</t>
  </si>
  <si>
    <t>HORÁRIO</t>
  </si>
  <si>
    <t>HORAS NEG</t>
  </si>
  <si>
    <t>HS DIURNA</t>
  </si>
  <si>
    <t>HS NOTURNA</t>
  </si>
  <si>
    <t>Veio de extra a pedido do M2 para realizar a troca da tubulação na casa de bombas (adicional noturno)</t>
  </si>
  <si>
    <t>N11 – 10h X 22h</t>
  </si>
  <si>
    <t>10X22</t>
  </si>
  <si>
    <t>Vigilante 10h as 22h – 12x36</t>
  </si>
  <si>
    <t>PT2 – 10h x 22h</t>
  </si>
  <si>
    <t>19X22</t>
  </si>
  <si>
    <t>Vigilante 15:30h as 00h – 4x2</t>
  </si>
  <si>
    <t xml:space="preserve">Ficou até mais tarde a pedido da Juliani para terminar de fixar as prateleiras na adm. </t>
  </si>
  <si>
    <t xml:space="preserve">Passou do horário para dar apoio ao bombeiro hidráulico para realizar a manutenção na tubulação da casa de bombas que estourou. </t>
  </si>
  <si>
    <t>N11 - 10h x 22h</t>
  </si>
  <si>
    <t>Passou do horário devido a vazamento nas lojas americanas.</t>
  </si>
  <si>
    <t>N11 - 10hx22h</t>
  </si>
  <si>
    <t>Ficou até mais tarde para manutenção na cobertura da máquina de tíquetes da Índigo.</t>
  </si>
  <si>
    <t>N11- 10h x 22h</t>
  </si>
  <si>
    <t xml:space="preserve">Ficou até mais tarde devido a vazamento nas lojas americanas. </t>
  </si>
  <si>
    <t>VIGILANTE AGOSTO</t>
  </si>
  <si>
    <t>Setor</t>
  </si>
  <si>
    <t>Data Atraso</t>
  </si>
  <si>
    <t>Horário descoberto</t>
  </si>
  <si>
    <t>Total de horas descoberta</t>
  </si>
  <si>
    <t>Horas Decimais</t>
  </si>
  <si>
    <t>07:00 as 15:20</t>
  </si>
  <si>
    <t>Falta sem cobertura</t>
  </si>
  <si>
    <t>DESCONTO</t>
  </si>
  <si>
    <t>Supervisor</t>
  </si>
  <si>
    <t>NORTE 98</t>
  </si>
  <si>
    <t>ALF EXT -10h x22h</t>
  </si>
  <si>
    <t>10X19</t>
  </si>
  <si>
    <t>PT2 - 10h x22h</t>
  </si>
  <si>
    <t>15:30X19</t>
  </si>
  <si>
    <t>PT2 - 10h x 22h</t>
  </si>
  <si>
    <t>M1 - 07h x 19h</t>
  </si>
  <si>
    <t>07X19</t>
  </si>
  <si>
    <t>Vigilante condutor 07h as 19h – 12x36</t>
  </si>
  <si>
    <t>M1 – 07h x 19h</t>
  </si>
  <si>
    <t>N13 – 10h x 22h</t>
  </si>
  <si>
    <t>15:30X00</t>
  </si>
  <si>
    <t>19X00</t>
  </si>
  <si>
    <t>PT2 – 10h 22h</t>
  </si>
  <si>
    <t>15:30X22</t>
  </si>
  <si>
    <t>3.5</t>
  </si>
  <si>
    <t>DETALHAMENTO DAS HORAS</t>
  </si>
  <si>
    <t>TOTAL</t>
  </si>
  <si>
    <t>TOTAL   </t>
  </si>
  <si>
    <t>  PORTARIA</t>
  </si>
  <si>
    <t>N97 – 19h x 07h</t>
  </si>
  <si>
    <t>Porteiro 15:48h as 00h – 4x2</t>
  </si>
  <si>
    <t>CH1 – 19h x 07h</t>
  </si>
  <si>
    <t>Porteiro Noturno 19h as 07h – 12x36</t>
  </si>
  <si>
    <t>N97 – 07h x 19h</t>
  </si>
  <si>
    <t>07X15:30</t>
  </si>
  <si>
    <t>Porteiro 07h as 15:30h – 4x2</t>
  </si>
  <si>
    <t>MOVEL 1</t>
  </si>
  <si>
    <t>07H X 15;30</t>
  </si>
  <si>
    <t>N8 – 19h x 07h</t>
  </si>
  <si>
    <t>Atestado sem cobertura</t>
  </si>
  <si>
    <t>07H X 19H</t>
  </si>
  <si>
    <t>97 – 07H X 19H</t>
  </si>
  <si>
    <t>8.5</t>
  </si>
  <si>
    <t>Lider</t>
  </si>
  <si>
    <t>NORTE 10</t>
  </si>
  <si>
    <t>10H X 22H</t>
  </si>
  <si>
    <t>48 – 10H X 22H</t>
  </si>
  <si>
    <t>Porteiro 10h as 22h – 12x36</t>
  </si>
  <si>
    <t>CH1 – 19H X 07H</t>
  </si>
  <si>
    <t>100% noturno</t>
  </si>
  <si>
    <t>N48 10H X 22H</t>
  </si>
  <si>
    <t>BRAVO 2</t>
  </si>
  <si>
    <t>07H X 10H</t>
  </si>
  <si>
    <t>N97  10H X 22H</t>
  </si>
  <si>
    <t>NORTE 54</t>
  </si>
  <si>
    <t>N8  - 19H X 07H</t>
  </si>
  <si>
    <t>19X07</t>
  </si>
  <si>
    <t>PATIO 2</t>
  </si>
  <si>
    <t>10H X 19H</t>
  </si>
  <si>
    <t>ALF 1 – 10H X 22H</t>
  </si>
  <si>
    <t>NORTE 11</t>
  </si>
  <si>
    <t>N8 – 07H X 19H</t>
  </si>
  <si>
    <t>CH1 – 10H X 22H</t>
  </si>
  <si>
    <t>N08  - 19H X 07H</t>
  </si>
  <si>
    <t>NORTE 12</t>
  </si>
  <si>
    <t>CH1- 19H X 07H</t>
  </si>
  <si>
    <t>N08 – 19H X 07H</t>
  </si>
  <si>
    <t>N8 – 19H X 07H</t>
  </si>
  <si>
    <t>19H X 22H</t>
  </si>
  <si>
    <t>Porteiro 07h as 19h – 12x36</t>
  </si>
  <si>
    <t>PLANILHA DE POSTO DESCOBERTO E HORAS NEGATIVAS MÊS DE SETEMBRO  2025</t>
  </si>
  <si>
    <t>N8 – 10H X 22H</t>
  </si>
  <si>
    <t>Data</t>
  </si>
  <si>
    <t>Horário</t>
  </si>
  <si>
    <t>Descoberto</t>
  </si>
  <si>
    <t>Posto/colaborador</t>
  </si>
  <si>
    <t>Gessica – 05/09 - 12x36 - 10h às 22h – Praça ASG</t>
  </si>
  <si>
    <t>08:00h às 20:00h</t>
  </si>
  <si>
    <t>falta</t>
  </si>
  <si>
    <t>Posto descoberto - Allan ( Rendição / Galvani )</t>
  </si>
  <si>
    <t>12:00h às 00:00h</t>
  </si>
  <si>
    <t>12:06h às 00:00h</t>
  </si>
  <si>
    <t>Posto descoberto - Josué ( Gaiola de Motos)</t>
  </si>
  <si>
    <t>Shirlene – 05/09 - 5x1 - 13h40 às 22h – Mall   ASG</t>
  </si>
  <si>
    <t>12:16h às 00:00h</t>
  </si>
  <si>
    <t>Posto descoberto - Maria Pro staff ( Saída Meriti )</t>
  </si>
  <si>
    <t>12:06h às 23:50h</t>
  </si>
  <si>
    <t>Posto descoberto - Josué ( Gaiola de Motos )</t>
  </si>
  <si>
    <t>Tatiana – 07/09 - 5x1 - 13h40 às 22h – Mall  ASG</t>
  </si>
  <si>
    <t>08:01h às 20:00h</t>
  </si>
  <si>
    <t>Posto descoberto - Douglas Pro staff ( Rendição / Galvani )</t>
  </si>
  <si>
    <t>DIURNA</t>
  </si>
  <si>
    <t>12:03h às 00:00h</t>
  </si>
  <si>
    <t>Posto descoberto - Rodrigo Pro staff ( Gaiola de Motos )</t>
  </si>
  <si>
    <t>Lucas – 14/09 - 12x36 - 08h às 20h- Coletor</t>
  </si>
  <si>
    <t>12:03h às 23:56h</t>
  </si>
  <si>
    <t>12:08h às 00:00h</t>
  </si>
  <si>
    <t>Posto descoberto - Maria Pro staff ( Gaiola de Motos )</t>
  </si>
  <si>
    <r>
      <t>ANDERSON MOTA DA SILVA (OFICIAL DE MANUTENÇÃO) - </t>
    </r>
    <r>
      <rPr>
        <b/>
        <sz val="11"/>
        <color rgb="FF000000"/>
        <rFont val="Calibri"/>
        <family val="2"/>
        <scheme val="minor"/>
      </rPr>
      <t>escala 5x2 - 07:00 as 17:00.</t>
    </r>
  </si>
  <si>
    <t>Márcia – 21/09 - 5x1 - 06h às 14h20 – Mall   ASG</t>
  </si>
  <si>
    <t>12:10h às 00:00h</t>
  </si>
  <si>
    <t>Posto descoberto - Josué ( Saída Meriti )</t>
  </si>
  <si>
    <r>
      <t>06/08/2025 - 06:54 as  12:19 </t>
    </r>
    <r>
      <rPr>
        <sz val="11"/>
        <color rgb="FF242424"/>
        <rFont val="Calibri"/>
        <family val="2"/>
        <scheme val="minor"/>
      </rPr>
      <t>(03:35) Declaração de horas </t>
    </r>
    <r>
      <rPr>
        <b/>
        <sz val="11"/>
        <color rgb="FFEE0000"/>
        <rFont val="Calibri"/>
        <family val="2"/>
        <scheme val="minor"/>
      </rPr>
      <t>(Descontar 12:20 às 17:00)</t>
    </r>
  </si>
  <si>
    <t>Mês do extra</t>
  </si>
  <si>
    <t>Período (dias)</t>
  </si>
  <si>
    <t>Efetivo</t>
  </si>
  <si>
    <t xml:space="preserve">Valor mensal </t>
  </si>
  <si>
    <t>Taxa de prorrogação de pagamento</t>
  </si>
  <si>
    <t>08:04h às 20:00h</t>
  </si>
  <si>
    <t>Posto descoberto - Rodrigo Pro staff ( Rendição / Galvani )</t>
  </si>
  <si>
    <r>
      <t>07/08/2025 – Falta ( atestado médico) </t>
    </r>
    <r>
      <rPr>
        <b/>
        <sz val="11"/>
        <color rgb="FFEE0000"/>
        <rFont val="Calibri"/>
        <family val="2"/>
        <scheme val="minor"/>
      </rPr>
      <t>– Sem cobertura Descontar</t>
    </r>
  </si>
  <si>
    <t>ASG</t>
  </si>
  <si>
    <t>11:40 - 20:00</t>
  </si>
  <si>
    <t>Rosemar – 30/09 - 12x36 - 10h às 22h – Praça   ASG</t>
  </si>
  <si>
    <t>12:17h às 00:00h</t>
  </si>
  <si>
    <t>Posto descoberto - Douglas Pro staff ( Saída Meriti )</t>
  </si>
  <si>
    <r>
      <t>12/08/2025-</t>
    </r>
    <r>
      <rPr>
        <sz val="8.5"/>
        <color rgb="FF242424"/>
        <rFont val="Verdana"/>
        <family val="2"/>
      </rPr>
      <t> </t>
    </r>
    <r>
      <rPr>
        <sz val="11"/>
        <color rgb="FF000000"/>
        <rFont val="Calibri"/>
        <family val="2"/>
        <scheme val="minor"/>
      </rPr>
      <t>11:58 as 16:59 (04:59) </t>
    </r>
    <r>
      <rPr>
        <sz val="11"/>
        <color rgb="FF242424"/>
        <rFont val="Calibri"/>
        <family val="2"/>
        <scheme val="minor"/>
      </rPr>
      <t>Declaração de horas </t>
    </r>
    <r>
      <rPr>
        <b/>
        <sz val="11"/>
        <color rgb="FFEE0000"/>
        <rFont val="Calibri"/>
        <family val="2"/>
        <scheme val="minor"/>
      </rPr>
      <t>(Descontar 07:00 às 11:57)</t>
    </r>
  </si>
  <si>
    <t>08:11h às 20:00h</t>
  </si>
  <si>
    <t>Posto descoberto - Maria Pro staff ( Rendição / Galvani )</t>
  </si>
  <si>
    <t>29/08/2025 – descontar 30 min atraso  </t>
  </si>
  <si>
    <t>12:15h às 00:00h</t>
  </si>
  <si>
    <t>12:15h às 23:51h</t>
  </si>
  <si>
    <r>
      <t>ADRIANO ALEXANDRE DE BARROS (BOMBEIRO HIDRAULICO) - </t>
    </r>
    <r>
      <rPr>
        <b/>
        <sz val="11"/>
        <color rgb="FF000000"/>
        <rFont val="Calibri"/>
        <family val="2"/>
        <scheme val="minor"/>
      </rPr>
      <t>escala 12x36- 07:00 as 19:00.</t>
    </r>
  </si>
  <si>
    <t>12:07h às 00:00h</t>
  </si>
  <si>
    <r>
      <t>24/08/2025- 06:55 as  19:19  </t>
    </r>
    <r>
      <rPr>
        <sz val="11"/>
        <color rgb="FF242424"/>
        <rFont val="Calibri"/>
        <family val="2"/>
        <scheme val="minor"/>
      </rPr>
      <t>(00:24) extra – </t>
    </r>
    <r>
      <rPr>
        <b/>
        <sz val="11"/>
        <color rgb="FFEE0000"/>
        <rFont val="Calibri"/>
        <family val="2"/>
        <scheme val="minor"/>
      </rPr>
      <t>Não tem justificativa</t>
    </r>
  </si>
  <si>
    <t>12:02h às 00:00h</t>
  </si>
  <si>
    <t>Posto descoberto - Douglas Pro staff ( Gaiola de Motos )</t>
  </si>
  <si>
    <t>POSTO</t>
  </si>
  <si>
    <t>N11</t>
  </si>
  <si>
    <r>
      <t>DANIEL DOS SANTOS PEREIRA</t>
    </r>
    <r>
      <rPr>
        <b/>
        <sz val="11"/>
        <color rgb="FF242424"/>
        <rFont val="Calibri"/>
        <family val="2"/>
        <scheme val="minor"/>
      </rPr>
      <t> (AJUDANTE DE ELETRICA) </t>
    </r>
    <r>
      <rPr>
        <b/>
        <sz val="11"/>
        <color rgb="FF000000"/>
        <rFont val="Calibri"/>
        <family val="2"/>
        <scheme val="minor"/>
      </rPr>
      <t>- 5x2 -</t>
    </r>
    <r>
      <rPr>
        <b/>
        <sz val="11"/>
        <color rgb="FF242424"/>
        <rFont val="Calibri"/>
        <family val="2"/>
        <scheme val="minor"/>
      </rPr>
      <t> </t>
    </r>
    <r>
      <rPr>
        <b/>
        <sz val="11"/>
        <color rgb="FF000000"/>
        <rFont val="Calibri"/>
        <family val="2"/>
        <scheme val="minor"/>
      </rPr>
      <t>07:00 as 16:48 </t>
    </r>
  </si>
  <si>
    <t>12:10h às 23:54h</t>
  </si>
  <si>
    <t>PT2</t>
  </si>
  <si>
    <t>CONTROLE DE HORAS SEM COBERTURAS - AGOSTO  2025</t>
  </si>
  <si>
    <r>
      <t>19/08/2025- 06:56 as  16:58 </t>
    </r>
    <r>
      <rPr>
        <sz val="11"/>
        <color rgb="FF242424"/>
        <rFont val="Calibri"/>
        <family val="2"/>
        <scheme val="minor"/>
      </rPr>
      <t>(00:14) extra – </t>
    </r>
    <r>
      <rPr>
        <b/>
        <sz val="11"/>
        <color rgb="FFEE0000"/>
        <rFont val="Calibri"/>
        <family val="2"/>
        <scheme val="minor"/>
      </rPr>
      <t>Apoio ao evento do Mkt - OK</t>
    </r>
  </si>
  <si>
    <t>#</t>
  </si>
  <si>
    <t xml:space="preserve">DATA </t>
  </si>
  <si>
    <t>TURNO DA FALTA</t>
  </si>
  <si>
    <t>FUNÇÃO DA FALTA</t>
  </si>
  <si>
    <t>MOTIVO</t>
  </si>
  <si>
    <t>COBERTURA</t>
  </si>
  <si>
    <t>NOME DA COBERTURA</t>
  </si>
  <si>
    <t>SALDO DE HORAS SEM COBERTURA</t>
  </si>
  <si>
    <r>
      <t>21/08/2025 - 06:58 as  16:57 </t>
    </r>
    <r>
      <rPr>
        <sz val="11"/>
        <color rgb="FF242424"/>
        <rFont val="Calibri"/>
        <family val="2"/>
        <scheme val="minor"/>
      </rPr>
      <t>(00:11) extra - </t>
    </r>
    <r>
      <rPr>
        <b/>
        <sz val="11"/>
        <color rgb="FFEE0000"/>
        <rFont val="Calibri"/>
        <family val="2"/>
        <scheme val="minor"/>
      </rPr>
      <t>Não tem justificativa</t>
    </r>
  </si>
  <si>
    <t>12:12h às 00:00h</t>
  </si>
  <si>
    <t>MANHÃ</t>
  </si>
  <si>
    <t>AAC</t>
  </si>
  <si>
    <t>06:00 AS 14:20</t>
  </si>
  <si>
    <t>ATESTADO</t>
  </si>
  <si>
    <t xml:space="preserve">FALTA SEM COBERTURA </t>
  </si>
  <si>
    <r>
      <t>24/08/2025- Falta  </t>
    </r>
    <r>
      <rPr>
        <b/>
        <sz val="11"/>
        <color rgb="FFEE0000"/>
        <rFont val="Calibri"/>
        <family val="2"/>
        <scheme val="minor"/>
      </rPr>
      <t>– Sem cobertura descontar</t>
    </r>
  </si>
  <si>
    <t>Valor integral contrato</t>
  </si>
  <si>
    <t>Valor contrato  ( - supervisor)</t>
  </si>
  <si>
    <t>12:12h às 23:55h</t>
  </si>
  <si>
    <t>TARDE</t>
  </si>
  <si>
    <t>13:40 AS 22:00</t>
  </si>
  <si>
    <t>28/08/2025 – descontar 00:38 -  saída antecipada</t>
  </si>
  <si>
    <t>12:00h às 23:58h</t>
  </si>
  <si>
    <t>Posto descoberto - Josué ( Gaiola de motos )</t>
  </si>
  <si>
    <t>PLANTÃO</t>
  </si>
  <si>
    <t>10:00 AS 22:00</t>
  </si>
  <si>
    <t>08:00h às 19:56h</t>
  </si>
  <si>
    <r>
      <t>ECIMAR JOSE DA SILVA </t>
    </r>
    <r>
      <rPr>
        <b/>
        <sz val="11"/>
        <color rgb="FF242424"/>
        <rFont val="Calibri"/>
        <family val="2"/>
        <scheme val="minor"/>
      </rPr>
      <t>(BOMBEIRO HIDRAULICO) </t>
    </r>
    <r>
      <rPr>
        <sz val="11"/>
        <color rgb="FF000000"/>
        <rFont val="Calibri"/>
        <family val="2"/>
        <scheme val="minor"/>
      </rPr>
      <t>- </t>
    </r>
    <r>
      <rPr>
        <b/>
        <sz val="11"/>
        <color rgb="FF000000"/>
        <rFont val="Calibri"/>
        <family val="2"/>
        <scheme val="minor"/>
      </rPr>
      <t>escala 12x36 -19:00 as 07:00.</t>
    </r>
  </si>
  <si>
    <t>08:15h às 20:00h</t>
  </si>
  <si>
    <r>
      <t>26/08/2025- 18:53 as 10:29  </t>
    </r>
    <r>
      <rPr>
        <sz val="11"/>
        <color rgb="FF242424"/>
        <rFont val="Calibri"/>
        <family val="2"/>
        <scheme val="minor"/>
      </rPr>
      <t>(03:36) Serviço extra – </t>
    </r>
    <r>
      <rPr>
        <b/>
        <sz val="11"/>
        <color rgb="FFEE0000"/>
        <rFont val="Calibri"/>
        <family val="2"/>
        <scheme val="minor"/>
      </rPr>
      <t>Treinamento Draco</t>
    </r>
  </si>
  <si>
    <t>Valor contratual</t>
  </si>
  <si>
    <t>Custo diário</t>
  </si>
  <si>
    <t>Dias de prestação de serviço</t>
  </si>
  <si>
    <t>12:13h às 00:00h</t>
  </si>
  <si>
    <t>Posto descoberto - Maria Pro staff ( Saida Meriti )</t>
  </si>
  <si>
    <t>ALF EXT</t>
  </si>
  <si>
    <t>08:08h às 20:00h</t>
  </si>
  <si>
    <r>
      <t>GELSON SANTANA GOMES</t>
    </r>
    <r>
      <rPr>
        <b/>
        <sz val="11"/>
        <color rgb="FF242424"/>
        <rFont val="Calibri"/>
        <family val="2"/>
        <scheme val="minor"/>
      </rPr>
      <t> (ELETRICISTA)</t>
    </r>
    <r>
      <rPr>
        <b/>
        <sz val="11"/>
        <color rgb="FF000000"/>
        <rFont val="Calibri"/>
        <family val="2"/>
        <scheme val="minor"/>
      </rPr>
      <t>-  escala 12x36 – 07:00 as 19:00</t>
    </r>
  </si>
  <si>
    <t>12:09h às 00:00h</t>
  </si>
  <si>
    <r>
      <t>02/08/2025- 06:58 as 19:24  </t>
    </r>
    <r>
      <rPr>
        <sz val="11"/>
        <color rgb="FF242424"/>
        <rFont val="Calibri"/>
        <family val="2"/>
        <scheme val="minor"/>
      </rPr>
      <t>(00:26) Serviço extra – </t>
    </r>
    <r>
      <rPr>
        <b/>
        <sz val="11"/>
        <color rgb="FFEE0000"/>
        <rFont val="Calibri"/>
        <family val="2"/>
        <scheme val="minor"/>
      </rPr>
      <t>Atraso da Rendição (M3 Nilo) – extra Vivante</t>
    </r>
  </si>
  <si>
    <t>08:13h à 20:00h</t>
  </si>
  <si>
    <t>Posto descoberto - Rodrigo Pro staff ( Rendição )</t>
  </si>
  <si>
    <t>M1</t>
  </si>
  <si>
    <r>
      <t>16/08/2025- 06:53 as 19:07  </t>
    </r>
    <r>
      <rPr>
        <sz val="11"/>
        <color rgb="FF242424"/>
        <rFont val="Calibri"/>
        <family val="2"/>
        <scheme val="minor"/>
      </rPr>
      <t>(00:14) Serviço extra - </t>
    </r>
    <r>
      <rPr>
        <b/>
        <sz val="11"/>
        <color rgb="FFEE0000"/>
        <rFont val="Calibri"/>
        <family val="2"/>
        <scheme val="minor"/>
      </rPr>
      <t>Não tem justificativa</t>
    </r>
  </si>
  <si>
    <t>08:00h à 19:49h</t>
  </si>
  <si>
    <t>Faltas Supervisor</t>
  </si>
  <si>
    <t>Valor falta / Supervisor</t>
  </si>
  <si>
    <t>Desconto total</t>
  </si>
  <si>
    <t>Posto descoberto - Douglas Pro staff ( Gaiola de Motos)</t>
  </si>
  <si>
    <r>
      <t>JOAO GABRIEL RAIMUNDO DA SILVA (PINTOR) - </t>
    </r>
    <r>
      <rPr>
        <b/>
        <sz val="11"/>
        <color rgb="FF000000"/>
        <rFont val="Calibri"/>
        <family val="2"/>
        <scheme val="minor"/>
      </rPr>
      <t>escala 5x2 -21:30 as 06:18</t>
    </r>
  </si>
  <si>
    <t>08:12h às 20:00h</t>
  </si>
  <si>
    <r>
      <t>06/08/2025 - 21:56  as  06:28 (00:28) atraso </t>
    </r>
    <r>
      <rPr>
        <b/>
        <sz val="11"/>
        <color rgb="FFEE0000"/>
        <rFont val="Calibri"/>
        <family val="2"/>
        <scheme val="minor"/>
      </rPr>
      <t>- OK</t>
    </r>
  </si>
  <si>
    <t>N13</t>
  </si>
  <si>
    <r>
      <t>08/08/2025- 21:32 as  06:15 (00:17) atraso </t>
    </r>
    <r>
      <rPr>
        <b/>
        <sz val="11"/>
        <color rgb="FFEE0000"/>
        <rFont val="Calibri"/>
        <family val="2"/>
        <scheme val="minor"/>
      </rPr>
      <t>- OK</t>
    </r>
  </si>
  <si>
    <t>08:03h às 20:00h</t>
  </si>
  <si>
    <r>
      <t>11/08/2025- 22:02 as  06:27 (00:35) atraso </t>
    </r>
    <r>
      <rPr>
        <b/>
        <sz val="11"/>
        <color rgb="FFEE0000"/>
        <rFont val="Calibri"/>
        <family val="2"/>
        <scheme val="minor"/>
      </rPr>
      <t>- OK</t>
    </r>
  </si>
  <si>
    <t>12:24h às 00:00h</t>
  </si>
  <si>
    <r>
      <t>21/08/2025 -21:39 as  06:21 (00:18) atraso </t>
    </r>
    <r>
      <rPr>
        <b/>
        <sz val="11"/>
        <color rgb="FFEE0000"/>
        <rFont val="Calibri"/>
        <family val="2"/>
        <scheme val="minor"/>
      </rPr>
      <t>- OK</t>
    </r>
  </si>
  <si>
    <t>12:40h às 00:00h</t>
  </si>
  <si>
    <r>
      <t>NILO OLIVEIRA DA SILVA </t>
    </r>
    <r>
      <rPr>
        <b/>
        <sz val="11"/>
        <color rgb="FF242424"/>
        <rFont val="Calibri"/>
        <family val="2"/>
        <scheme val="minor"/>
      </rPr>
      <t>(ELETRICISTA) </t>
    </r>
    <r>
      <rPr>
        <b/>
        <sz val="11"/>
        <color rgb="FF000000"/>
        <rFont val="Calibri"/>
        <family val="2"/>
        <scheme val="minor"/>
      </rPr>
      <t>– escala 12x36 -19:00 as 07:00</t>
    </r>
  </si>
  <si>
    <t>16:10h às 18:00</t>
  </si>
  <si>
    <r>
      <t>27/08/2025- 18:53 as  09:47 </t>
    </r>
    <r>
      <rPr>
        <sz val="11"/>
        <color rgb="FF242424"/>
        <rFont val="Calibri"/>
        <family val="2"/>
        <scheme val="minor"/>
      </rPr>
      <t>(02:54 ) Serviço extra - </t>
    </r>
    <r>
      <rPr>
        <b/>
        <sz val="11"/>
        <color rgb="FFEE0000"/>
        <rFont val="Calibri"/>
        <family val="2"/>
        <scheme val="minor"/>
      </rPr>
      <t>Treinamento Draco</t>
    </r>
  </si>
  <si>
    <t>12:10h às 00:02h</t>
  </si>
  <si>
    <t>Posto descoberto - Paulo (Saida Meriti)</t>
  </si>
  <si>
    <t>08:00h às 16:20h</t>
  </si>
  <si>
    <t>08:28h às 16:20h</t>
  </si>
  <si>
    <t>Posto descoberto - Roberta (CFTV)</t>
  </si>
  <si>
    <r>
      <t>SIDNEY FELIPE SALES (PINTOR) – 5x2 - </t>
    </r>
    <r>
      <rPr>
        <b/>
        <sz val="11"/>
        <color rgb="FF000000"/>
        <rFont val="Calibri"/>
        <family val="2"/>
        <scheme val="minor"/>
      </rPr>
      <t>21:30 as 06:18</t>
    </r>
  </si>
  <si>
    <t>12:38h às 00:00h</t>
  </si>
  <si>
    <r>
      <t>07/08/2025-</t>
    </r>
    <r>
      <rPr>
        <sz val="8.5"/>
        <color rgb="FF000000"/>
        <rFont val="Verdana"/>
        <family val="2"/>
      </rPr>
      <t> </t>
    </r>
    <r>
      <rPr>
        <sz val="11"/>
        <color rgb="FF000000"/>
        <rFont val="Calibri"/>
        <family val="2"/>
        <scheme val="minor"/>
      </rPr>
      <t>21:42 as  06:24 (00:18) atraso </t>
    </r>
    <r>
      <rPr>
        <b/>
        <sz val="11"/>
        <color rgb="FFEE0000"/>
        <rFont val="Calibri"/>
        <family val="2"/>
        <scheme val="minor"/>
      </rPr>
      <t>- OK</t>
    </r>
  </si>
  <si>
    <r>
      <t>08/08/2025 -21:34 as  06:15 (00:19) atraso </t>
    </r>
    <r>
      <rPr>
        <b/>
        <sz val="11"/>
        <color rgb="FFEE0000"/>
        <rFont val="Calibri"/>
        <family val="2"/>
        <scheme val="minor"/>
      </rPr>
      <t>- OK</t>
    </r>
  </si>
  <si>
    <r>
      <t>14/08/2025 -21:41 as 06:25 (00:16) atraso </t>
    </r>
    <r>
      <rPr>
        <b/>
        <sz val="11"/>
        <color rgb="FFEE0000"/>
        <rFont val="Calibri"/>
        <family val="2"/>
        <scheme val="minor"/>
      </rPr>
      <t>- OK</t>
    </r>
  </si>
  <si>
    <t>08:08h às 16:20h</t>
  </si>
  <si>
    <r>
      <t>18/08/2025 -21:34 as 06:21 (00:13) atraso </t>
    </r>
    <r>
      <rPr>
        <b/>
        <sz val="11"/>
        <color rgb="FFEE0000"/>
        <rFont val="Calibri"/>
        <family val="2"/>
        <scheme val="minor"/>
      </rPr>
      <t>- OK</t>
    </r>
  </si>
  <si>
    <r>
      <t>21/08/2025 - 21:44 as 06:21 (00:36) atraso </t>
    </r>
    <r>
      <rPr>
        <b/>
        <sz val="11"/>
        <color rgb="FFEE0000"/>
        <rFont val="Calibri"/>
        <family val="2"/>
        <scheme val="minor"/>
      </rPr>
      <t>- OK</t>
    </r>
  </si>
  <si>
    <t>08:05h às 16:20h</t>
  </si>
  <si>
    <r>
      <t>22/08/2025 -21:34 as 06:20 (00:14) atraso </t>
    </r>
    <r>
      <rPr>
        <b/>
        <sz val="11"/>
        <color rgb="FFEE0000"/>
        <rFont val="Calibri"/>
        <family val="2"/>
        <scheme val="minor"/>
      </rPr>
      <t>– OK (Verificar o tempo de atraso, seria apenas 2 min)</t>
    </r>
  </si>
  <si>
    <t>11:59h às 23:54</t>
  </si>
  <si>
    <t>Posto descoberto - Josué  ( Gaiola de Motos )</t>
  </si>
  <si>
    <r>
      <t>29/08/2025- 21:40 as 06:21 (00:19) atraso  </t>
    </r>
    <r>
      <rPr>
        <b/>
        <sz val="11"/>
        <color rgb="FFEE0000"/>
        <rFont val="Calibri"/>
        <family val="2"/>
        <scheme val="minor"/>
      </rPr>
      <t>- OK</t>
    </r>
  </si>
  <si>
    <t>Posto descoberto - Paulo  ( saída Meriti )</t>
  </si>
  <si>
    <r>
      <t>PEDRO TIBURCIO DA SILVA FILHO</t>
    </r>
    <r>
      <rPr>
        <b/>
        <sz val="11"/>
        <color rgb="FF242424"/>
        <rFont val="Calibri"/>
        <family val="2"/>
        <scheme val="minor"/>
      </rPr>
      <t> (BOMBEIRO HIDRAULICO) </t>
    </r>
    <r>
      <rPr>
        <b/>
        <sz val="11"/>
        <color rgb="FF000000"/>
        <rFont val="Calibri"/>
        <family val="2"/>
        <scheme val="minor"/>
      </rPr>
      <t>– escala 12x36 -19:00 as 07:00</t>
    </r>
  </si>
  <si>
    <r>
      <t>27/08/2025- 18:52 as  09:42 </t>
    </r>
    <r>
      <rPr>
        <sz val="11"/>
        <color rgb="FF242424"/>
        <rFont val="Calibri"/>
        <family val="2"/>
        <scheme val="minor"/>
      </rPr>
      <t>(02:50) Serviço extra - </t>
    </r>
    <r>
      <rPr>
        <b/>
        <sz val="11"/>
        <color rgb="FFEE0000"/>
        <rFont val="Calibri"/>
        <family val="2"/>
        <scheme val="minor"/>
      </rPr>
      <t>Treinamento Draco</t>
    </r>
  </si>
  <si>
    <t>Cenário</t>
  </si>
  <si>
    <t>Descrição do extra</t>
  </si>
  <si>
    <t>Custo Novembro</t>
  </si>
  <si>
    <t>Custo Dezembro</t>
  </si>
  <si>
    <t>Custo total</t>
  </si>
  <si>
    <t>Gran Plaza</t>
  </si>
  <si>
    <t xml:space="preserve">Cenário 1 </t>
  </si>
  <si>
    <t>2 Líderes + 2 ASG 12:40 + 4 ASG 06:00 + 8 ASG 14:00 + 4 ASG 22:00</t>
  </si>
  <si>
    <t>---------</t>
  </si>
  <si>
    <t>Valor integral</t>
  </si>
  <si>
    <t xml:space="preserve">Dias de prestação de serviço </t>
  </si>
  <si>
    <t xml:space="preserve">Valor Proporcional </t>
  </si>
  <si>
    <t>Cenário 2</t>
  </si>
  <si>
    <t>NOVEMBRO - 4 ASG 06H + 4 ASG 14H  |  DEZEMBRO -  2 LÍDER + 8 ASG 06H + 12 ASG 14:00 + 4 ASG 22H</t>
  </si>
  <si>
    <t>WAGNER ALEXANDRE BATISTA (ELETRICISTA) – escala 12x36 – 19:00 as 07:00</t>
  </si>
  <si>
    <t xml:space="preserve">Resíduos </t>
  </si>
  <si>
    <r>
      <t>26/08/2025- 18:53 as  10:29 </t>
    </r>
    <r>
      <rPr>
        <sz val="11"/>
        <color rgb="FF242424"/>
        <rFont val="Calibri"/>
        <family val="2"/>
        <scheme val="minor"/>
      </rPr>
      <t>(03:36) Serviço extra - </t>
    </r>
    <r>
      <rPr>
        <b/>
        <sz val="11"/>
        <color rgb="FFEE0000"/>
        <rFont val="Calibri"/>
        <family val="2"/>
        <scheme val="minor"/>
      </rPr>
      <t>Treinamento Draco</t>
    </r>
  </si>
  <si>
    <r>
      <t>Faltas sem cobertura de auxiliar de eletricistas nos dias. (</t>
    </r>
    <r>
      <rPr>
        <b/>
        <sz val="11"/>
        <color rgb="FF000000"/>
        <rFont val="Calibri"/>
        <family val="2"/>
        <scheme val="minor"/>
      </rPr>
      <t> escala 5x2 -07:00 as 16:48)</t>
    </r>
  </si>
  <si>
    <r>
      <t>01/08/2025. </t>
    </r>
    <r>
      <rPr>
        <b/>
        <sz val="11"/>
        <color rgb="FFEE0000"/>
        <rFont val="Calibri"/>
        <family val="2"/>
        <scheme val="minor"/>
      </rPr>
      <t>- OK</t>
    </r>
  </si>
  <si>
    <r>
      <t>05/08/2025. </t>
    </r>
    <r>
      <rPr>
        <b/>
        <sz val="11"/>
        <color rgb="FFEE0000"/>
        <rFont val="Calibri"/>
        <family val="2"/>
        <scheme val="minor"/>
      </rPr>
      <t>- OK</t>
    </r>
  </si>
  <si>
    <r>
      <t>24/08/2025. </t>
    </r>
    <r>
      <rPr>
        <b/>
        <sz val="11"/>
        <color rgb="FFEE0000"/>
        <rFont val="Calibri"/>
        <family val="2"/>
        <scheme val="minor"/>
      </rPr>
      <t>- OK</t>
    </r>
  </si>
  <si>
    <r>
      <t>22/08/2025. Descoberto das 10:07 as 16:48. ( colaborador passou mal) </t>
    </r>
    <r>
      <rPr>
        <b/>
        <sz val="11"/>
        <color rgb="FFEE0000"/>
        <rFont val="Calibri"/>
        <family val="2"/>
        <scheme val="minor"/>
      </rPr>
      <t>- OK</t>
    </r>
  </si>
  <si>
    <t>Operadora de CFTV</t>
  </si>
  <si>
    <t>16:00h às 00:20h</t>
  </si>
  <si>
    <t>06:00h às 14:00h</t>
  </si>
  <si>
    <t>Operador de CFTV</t>
  </si>
  <si>
    <t>Horas de atraso</t>
  </si>
  <si>
    <t>09:00h às 17:00h</t>
  </si>
  <si>
    <t xml:space="preserve">Horas decimais </t>
  </si>
  <si>
    <t>Dias de falta</t>
  </si>
  <si>
    <t>Horas decimais</t>
  </si>
  <si>
    <t>yugnarley.cintra@allos.co; jose.alfaia@allos.co; joelma.muniz@allos.co; jaqueline.silva@allos.co; alan.rodriguez@allos.co; favacho.junior@allos.co; ana.deoliveira@allos.co; cinthia.araujo@allos.co</t>
  </si>
  <si>
    <t>alex.costa@allos.co; victor.fortunato@allos.co; valeria.grajauskas@allos.co; nathally.santos@allos.co; paulo.assis@allos.co; michele.ramos@allos.co; joana.malheiros@atlasinovacoes.com.br</t>
  </si>
  <si>
    <t>\</t>
  </si>
  <si>
    <t>kaike.costa@atlasinovacoes.com.br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</si>
</sst>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3">
    <numFmt numFmtId="6" formatCode="&quot;R$&quot;\ #,##0;[Red]\-&quot;R$&quot;\ #,##0"/>
    <numFmt numFmtId="8" formatCode="&quot;R$&quot;\ #,##0.00;[Red]\-&quot;R$&quot;\ #,##0.00"/>
    <numFmt numFmtId="41" formatCode="_-* #,##0_-;\-* #,##0_-;_-* &quot;-&quot;_-;_-@_-"/>
    <numFmt numFmtId="44" formatCode="_-&quot;R$&quot;\ * #,##0.00_-;\-&quot;R$&quot;\ * #,##0.00_-;_-&quot;R$&quot;\ * &quot;-&quot;??_-;_-@_-"/>
    <numFmt numFmtId="43" formatCode="_-* #,##0.00_-;\-* #,##0.00_-;_-* &quot;-&quot;??_-;_-@_-"/>
    <numFmt numFmtId="164" formatCode="_(&quot;R$ &quot;* #,##0.00_);_(&quot;R$ &quot;* \(#,##0.00\);_(&quot;R$ &quot;* &quot;-&quot;??_);_(@_)"/>
    <numFmt numFmtId="165" formatCode="#,##0.00000"/>
    <numFmt numFmtId="166" formatCode="[$-416]mmmm\-yy;@"/>
    <numFmt numFmtId="167" formatCode="#,##0.0000"/>
    <numFmt numFmtId="168" formatCode="&quot;$&quot;#,##0.0_);[Red]\(&quot;$&quot;#,##0.0\)"/>
    <numFmt numFmtId="169" formatCode="&quot;$&quot;#,##0.00_);[Red]\(&quot;$&quot;#,##0.00\)"/>
    <numFmt numFmtId="170" formatCode="_(* #,##0.0000_);_(* \(#,##0.0000\);_(* &quot;-&quot;????_);_(@_)"/>
    <numFmt numFmtId="171" formatCode="&quot;$&quot;#,##0_);[Red]\(&quot;$&quot;#,##0\)"/>
    <numFmt numFmtId="172" formatCode="_([$€-2]* #,##0.00_);_([$€-2]* \(#,##0.00\);_([$€-2]* &quot;-&quot;??_)"/>
    <numFmt numFmtId="173" formatCode="_-&quot;£&quot;* #,##0.00_-;\-&quot;£&quot;* #,##0.00_-;_-&quot;£&quot;* &quot;-&quot;??_-;_-@_-"/>
    <numFmt numFmtId="174" formatCode="###0_);\(###0\)"/>
    <numFmt numFmtId="175" formatCode="&quot;£&quot;#,##0.00;\-&quot;£&quot;#,##0.00"/>
    <numFmt numFmtId="176" formatCode="0.0%;[Red]\(0.0%\)"/>
    <numFmt numFmtId="177" formatCode="_(&quot;R$&quot;* #,##0.0_);_(&quot;R$&quot;* \(#,##0.0\);_(&quot;R$&quot;* &quot;-&quot;_);_(@_)"/>
    <numFmt numFmtId="178" formatCode="#,##0.0_);[Red]\(#,##0.0\)"/>
    <numFmt numFmtId="179" formatCode="_-* #,##0\ _P_t_s_-;\-* #,##0\ _P_t_s_-;_-* &quot;-&quot;\ _P_t_s_-;_-@_-"/>
    <numFmt numFmtId="180" formatCode="mmm/yyyy"/>
    <numFmt numFmtId="181" formatCode="#,##0.0"/>
    <numFmt numFmtId="182" formatCode="0.00_)"/>
    <numFmt numFmtId="183" formatCode="#,##0.000_);[Red]\(#,##0.000\)"/>
    <numFmt numFmtId="184" formatCode="#,##0.00;[Red]\(#,##0.00\)"/>
    <numFmt numFmtId="185" formatCode="_(* #,##0.0_);_(* \(#,##0.0\);_(* &quot;-&quot;?_);_(@_)"/>
    <numFmt numFmtId="186" formatCode="&quot;R$&quot;\ #,##0.00"/>
    <numFmt numFmtId="187" formatCode="[$-416]d\-mmm;@"/>
    <numFmt numFmtId="188" formatCode="&quot;R$&quot;#,##0.00;[Red]\-&quot;R$&quot;#,##0.00"/>
    <numFmt numFmtId="189" formatCode="h:mm;@"/>
    <numFmt numFmtId="190" formatCode="[$-F400]h:mm:ss\ AM/PM"/>
    <numFmt numFmtId="191" formatCode="0.0%"/>
  </numFmts>
  <fonts count="94">
    <font>
      <sz val="11"/>
      <color theme="1"/>
      <name val="Calibri"/>
      <family val="2"/>
      <scheme val="minor"/>
    </font>
    <font>
      <sz val="11"/>
      <color theme="1"/>
      <name val="Calibri"/>
      <family val="2"/>
      <scheme val="minor"/>
    </font>
    <font>
      <sz val="12"/>
      <color rgb="FFFFFFFF"/>
      <name val="Calibri Light"/>
      <family val="2"/>
    </font>
    <font>
      <sz val="12"/>
      <color theme="1"/>
      <name val="Calibri"/>
      <family val="2"/>
      <scheme val="minor"/>
    </font>
    <font>
      <sz val="12"/>
      <name val="Calibri Light"/>
      <family val="2"/>
      <scheme val="major"/>
    </font>
    <font>
      <sz val="8"/>
      <name val="Calibri"/>
      <family val="2"/>
      <scheme val="minor"/>
    </font>
    <font>
      <b/>
      <sz val="11"/>
      <color theme="1"/>
      <name val="Calibri"/>
      <family val="2"/>
      <scheme val="minor"/>
    </font>
    <font>
      <b/>
      <sz val="12"/>
      <color rgb="FFFFFFFF"/>
      <name val="Calibri Light"/>
      <family val="2"/>
    </font>
    <font>
      <sz val="10"/>
      <name val="Arial"/>
      <family val="2"/>
    </font>
    <font>
      <b/>
      <sz val="12"/>
      <name val="Calibri Light"/>
      <family val="2"/>
      <scheme val="major"/>
    </font>
    <font>
      <sz val="11"/>
      <color rgb="FF006100"/>
      <name val="Calibri"/>
      <family val="2"/>
      <scheme val="minor"/>
    </font>
    <font>
      <sz val="12"/>
      <name val="Courier"/>
      <family val="3"/>
    </font>
    <font>
      <sz val="8"/>
      <name val="Arial"/>
      <family val="2"/>
    </font>
    <font>
      <sz val="11"/>
      <name val="??"/>
      <family val="3"/>
      <charset val="129"/>
    </font>
    <font>
      <b/>
      <sz val="8"/>
      <name val="Arial"/>
      <family val="2"/>
    </font>
    <font>
      <b/>
      <u/>
      <sz val="11"/>
      <color indexed="37"/>
      <name val="Arial"/>
      <family val="2"/>
    </font>
    <font>
      <sz val="10"/>
      <name val="Times New Roman"/>
      <family val="1"/>
    </font>
    <font>
      <sz val="10"/>
      <color indexed="12"/>
      <name val="Arial"/>
      <family val="2"/>
    </font>
    <font>
      <sz val="8"/>
      <color indexed="39"/>
      <name val="Arial"/>
      <family val="2"/>
    </font>
    <font>
      <sz val="10"/>
      <name val="Century Gothic"/>
      <family val="2"/>
    </font>
    <font>
      <sz val="7"/>
      <name val="Small Fonts"/>
      <family val="2"/>
    </font>
    <font>
      <b/>
      <i/>
      <sz val="16"/>
      <name val="Helv"/>
    </font>
    <font>
      <sz val="8"/>
      <color indexed="10"/>
      <name val="Arial"/>
      <family val="2"/>
    </font>
    <font>
      <sz val="8"/>
      <color indexed="12"/>
      <name val="Arial"/>
      <family val="2"/>
    </font>
    <font>
      <sz val="8"/>
      <color indexed="9"/>
      <name val="Arial"/>
      <family val="2"/>
    </font>
    <font>
      <sz val="9"/>
      <color indexed="10"/>
      <name val="Geneva"/>
    </font>
    <font>
      <sz val="10"/>
      <color rgb="FF002060"/>
      <name val="Tahoma"/>
      <family val="2"/>
    </font>
    <font>
      <b/>
      <sz val="10"/>
      <color rgb="FF10257F"/>
      <name val="Calibri"/>
      <family val="2"/>
      <scheme val="minor"/>
    </font>
    <font>
      <b/>
      <sz val="10"/>
      <color rgb="FF002060"/>
      <name val="Tahoma"/>
      <family val="2"/>
    </font>
    <font>
      <sz val="11"/>
      <color rgb="FFFFFFFF"/>
      <name val="Calibri Light"/>
      <family val="2"/>
    </font>
    <font>
      <sz val="10"/>
      <color rgb="FF000000"/>
      <name val="Aptos"/>
      <family val="2"/>
    </font>
    <font>
      <sz val="10"/>
      <name val="Calibri Light"/>
      <family val="2"/>
      <scheme val="major"/>
    </font>
    <font>
      <sz val="10"/>
      <color theme="1"/>
      <name val="Calibri"/>
      <family val="2"/>
      <scheme val="minor"/>
    </font>
    <font>
      <u/>
      <sz val="10"/>
      <color rgb="FF002060"/>
      <name val="Tahoma"/>
      <family val="2"/>
    </font>
    <font>
      <u/>
      <sz val="11"/>
      <color theme="10"/>
      <name val="Calibri"/>
      <family val="2"/>
      <scheme val="minor"/>
    </font>
    <font>
      <sz val="11"/>
      <color rgb="FF000000"/>
      <name val="Inherit"/>
    </font>
    <font>
      <b/>
      <sz val="11"/>
      <color rgb="FFFFFFFF"/>
      <name val="Calibri Light"/>
      <family val="2"/>
    </font>
    <font>
      <sz val="11"/>
      <color theme="1"/>
      <name val="Calibri"/>
      <family val="2"/>
      <scheme val="minor"/>
    </font>
    <font>
      <sz val="12"/>
      <color rgb="FF242424"/>
      <name val="Inherit"/>
    </font>
    <font>
      <sz val="10"/>
      <name val="Arial"/>
      <family val="2"/>
    </font>
    <font>
      <b/>
      <sz val="16"/>
      <color rgb="FFFFFFFF"/>
      <name val="Calibri"/>
      <family val="2"/>
      <scheme val="minor"/>
    </font>
    <font>
      <b/>
      <sz val="12"/>
      <color rgb="FFFFFFFF"/>
      <name val="Calibri"/>
      <family val="2"/>
      <scheme val="minor"/>
    </font>
    <font>
      <b/>
      <sz val="12"/>
      <color rgb="FF000000"/>
      <name val="Calibri"/>
      <family val="2"/>
      <scheme val="minor"/>
    </font>
    <font>
      <sz val="12"/>
      <color rgb="FF000000"/>
      <name val="Calibri"/>
      <family val="2"/>
      <scheme val="minor"/>
    </font>
    <font>
      <b/>
      <sz val="12"/>
      <color rgb="FF2F75B5"/>
      <name val="Calibri"/>
      <family val="2"/>
      <scheme val="minor"/>
    </font>
    <font>
      <b/>
      <sz val="12"/>
      <color rgb="FFFF0000"/>
      <name val="Calibri"/>
      <family val="2"/>
      <scheme val="minor"/>
    </font>
    <font>
      <sz val="12"/>
      <color rgb="FFFFFFFF"/>
      <name val="Calibri"/>
      <family val="2"/>
      <scheme val="minor"/>
    </font>
    <font>
      <b/>
      <sz val="14"/>
      <color rgb="FFFFFFFF"/>
      <name val="Calibri"/>
      <family val="2"/>
      <scheme val="minor"/>
    </font>
    <font>
      <sz val="11"/>
      <color theme="0"/>
      <name val="Calibri"/>
      <family val="2"/>
      <scheme val="minor"/>
    </font>
    <font>
      <b/>
      <sz val="10"/>
      <color rgb="FF000000"/>
      <name val="Aptos"/>
      <family val="2"/>
    </font>
    <font>
      <b/>
      <sz val="10"/>
      <name val="Calibri Light"/>
      <family val="2"/>
      <scheme val="major"/>
    </font>
    <font>
      <sz val="11"/>
      <color rgb="FF000000"/>
      <name val="Calibri"/>
      <family val="2"/>
    </font>
    <font>
      <b/>
      <sz val="11"/>
      <color rgb="FF000000"/>
      <name val="Calibri"/>
      <family val="2"/>
    </font>
    <font>
      <sz val="12"/>
      <color rgb="FF000000"/>
      <name val="Aptos"/>
      <family val="2"/>
    </font>
    <font>
      <b/>
      <sz val="12"/>
      <color rgb="FF000000"/>
      <name val="Aptos"/>
      <family val="2"/>
    </font>
    <font>
      <sz val="10"/>
      <color rgb="FF000000"/>
      <name val="Arial"/>
      <family val="2"/>
    </font>
    <font>
      <sz val="10"/>
      <color rgb="FF000000"/>
      <name val="Times New Roman"/>
      <family val="1"/>
    </font>
    <font>
      <sz val="11"/>
      <color rgb="FF242424"/>
      <name val="Calibri"/>
      <family val="2"/>
      <scheme val="minor"/>
    </font>
    <font>
      <b/>
      <sz val="11"/>
      <color rgb="FF242424"/>
      <name val="Calibri"/>
      <family val="2"/>
      <scheme val="minor"/>
    </font>
    <font>
      <b/>
      <sz val="11"/>
      <color rgb="FF000000"/>
      <name val="Calibri"/>
      <family val="2"/>
      <scheme val="minor"/>
    </font>
    <font>
      <sz val="11"/>
      <color rgb="FF000000"/>
      <name val="Calibri"/>
      <family val="2"/>
      <scheme val="minor"/>
    </font>
    <font>
      <b/>
      <sz val="11"/>
      <color rgb="FFEE0000"/>
      <name val="Calibri"/>
      <family val="2"/>
      <scheme val="minor"/>
    </font>
    <font>
      <sz val="8.5"/>
      <color rgb="FF242424"/>
      <name val="Verdana"/>
      <family val="2"/>
    </font>
    <font>
      <sz val="9"/>
      <color rgb="FF242424"/>
      <name val="Verdana"/>
      <family val="2"/>
    </font>
    <font>
      <sz val="8.5"/>
      <color rgb="FF000000"/>
      <name val="Verdana"/>
      <family val="2"/>
    </font>
    <font>
      <b/>
      <sz val="9"/>
      <color rgb="FF242424"/>
      <name val="Verdana"/>
      <family val="2"/>
    </font>
    <font>
      <sz val="11"/>
      <color rgb="FF242424"/>
      <name val="Aptos"/>
      <family val="2"/>
    </font>
    <font>
      <b/>
      <sz val="10"/>
      <color indexed="9"/>
      <name val="Arial"/>
      <family val="2"/>
    </font>
    <font>
      <sz val="12"/>
      <color rgb="FFFF0000"/>
      <name val="Calibri Light"/>
      <family val="2"/>
      <scheme val="major"/>
    </font>
    <font>
      <sz val="11"/>
      <color theme="1"/>
      <name val="Calibri"/>
      <family val="2"/>
      <scheme val="minor"/>
    </font>
    <font>
      <b/>
      <sz val="13"/>
      <color theme="1"/>
      <name val="Calibri"/>
      <family val="2"/>
    </font>
    <font>
      <b/>
      <sz val="13"/>
      <color rgb="FFFF0000"/>
      <name val="Calibri"/>
      <family val="2"/>
    </font>
    <font>
      <b/>
      <sz val="8"/>
      <color rgb="FFFFFFFF"/>
      <name val="Calibri"/>
      <family val="2"/>
      <scheme val="minor"/>
    </font>
    <font>
      <sz val="12"/>
      <color rgb="FF242424"/>
      <name val="Aptos"/>
      <family val="2"/>
    </font>
    <font>
      <sz val="10"/>
      <color rgb="FF000000"/>
      <name val="Calibri"/>
      <family val="2"/>
    </font>
    <font>
      <sz val="10"/>
      <color rgb="FF333333"/>
      <name val="Calibri"/>
      <family val="2"/>
    </font>
    <font>
      <sz val="11"/>
      <color rgb="FF333333"/>
      <name val="Calibri"/>
      <family val="2"/>
    </font>
    <font>
      <sz val="11"/>
      <color rgb="FF000000"/>
      <name val="Aptos Narrow"/>
      <family val="2"/>
    </font>
    <font>
      <b/>
      <sz val="11"/>
      <color rgb="FF000000"/>
      <name val="Aptos Narrow"/>
      <family val="2"/>
    </font>
    <font>
      <sz val="16"/>
      <color rgb="FFFFFFFF"/>
      <name val="Calibri Light"/>
      <family val="2"/>
    </font>
    <font>
      <sz val="8"/>
      <color rgb="FF242424"/>
      <name val="Segoe UI"/>
      <family val="2"/>
    </font>
    <font>
      <b/>
      <sz val="11"/>
      <color rgb="FFFFFFFF"/>
      <name val="Aptos Narrow"/>
      <family val="2"/>
    </font>
    <font>
      <sz val="9"/>
      <color rgb="FF242424"/>
      <name val="Segoe UI"/>
      <family val="2"/>
    </font>
    <font>
      <b/>
      <sz val="12"/>
      <color rgb="FF242424"/>
      <name val="Aptos"/>
      <family val="2"/>
    </font>
    <font>
      <b/>
      <sz val="10"/>
      <color rgb="FF242424"/>
      <name val="Inherit"/>
    </font>
    <font>
      <sz val="10"/>
      <color rgb="FF242424"/>
      <name val="Inherit"/>
    </font>
    <font>
      <sz val="10"/>
      <color rgb="FF242424"/>
      <name val="Times New Roman"/>
      <family val="1"/>
    </font>
    <font>
      <b/>
      <sz val="11"/>
      <color rgb="FF242424"/>
      <name val="Inherit"/>
    </font>
    <font>
      <b/>
      <sz val="10"/>
      <color rgb="FFFFFFFF"/>
      <name val="Calibri"/>
      <family val="2"/>
      <scheme val="minor"/>
    </font>
    <font>
      <sz val="10"/>
      <name val="Calibri"/>
      <family val="2"/>
      <scheme val="minor"/>
    </font>
    <font>
      <sz val="10"/>
      <color rgb="FFFFFFFF"/>
      <name val="Calibri"/>
      <family val="2"/>
      <scheme val="minor"/>
    </font>
    <font>
      <b/>
      <sz val="10"/>
      <name val="Calibri"/>
      <family val="2"/>
      <scheme val="minor"/>
    </font>
    <font>
      <b/>
      <sz val="11"/>
      <color theme="0"/>
      <name val="Calibri"/>
      <family val="2"/>
      <scheme val="minor"/>
    </font>
    <font>
      <u/>
      <sz val="11"/>
      <color theme="1"/>
      <name val="Calibri"/>
      <family val="2"/>
      <scheme val="minor"/>
    </font>
  </fonts>
  <fills count="41">
    <fill>
      <patternFill patternType="none"/>
    </fill>
    <fill>
      <patternFill patternType="gray125"/>
    </fill>
    <fill>
      <patternFill patternType="solid">
        <fgColor rgb="FF182A4B"/>
        <bgColor indexed="64"/>
      </patternFill>
    </fill>
    <fill>
      <patternFill patternType="solid">
        <fgColor rgb="FFF2F2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C6EFCE"/>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42"/>
        <bgColor indexed="64"/>
      </patternFill>
    </fill>
    <fill>
      <patternFill patternType="solid">
        <fgColor indexed="11"/>
        <bgColor indexed="64"/>
      </patternFill>
    </fill>
    <fill>
      <patternFill patternType="solid">
        <fgColor indexed="43"/>
        <bgColor indexed="64"/>
      </patternFill>
    </fill>
    <fill>
      <patternFill patternType="solid">
        <fgColor rgb="FFD9D9D9"/>
        <bgColor indexed="64"/>
      </patternFill>
    </fill>
    <fill>
      <patternFill patternType="solid">
        <fgColor rgb="FF182A4B"/>
        <bgColor rgb="FF000000"/>
      </patternFill>
    </fill>
    <fill>
      <patternFill patternType="solid">
        <fgColor theme="2"/>
        <bgColor indexed="64"/>
      </patternFill>
    </fill>
    <fill>
      <patternFill patternType="solid">
        <fgColor theme="0" tint="-0.34998626667073579"/>
        <bgColor indexed="64"/>
      </patternFill>
    </fill>
    <fill>
      <patternFill patternType="solid">
        <fgColor rgb="FF28467C"/>
        <bgColor indexed="64"/>
      </patternFill>
    </fill>
    <fill>
      <patternFill patternType="solid">
        <fgColor rgb="FF3C69BA"/>
        <bgColor indexed="64"/>
      </patternFill>
    </fill>
    <fill>
      <patternFill patternType="solid">
        <fgColor rgb="FF85A2D7"/>
        <bgColor indexed="64"/>
      </patternFill>
    </fill>
    <fill>
      <patternFill patternType="solid">
        <fgColor rgb="FFFFFFFF"/>
        <bgColor indexed="64"/>
      </patternFill>
    </fill>
    <fill>
      <patternFill patternType="solid">
        <fgColor theme="3"/>
        <bgColor indexed="64"/>
      </patternFill>
    </fill>
    <fill>
      <patternFill patternType="solid">
        <fgColor theme="8"/>
        <bgColor indexed="64"/>
      </patternFill>
    </fill>
    <fill>
      <patternFill patternType="solid">
        <fgColor theme="8" tint="-0.249977111117893"/>
        <bgColor indexed="64"/>
      </patternFill>
    </fill>
    <fill>
      <patternFill patternType="solid">
        <fgColor rgb="FF222B35"/>
        <bgColor rgb="FF000000"/>
      </patternFill>
    </fill>
    <fill>
      <patternFill patternType="solid">
        <fgColor rgb="FF000080"/>
        <bgColor rgb="FF000000"/>
      </patternFill>
    </fill>
    <fill>
      <patternFill patternType="solid">
        <fgColor rgb="FFFFD966"/>
        <bgColor rgb="FF000000"/>
      </patternFill>
    </fill>
    <fill>
      <patternFill patternType="solid">
        <fgColor rgb="FF2F75B5"/>
        <bgColor rgb="FF000000"/>
      </patternFill>
    </fill>
    <fill>
      <patternFill patternType="solid">
        <fgColor rgb="FFBFBFBF"/>
        <bgColor rgb="FF000000"/>
      </patternFill>
    </fill>
    <fill>
      <patternFill patternType="solid">
        <fgColor rgb="FFFFFF00"/>
        <bgColor indexed="64"/>
      </patternFill>
    </fill>
    <fill>
      <patternFill patternType="solid">
        <fgColor rgb="FFC1E4F5"/>
        <bgColor indexed="64"/>
      </patternFill>
    </fill>
    <fill>
      <patternFill patternType="solid">
        <fgColor theme="1"/>
        <bgColor indexed="64"/>
      </patternFill>
    </fill>
    <fill>
      <patternFill patternType="solid">
        <fgColor theme="7" tint="0.39997558519241921"/>
        <bgColor indexed="64"/>
      </patternFill>
    </fill>
    <fill>
      <patternFill patternType="solid">
        <fgColor theme="3" tint="-0.499984740745262"/>
        <bgColor indexed="64"/>
      </patternFill>
    </fill>
    <fill>
      <patternFill patternType="solid">
        <fgColor theme="0" tint="-0.249977111117893"/>
        <bgColor indexed="64"/>
      </patternFill>
    </fill>
    <fill>
      <patternFill patternType="solid">
        <fgColor rgb="FFFFFFFF"/>
        <bgColor rgb="FFFFFFFF"/>
      </patternFill>
    </fill>
    <fill>
      <patternFill patternType="solid">
        <fgColor rgb="FFDAE9F8"/>
        <bgColor indexed="64"/>
      </patternFill>
    </fill>
    <fill>
      <patternFill patternType="solid">
        <fgColor rgb="FF002060"/>
        <bgColor indexed="64"/>
      </patternFill>
    </fill>
    <fill>
      <patternFill patternType="solid">
        <fgColor rgb="FFE8E8E8"/>
        <bgColor indexed="64"/>
      </patternFill>
    </fill>
    <fill>
      <patternFill patternType="solid">
        <fgColor theme="9"/>
        <bgColor theme="9"/>
      </patternFill>
    </fill>
    <fill>
      <patternFill patternType="solid">
        <fgColor theme="9" tint="0.79998168889431442"/>
        <bgColor theme="9" tint="0.79998168889431442"/>
      </patternFill>
    </fill>
  </fills>
  <borders count="86">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style="medium">
        <color rgb="FFFFFFFF"/>
      </right>
      <top/>
      <bottom style="medium">
        <color rgb="FFFFFFFF"/>
      </bottom>
      <diagonal/>
    </border>
    <border>
      <left style="medium">
        <color rgb="FFFFFFFF"/>
      </left>
      <right/>
      <top/>
      <bottom/>
      <diagonal/>
    </border>
    <border>
      <left style="medium">
        <color rgb="FFFFFFFF"/>
      </left>
      <right/>
      <top/>
      <bottom style="medium">
        <color rgb="FFFFFFFF"/>
      </bottom>
      <diagonal/>
    </border>
    <border>
      <left style="double">
        <color indexed="64"/>
      </left>
      <right/>
      <top/>
      <bottom style="hair">
        <color indexed="64"/>
      </bottom>
      <diagonal/>
    </border>
    <border>
      <left style="thin">
        <color indexed="64"/>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rgb="FFFFFFFF"/>
      </left>
      <right style="medium">
        <color rgb="FFFFFFFF"/>
      </right>
      <top/>
      <bottom style="medium">
        <color rgb="FFFFFFF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medium">
        <color rgb="FFFFFFFF"/>
      </right>
      <top/>
      <bottom/>
      <diagonal/>
    </border>
    <border>
      <left style="medium">
        <color rgb="FFFFFFFF"/>
      </left>
      <right style="medium">
        <color rgb="FFFFFFFF"/>
      </right>
      <top/>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right style="thin">
        <color rgb="FFA0A0A0"/>
      </right>
      <top/>
      <bottom style="thin">
        <color rgb="FFA0A0A0"/>
      </bottom>
      <diagonal/>
    </border>
    <border>
      <left style="thin">
        <color rgb="FFA0A0A0"/>
      </left>
      <right/>
      <top style="thin">
        <color rgb="FFA0A0A0"/>
      </top>
      <bottom/>
      <diagonal/>
    </border>
    <border>
      <left/>
      <right style="thin">
        <color rgb="FFA0A0A0"/>
      </right>
      <top style="thin">
        <color rgb="FFA0A0A0"/>
      </top>
      <bottom/>
      <diagonal/>
    </border>
    <border>
      <left style="thin">
        <color rgb="FFA0A0A0"/>
      </left>
      <right/>
      <top/>
      <bottom style="thin">
        <color rgb="FFA0A0A0"/>
      </bottom>
      <diagonal/>
    </border>
    <border>
      <left style="thin">
        <color rgb="FFA0A0A0"/>
      </left>
      <right style="thin">
        <color rgb="FFA0A0A0"/>
      </right>
      <top style="thin">
        <color rgb="FFA0A0A0"/>
      </top>
      <bottom/>
      <diagonal/>
    </border>
    <border>
      <left/>
      <right style="medium">
        <color rgb="FFFFFFFF"/>
      </right>
      <top style="medium">
        <color rgb="FFFFFFFF"/>
      </top>
      <bottom/>
      <diagonal/>
    </border>
    <border>
      <left style="thin">
        <color theme="0"/>
      </left>
      <right style="thin">
        <color theme="0"/>
      </right>
      <top/>
      <bottom style="thin">
        <color theme="0"/>
      </bottom>
      <diagonal/>
    </border>
    <border>
      <left/>
      <right style="thin">
        <color rgb="FFFFFFFF"/>
      </right>
      <top style="thin">
        <color rgb="FFFFFFFF"/>
      </top>
      <bottom/>
      <diagonal/>
    </border>
    <border>
      <left/>
      <right/>
      <top style="medium">
        <color rgb="FFFFFFFF"/>
      </top>
      <bottom/>
      <diagonal/>
    </border>
    <border>
      <left style="medium">
        <color rgb="FFFFFFFF"/>
      </left>
      <right/>
      <top style="medium">
        <color theme="0"/>
      </top>
      <bottom style="medium">
        <color rgb="FFFFFFFF"/>
      </bottom>
      <diagonal/>
    </border>
    <border>
      <left style="medium">
        <color rgb="FFFFFFFF"/>
      </left>
      <right/>
      <top style="medium">
        <color theme="0"/>
      </top>
      <bottom/>
      <diagonal/>
    </border>
    <border>
      <left/>
      <right/>
      <top style="thin">
        <color rgb="FFFFFFFF"/>
      </top>
      <bottom/>
      <diagonal/>
    </border>
    <border>
      <left/>
      <right style="thin">
        <color rgb="FFFFFFFF"/>
      </right>
      <top/>
      <bottom/>
      <diagonal/>
    </border>
    <border>
      <left style="medium">
        <color rgb="FFFFFFFF"/>
      </left>
      <right style="medium">
        <color rgb="FFFFFFFF"/>
      </right>
      <top style="thin">
        <color theme="6" tint="0.39997558519241921"/>
      </top>
      <bottom style="medium">
        <color rgb="FFFFFFFF"/>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ck">
        <color rgb="FFD9D9D9"/>
      </top>
      <bottom/>
      <diagonal/>
    </border>
    <border>
      <left style="thin">
        <color rgb="FFD9D9D9"/>
      </left>
      <right/>
      <top style="thick">
        <color rgb="FFD9D9D9"/>
      </top>
      <bottom/>
      <diagonal/>
    </border>
    <border>
      <left style="thin">
        <color rgb="FFD9D9D9"/>
      </left>
      <right/>
      <top style="thin">
        <color rgb="FFD9D9D9"/>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theme="0" tint="-0.14990691854609822"/>
      </left>
      <right style="thick">
        <color theme="0" tint="-0.14993743705557422"/>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medium">
        <color indexed="64"/>
      </left>
      <right style="medium">
        <color indexed="64"/>
      </right>
      <top/>
      <bottom/>
      <diagonal/>
    </border>
    <border>
      <left/>
      <right style="medium">
        <color indexed="64"/>
      </right>
      <top/>
      <bottom/>
      <diagonal/>
    </border>
    <border>
      <left style="thick">
        <color indexed="64"/>
      </left>
      <right style="medium">
        <color indexed="64"/>
      </right>
      <top style="medium">
        <color indexed="64"/>
      </top>
      <bottom style="medium">
        <color indexed="64"/>
      </bottom>
      <diagonal/>
    </border>
    <border>
      <left style="thick">
        <color indexed="64"/>
      </left>
      <right style="medium">
        <color indexed="64"/>
      </right>
      <top/>
      <bottom style="medium">
        <color indexed="64"/>
      </bottom>
      <diagonal/>
    </border>
    <border>
      <left style="medium">
        <color indexed="64"/>
      </left>
      <right/>
      <top/>
      <bottom style="medium">
        <color rgb="FF000000"/>
      </bottom>
      <diagonal/>
    </border>
    <border>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thin">
        <color rgb="FFD9D9D9"/>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46">
    <xf numFmtId="0" fontId="0" fillId="0" borderId="0"/>
    <xf numFmtId="44" fontId="1" fillId="0" borderId="0" applyFont="0" applyFill="0" applyBorder="0" applyAlignment="0" applyProtection="0"/>
    <xf numFmtId="164" fontId="8" fillId="0" borderId="0" applyFont="0" applyFill="0" applyBorder="0" applyAlignment="0" applyProtection="0"/>
    <xf numFmtId="9" fontId="1" fillId="0" borderId="0" applyFont="0" applyFill="0" applyBorder="0" applyAlignment="0" applyProtection="0"/>
    <xf numFmtId="0" fontId="8" fillId="0" borderId="0"/>
    <xf numFmtId="165" fontId="11" fillId="7" borderId="10">
      <alignment horizontal="center" vertical="center"/>
    </xf>
    <xf numFmtId="166" fontId="10" fillId="6" borderId="0" applyNumberFormat="0" applyBorder="0" applyAlignment="0" applyProtection="0"/>
    <xf numFmtId="41" fontId="8" fillId="0" borderId="0" applyFont="0" applyFill="0" applyBorder="0" applyAlignment="0" applyProtection="0"/>
    <xf numFmtId="43" fontId="8" fillId="0" borderId="0" applyFont="0" applyFill="0" applyBorder="0" applyAlignment="0" applyProtection="0"/>
    <xf numFmtId="167" fontId="11" fillId="0" borderId="0" applyFont="0" applyFill="0" applyBorder="0" applyAlignment="0" applyProtection="0"/>
    <xf numFmtId="168" fontId="12" fillId="0" borderId="0" applyFont="0" applyFill="0" applyBorder="0" applyAlignment="0"/>
    <xf numFmtId="169" fontId="8" fillId="0" borderId="0" applyFont="0" applyFill="0" applyBorder="0" applyAlignment="0"/>
    <xf numFmtId="169" fontId="8" fillId="0" borderId="0" applyFont="0" applyFill="0" applyBorder="0" applyAlignment="0"/>
    <xf numFmtId="170" fontId="11" fillId="0" borderId="0" applyFont="0" applyFill="0" applyBorder="0" applyAlignment="0" applyProtection="0"/>
    <xf numFmtId="171" fontId="13" fillId="0" borderId="0">
      <protection locked="0"/>
    </xf>
    <xf numFmtId="15" fontId="14" fillId="0" borderId="0" applyFill="0" applyBorder="0" applyAlignment="0"/>
    <xf numFmtId="0" fontId="8" fillId="8" borderId="0" applyFont="0" applyFill="0" applyBorder="0" applyAlignment="0" applyProtection="0"/>
    <xf numFmtId="0" fontId="8" fillId="8" borderId="0" applyFont="0" applyFill="0" applyBorder="0" applyAlignment="0" applyProtection="0"/>
    <xf numFmtId="0" fontId="8" fillId="8" borderId="11" applyFont="0" applyFill="0" applyBorder="0" applyAlignment="0" applyProtection="0"/>
    <xf numFmtId="0" fontId="8" fillId="8" borderId="11" applyFont="0" applyFill="0" applyBorder="0" applyAlignment="0" applyProtection="0"/>
    <xf numFmtId="17" fontId="14" fillId="0" borderId="0" applyFill="0" applyBorder="0">
      <alignment horizontal="right"/>
    </xf>
    <xf numFmtId="172" fontId="8" fillId="0" borderId="0" applyFont="0" applyFill="0" applyBorder="0" applyAlignment="0" applyProtection="0"/>
    <xf numFmtId="172" fontId="8" fillId="0" borderId="0" applyFont="0" applyFill="0" applyBorder="0" applyAlignment="0" applyProtection="0"/>
    <xf numFmtId="173" fontId="11" fillId="0" borderId="0">
      <protection locked="0"/>
    </xf>
    <xf numFmtId="174" fontId="8" fillId="8" borderId="0" applyFont="0" applyFill="0" applyBorder="0" applyAlignment="0"/>
    <xf numFmtId="174" fontId="8" fillId="8" borderId="0" applyFont="0" applyFill="0" applyBorder="0" applyAlignment="0"/>
    <xf numFmtId="175" fontId="11" fillId="0" borderId="0">
      <protection locked="0"/>
    </xf>
    <xf numFmtId="38" fontId="12" fillId="9" borderId="0" applyNumberFormat="0" applyFont="0" applyBorder="0" applyAlignment="0">
      <protection hidden="1"/>
    </xf>
    <xf numFmtId="0" fontId="15" fillId="0" borderId="0" applyNumberFormat="0" applyFill="0" applyBorder="0" applyAlignment="0" applyProtection="0"/>
    <xf numFmtId="0" fontId="16" fillId="0" borderId="0">
      <protection locked="0"/>
    </xf>
    <xf numFmtId="0" fontId="16" fillId="0" borderId="0">
      <protection locked="0"/>
    </xf>
    <xf numFmtId="0" fontId="17" fillId="0" borderId="12" applyNumberFormat="0" applyFill="0" applyAlignment="0" applyProtection="0"/>
    <xf numFmtId="10" fontId="12" fillId="8" borderId="13" applyNumberFormat="0" applyBorder="0" applyAlignment="0" applyProtection="0"/>
    <xf numFmtId="169" fontId="12" fillId="8" borderId="0" applyFont="0" applyBorder="0" applyAlignment="0" applyProtection="0">
      <protection locked="0"/>
    </xf>
    <xf numFmtId="15" fontId="12" fillId="8" borderId="0" applyFont="0" applyBorder="0" applyAlignment="0" applyProtection="0">
      <protection locked="0"/>
    </xf>
    <xf numFmtId="174" fontId="12" fillId="8" borderId="0" applyFont="0" applyBorder="0" applyAlignment="0">
      <protection locked="0"/>
    </xf>
    <xf numFmtId="38" fontId="12" fillId="8" borderId="0">
      <protection locked="0"/>
    </xf>
    <xf numFmtId="176" fontId="12" fillId="8" borderId="0" applyFont="0" applyBorder="0" applyAlignment="0">
      <protection locked="0"/>
    </xf>
    <xf numFmtId="10" fontId="12" fillId="8" borderId="0">
      <protection locked="0"/>
    </xf>
    <xf numFmtId="177" fontId="12" fillId="8" borderId="0" applyFont="0" applyBorder="0" applyAlignment="0">
      <protection locked="0"/>
    </xf>
    <xf numFmtId="178" fontId="18" fillId="8" borderId="0" applyNumberFormat="0" applyBorder="0" applyAlignment="0">
      <protection locked="0"/>
    </xf>
    <xf numFmtId="179"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9" fillId="0" borderId="0" applyFont="0" applyFill="0" applyBorder="0" applyAlignment="0" applyProtection="0"/>
    <xf numFmtId="44" fontId="1" fillId="0" borderId="0" applyFont="0" applyFill="0" applyBorder="0" applyAlignment="0" applyProtection="0"/>
    <xf numFmtId="180" fontId="8" fillId="0" borderId="0" applyFont="0" applyFill="0" applyBorder="0" applyAlignment="0" applyProtection="0"/>
    <xf numFmtId="181" fontId="8" fillId="0" borderId="0" applyFont="0" applyFill="0" applyBorder="0" applyAlignment="0" applyProtection="0"/>
    <xf numFmtId="0" fontId="11" fillId="9" borderId="0" applyFont="0" applyBorder="0" applyAlignment="0" applyProtection="0">
      <alignment horizontal="right"/>
      <protection hidden="1"/>
    </xf>
    <xf numFmtId="37" fontId="20" fillId="0" borderId="0"/>
    <xf numFmtId="182" fontId="21" fillId="0" borderId="0"/>
    <xf numFmtId="38" fontId="12" fillId="0" borderId="0" applyFont="0" applyFill="0" applyBorder="0" applyAlignment="0"/>
    <xf numFmtId="178" fontId="8" fillId="0" borderId="0" applyFont="0" applyFill="0" applyBorder="0" applyAlignment="0"/>
    <xf numFmtId="178" fontId="8" fillId="0" borderId="0" applyFont="0" applyFill="0" applyBorder="0" applyAlignment="0"/>
    <xf numFmtId="40" fontId="12" fillId="0" borderId="0" applyFont="0" applyFill="0" applyBorder="0" applyAlignment="0"/>
    <xf numFmtId="183" fontId="12" fillId="0" borderId="0" applyFont="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166" fontId="8" fillId="0" borderId="0"/>
    <xf numFmtId="0" fontId="1" fillId="0" borderId="0"/>
    <xf numFmtId="0" fontId="8" fillId="0" borderId="0"/>
    <xf numFmtId="0" fontId="1"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8" fontId="14" fillId="0" borderId="0" applyNumberFormat="0" applyFill="0" applyBorder="0" applyAlignment="0" applyProtection="0"/>
    <xf numFmtId="175" fontId="11"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xf numFmtId="0" fontId="8" fillId="0" borderId="0"/>
    <xf numFmtId="0" fontId="8" fillId="0" borderId="0" applyFont="0" applyFill="0" applyBorder="0" applyAlignment="0"/>
    <xf numFmtId="0" fontId="8" fillId="0" borderId="0" applyFont="0" applyFill="0" applyBorder="0" applyAlignment="0"/>
    <xf numFmtId="176" fontId="12" fillId="0" borderId="0" applyFont="0" applyFill="0" applyBorder="0" applyAlignment="0"/>
    <xf numFmtId="0" fontId="8" fillId="0" borderId="0" applyFont="0" applyFill="0" applyBorder="0" applyAlignment="0"/>
    <xf numFmtId="0" fontId="8" fillId="0" borderId="0" applyFont="0" applyFill="0" applyBorder="0" applyAlignment="0"/>
    <xf numFmtId="9"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8" fontId="22" fillId="0" borderId="0" applyNumberFormat="0" applyFill="0" applyBorder="0" applyAlignment="0" applyProtection="0">
      <alignment horizontal="left"/>
    </xf>
    <xf numFmtId="178" fontId="12" fillId="10" borderId="0" applyNumberFormat="0" applyFont="0" applyBorder="0" applyAlignment="0">
      <protection hidden="1"/>
    </xf>
    <xf numFmtId="178" fontId="8" fillId="11" borderId="0" applyNumberFormat="0" applyFont="0" applyBorder="0" applyAlignment="0" applyProtection="0"/>
    <xf numFmtId="178" fontId="8" fillId="11" borderId="0" applyNumberFormat="0" applyFont="0" applyBorder="0" applyAlignment="0" applyProtection="0"/>
    <xf numFmtId="185" fontId="11" fillId="0" borderId="0" applyFill="0" applyBorder="0" applyAlignment="0" applyProtection="0">
      <alignment horizontal="right"/>
    </xf>
    <xf numFmtId="37" fontId="12" fillId="12" borderId="0" applyNumberFormat="0" applyBorder="0" applyAlignment="0" applyProtection="0"/>
    <xf numFmtId="37" fontId="12" fillId="0" borderId="0"/>
    <xf numFmtId="37" fontId="12" fillId="0" borderId="0"/>
    <xf numFmtId="37" fontId="12" fillId="9" borderId="0" applyNumberFormat="0" applyBorder="0" applyAlignment="0" applyProtection="0"/>
    <xf numFmtId="3" fontId="23" fillId="0" borderId="12" applyProtection="0"/>
    <xf numFmtId="43" fontId="1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178" fontId="24"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9"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0" fontId="25" fillId="0" borderId="0"/>
    <xf numFmtId="0" fontId="34" fillId="0" borderId="0" applyNumberFormat="0" applyFill="0" applyBorder="0" applyAlignment="0" applyProtection="0"/>
    <xf numFmtId="0" fontId="37" fillId="0" borderId="0"/>
    <xf numFmtId="0" fontId="39" fillId="0" borderId="0"/>
    <xf numFmtId="164" fontId="39" fillId="0" borderId="0" applyFont="0" applyFill="0" applyBorder="0" applyAlignment="0" applyProtection="0"/>
    <xf numFmtId="0" fontId="69" fillId="0" borderId="0"/>
    <xf numFmtId="0" fontId="69" fillId="0" borderId="0"/>
  </cellStyleXfs>
  <cellXfs count="384">
    <xf numFmtId="0" fontId="0" fillId="0" borderId="0" xfId="0"/>
    <xf numFmtId="0" fontId="3" fillId="0" borderId="0" xfId="0" applyFont="1"/>
    <xf numFmtId="6" fontId="4" fillId="3" borderId="1" xfId="1" applyNumberFormat="1" applyFont="1" applyFill="1" applyBorder="1" applyAlignment="1">
      <alignment horizontal="center" vertical="center" wrapText="1"/>
    </xf>
    <xf numFmtId="49" fontId="4" fillId="3" borderId="1" xfId="1" applyNumberFormat="1" applyFont="1" applyFill="1" applyBorder="1" applyAlignment="1">
      <alignment horizontal="center" vertical="center" wrapText="1"/>
    </xf>
    <xf numFmtId="8" fontId="4" fillId="3" borderId="1" xfId="1" applyNumberFormat="1" applyFont="1" applyFill="1" applyBorder="1" applyAlignment="1">
      <alignment horizontal="center" vertical="center" wrapText="1"/>
    </xf>
    <xf numFmtId="44" fontId="0" fillId="0" borderId="0" xfId="1" applyFont="1"/>
    <xf numFmtId="2" fontId="0" fillId="0" borderId="0" xfId="0" applyNumberFormat="1"/>
    <xf numFmtId="8" fontId="0" fillId="0" borderId="0" xfId="0" applyNumberFormat="1"/>
    <xf numFmtId="0" fontId="0" fillId="0" borderId="0" xfId="0" applyAlignment="1">
      <alignment horizontal="center" vertical="center"/>
    </xf>
    <xf numFmtId="8" fontId="4" fillId="3" borderId="0" xfId="1" applyNumberFormat="1" applyFont="1" applyFill="1" applyBorder="1" applyAlignment="1">
      <alignment horizontal="center" vertical="center" wrapText="1"/>
    </xf>
    <xf numFmtId="8" fontId="4" fillId="4" borderId="1" xfId="1" applyNumberFormat="1" applyFont="1" applyFill="1" applyBorder="1" applyAlignment="1">
      <alignment horizontal="center" vertical="center" wrapText="1"/>
    </xf>
    <xf numFmtId="2" fontId="4" fillId="4" borderId="1" xfId="1" applyNumberFormat="1" applyFont="1" applyFill="1" applyBorder="1" applyAlignment="1">
      <alignment horizontal="center" vertical="center" wrapText="1"/>
    </xf>
    <xf numFmtId="8" fontId="4" fillId="3" borderId="4" xfId="1" applyNumberFormat="1" applyFont="1" applyFill="1" applyBorder="1" applyAlignment="1">
      <alignment horizontal="center" vertical="center" wrapText="1"/>
    </xf>
    <xf numFmtId="8" fontId="4" fillId="3" borderId="14" xfId="1" applyNumberFormat="1" applyFont="1" applyFill="1" applyBorder="1" applyAlignment="1">
      <alignment horizontal="center" vertical="center" wrapText="1"/>
    </xf>
    <xf numFmtId="0" fontId="2" fillId="2" borderId="3" xfId="0" applyFont="1" applyFill="1" applyBorder="1" applyAlignment="1">
      <alignment horizontal="center" vertical="center" wrapText="1" readingOrder="1"/>
    </xf>
    <xf numFmtId="6" fontId="4" fillId="3" borderId="14" xfId="1" applyNumberFormat="1" applyFont="1" applyFill="1" applyBorder="1" applyAlignment="1">
      <alignment horizontal="center" vertical="center" wrapText="1"/>
    </xf>
    <xf numFmtId="0" fontId="2" fillId="2" borderId="15" xfId="0" applyFont="1" applyFill="1" applyBorder="1" applyAlignment="1">
      <alignment horizontal="center" vertical="center" wrapText="1" readingOrder="1"/>
    </xf>
    <xf numFmtId="6" fontId="4" fillId="4" borderId="14" xfId="1" applyNumberFormat="1" applyFont="1" applyFill="1" applyBorder="1" applyAlignment="1">
      <alignment horizontal="center" vertical="center" wrapText="1"/>
    </xf>
    <xf numFmtId="2" fontId="4" fillId="4" borderId="14" xfId="1" applyNumberFormat="1" applyFont="1" applyFill="1" applyBorder="1" applyAlignment="1">
      <alignment horizontal="center" vertical="center" wrapText="1"/>
    </xf>
    <xf numFmtId="8" fontId="4" fillId="4" borderId="14" xfId="1" applyNumberFormat="1" applyFont="1" applyFill="1" applyBorder="1" applyAlignment="1">
      <alignment horizontal="center" vertical="center" wrapText="1"/>
    </xf>
    <xf numFmtId="6" fontId="4" fillId="4" borderId="1" xfId="1" applyNumberFormat="1" applyFont="1" applyFill="1" applyBorder="1" applyAlignment="1">
      <alignment horizontal="center" vertical="center" wrapText="1"/>
    </xf>
    <xf numFmtId="14" fontId="0" fillId="0" borderId="0" xfId="0" applyNumberFormat="1"/>
    <xf numFmtId="166" fontId="4" fillId="3" borderId="14" xfId="1" applyNumberFormat="1" applyFont="1" applyFill="1" applyBorder="1" applyAlignment="1">
      <alignment horizontal="center" vertical="center" wrapText="1"/>
    </xf>
    <xf numFmtId="0" fontId="0" fillId="0" borderId="0" xfId="0" applyAlignment="1">
      <alignment horizontal="center"/>
    </xf>
    <xf numFmtId="8" fontId="0" fillId="0" borderId="0" xfId="0" applyNumberFormat="1" applyAlignment="1">
      <alignment horizontal="center" vertical="center"/>
    </xf>
    <xf numFmtId="2" fontId="4" fillId="4" borderId="4" xfId="1" applyNumberFormat="1" applyFont="1" applyFill="1" applyBorder="1" applyAlignment="1">
      <alignment horizontal="center" vertical="center" wrapText="1"/>
    </xf>
    <xf numFmtId="6" fontId="4" fillId="3" borderId="3" xfId="1" applyNumberFormat="1" applyFont="1" applyFill="1" applyBorder="1" applyAlignment="1">
      <alignment horizontal="center" vertical="center" wrapText="1"/>
    </xf>
    <xf numFmtId="8" fontId="4" fillId="3" borderId="6" xfId="1" applyNumberFormat="1" applyFont="1" applyFill="1" applyBorder="1" applyAlignment="1">
      <alignment horizontal="center" vertical="center" wrapText="1"/>
    </xf>
    <xf numFmtId="6" fontId="4" fillId="3" borderId="5" xfId="1" applyNumberFormat="1" applyFont="1" applyFill="1" applyBorder="1" applyAlignment="1">
      <alignment horizontal="center" vertical="center" wrapText="1"/>
    </xf>
    <xf numFmtId="6" fontId="4" fillId="4" borderId="4" xfId="1" applyNumberFormat="1" applyFont="1" applyFill="1" applyBorder="1" applyAlignment="1">
      <alignment horizontal="center" vertical="center" wrapText="1"/>
    </xf>
    <xf numFmtId="8" fontId="4" fillId="3" borderId="19" xfId="1" applyNumberFormat="1" applyFont="1" applyFill="1" applyBorder="1" applyAlignment="1">
      <alignment horizontal="center" vertical="center" wrapText="1"/>
    </xf>
    <xf numFmtId="166" fontId="4" fillId="3" borderId="19" xfId="1" applyNumberFormat="1" applyFont="1" applyFill="1" applyBorder="1" applyAlignment="1">
      <alignment horizontal="center" vertical="center" wrapText="1"/>
    </xf>
    <xf numFmtId="6" fontId="4" fillId="4" borderId="15" xfId="1" applyNumberFormat="1" applyFont="1" applyFill="1" applyBorder="1" applyAlignment="1">
      <alignment horizontal="center" vertical="center" wrapText="1"/>
    </xf>
    <xf numFmtId="2" fontId="4" fillId="4" borderId="15" xfId="1" applyNumberFormat="1" applyFont="1" applyFill="1" applyBorder="1" applyAlignment="1">
      <alignment horizontal="center" vertical="center" wrapText="1"/>
    </xf>
    <xf numFmtId="8" fontId="4" fillId="3" borderId="15" xfId="1" applyNumberFormat="1" applyFont="1" applyFill="1" applyBorder="1" applyAlignment="1">
      <alignment horizontal="center" vertical="center" wrapText="1"/>
    </xf>
    <xf numFmtId="166" fontId="4" fillId="3" borderId="15" xfId="1" applyNumberFormat="1" applyFont="1" applyFill="1" applyBorder="1" applyAlignment="1">
      <alignment horizontal="center" vertical="center" wrapText="1"/>
    </xf>
    <xf numFmtId="16" fontId="0" fillId="0" borderId="0" xfId="0" applyNumberFormat="1"/>
    <xf numFmtId="9" fontId="0" fillId="0" borderId="0" xfId="3" applyFont="1"/>
    <xf numFmtId="13" fontId="4" fillId="3" borderId="1" xfId="1" applyNumberFormat="1" applyFont="1" applyFill="1" applyBorder="1" applyAlignment="1">
      <alignment horizontal="center" vertical="center" wrapText="1"/>
    </xf>
    <xf numFmtId="6" fontId="2" fillId="2" borderId="15" xfId="0" applyNumberFormat="1" applyFont="1" applyFill="1" applyBorder="1" applyAlignment="1">
      <alignment horizontal="center" vertical="center" wrapText="1" readingOrder="1"/>
    </xf>
    <xf numFmtId="186" fontId="0" fillId="0" borderId="0" xfId="0" applyNumberFormat="1"/>
    <xf numFmtId="186" fontId="4" fillId="4" borderId="14" xfId="1" applyNumberFormat="1" applyFont="1" applyFill="1" applyBorder="1" applyAlignment="1">
      <alignment horizontal="center" vertical="center" wrapText="1"/>
    </xf>
    <xf numFmtId="10" fontId="4" fillId="3" borderId="14" xfId="3" applyNumberFormat="1" applyFont="1" applyFill="1" applyBorder="1" applyAlignment="1">
      <alignment horizontal="center" vertical="center" wrapText="1"/>
    </xf>
    <xf numFmtId="186" fontId="4" fillId="4" borderId="1" xfId="1" applyNumberFormat="1" applyFont="1" applyFill="1" applyBorder="1" applyAlignment="1">
      <alignment horizontal="center" vertical="center" wrapText="1"/>
    </xf>
    <xf numFmtId="186" fontId="4" fillId="4" borderId="15" xfId="1" applyNumberFormat="1" applyFont="1" applyFill="1" applyBorder="1" applyAlignment="1">
      <alignment horizontal="center" vertical="center" wrapText="1"/>
    </xf>
    <xf numFmtId="12" fontId="4" fillId="3" borderId="14" xfId="1" applyNumberFormat="1" applyFont="1" applyFill="1" applyBorder="1" applyAlignment="1">
      <alignment horizontal="center" vertical="center" wrapText="1"/>
    </xf>
    <xf numFmtId="8" fontId="9" fillId="3" borderId="14" xfId="1" applyNumberFormat="1" applyFont="1" applyFill="1" applyBorder="1" applyAlignment="1">
      <alignment horizontal="center" vertical="center" wrapText="1"/>
    </xf>
    <xf numFmtId="186" fontId="4" fillId="3" borderId="14" xfId="1" applyNumberFormat="1" applyFont="1" applyFill="1" applyBorder="1" applyAlignment="1">
      <alignment horizontal="center" vertical="center" wrapText="1"/>
    </xf>
    <xf numFmtId="8" fontId="6" fillId="0" borderId="0" xfId="0" applyNumberFormat="1" applyFont="1"/>
    <xf numFmtId="186" fontId="9" fillId="5" borderId="14" xfId="1" applyNumberFormat="1" applyFont="1" applyFill="1" applyBorder="1" applyAlignment="1">
      <alignment horizontal="center" vertical="center" wrapText="1"/>
    </xf>
    <xf numFmtId="8" fontId="4" fillId="3" borderId="20" xfId="1" applyNumberFormat="1" applyFont="1" applyFill="1" applyBorder="1" applyAlignment="1">
      <alignment horizontal="center" vertical="center" wrapText="1"/>
    </xf>
    <xf numFmtId="0" fontId="7" fillId="2" borderId="15" xfId="0" applyFont="1" applyFill="1" applyBorder="1" applyAlignment="1">
      <alignment horizontal="center" vertical="center" wrapText="1" readingOrder="1"/>
    </xf>
    <xf numFmtId="4" fontId="26" fillId="4" borderId="20" xfId="0" applyNumberFormat="1" applyFont="1" applyFill="1" applyBorder="1" applyAlignment="1">
      <alignment horizontal="center" vertical="center" wrapText="1"/>
    </xf>
    <xf numFmtId="187" fontId="26" fillId="4" borderId="20" xfId="0" applyNumberFormat="1" applyFont="1" applyFill="1" applyBorder="1" applyAlignment="1">
      <alignment horizontal="center" vertical="center" wrapText="1"/>
    </xf>
    <xf numFmtId="188" fontId="26" fillId="4" borderId="20" xfId="0" applyNumberFormat="1" applyFont="1" applyFill="1" applyBorder="1" applyAlignment="1">
      <alignment horizontal="center" vertical="center" wrapText="1"/>
    </xf>
    <xf numFmtId="10" fontId="26" fillId="4" borderId="20" xfId="3" applyNumberFormat="1" applyFont="1" applyFill="1" applyBorder="1" applyAlignment="1">
      <alignment horizontal="center" vertical="center" wrapText="1"/>
    </xf>
    <xf numFmtId="8" fontId="26" fillId="4" borderId="20" xfId="0" applyNumberFormat="1" applyFont="1" applyFill="1" applyBorder="1" applyAlignment="1">
      <alignment horizontal="center" vertical="center" wrapText="1"/>
    </xf>
    <xf numFmtId="186" fontId="26" fillId="4" borderId="20" xfId="0" applyNumberFormat="1" applyFont="1" applyFill="1" applyBorder="1" applyAlignment="1">
      <alignment horizontal="center" vertical="center" wrapText="1"/>
    </xf>
    <xf numFmtId="187" fontId="0" fillId="0" borderId="0" xfId="0" applyNumberFormat="1" applyAlignment="1">
      <alignment horizontal="center" vertical="center"/>
    </xf>
    <xf numFmtId="0" fontId="2" fillId="17" borderId="6" xfId="0" applyFont="1" applyFill="1" applyBorder="1" applyAlignment="1">
      <alignment horizontal="center" vertical="center" wrapText="1" readingOrder="1"/>
    </xf>
    <xf numFmtId="0" fontId="2" fillId="17" borderId="15" xfId="0" applyFont="1" applyFill="1" applyBorder="1" applyAlignment="1">
      <alignment horizontal="center" vertical="center" wrapText="1" readingOrder="1"/>
    </xf>
    <xf numFmtId="0" fontId="2" fillId="17" borderId="17" xfId="0" applyFont="1" applyFill="1" applyBorder="1" applyAlignment="1">
      <alignment horizontal="center" vertical="center" wrapText="1" readingOrder="1"/>
    </xf>
    <xf numFmtId="0" fontId="2" fillId="18" borderId="1" xfId="0" applyFont="1" applyFill="1" applyBorder="1" applyAlignment="1">
      <alignment horizontal="center" vertical="center" wrapText="1" readingOrder="1"/>
    </xf>
    <xf numFmtId="8" fontId="2" fillId="18" borderId="1" xfId="0" applyNumberFormat="1" applyFont="1" applyFill="1" applyBorder="1" applyAlignment="1">
      <alignment horizontal="center" vertical="center" wrapText="1" readingOrder="1"/>
    </xf>
    <xf numFmtId="0" fontId="2" fillId="19" borderId="1" xfId="0" applyFont="1" applyFill="1" applyBorder="1" applyAlignment="1">
      <alignment horizontal="center" vertical="center" wrapText="1" readingOrder="1"/>
    </xf>
    <xf numFmtId="186" fontId="26" fillId="4" borderId="20" xfId="1" applyNumberFormat="1" applyFont="1" applyFill="1" applyBorder="1" applyAlignment="1">
      <alignment horizontal="center" vertical="center" wrapText="1"/>
    </xf>
    <xf numFmtId="6" fontId="4" fillId="3" borderId="2" xfId="1" applyNumberFormat="1" applyFont="1" applyFill="1" applyBorder="1" applyAlignment="1">
      <alignment horizontal="center" vertical="center" wrapText="1"/>
    </xf>
    <xf numFmtId="4" fontId="26" fillId="4" borderId="22" xfId="0" applyNumberFormat="1" applyFont="1" applyFill="1" applyBorder="1" applyAlignment="1">
      <alignment horizontal="center" vertical="center" wrapText="1"/>
    </xf>
    <xf numFmtId="8" fontId="26" fillId="4" borderId="21" xfId="0" applyNumberFormat="1" applyFont="1" applyFill="1" applyBorder="1" applyAlignment="1">
      <alignment horizontal="center" vertical="center" wrapText="1"/>
    </xf>
    <xf numFmtId="0" fontId="27" fillId="15" borderId="24" xfId="0" applyFont="1" applyFill="1" applyBorder="1" applyAlignment="1">
      <alignment horizontal="center" vertical="center" wrapText="1"/>
    </xf>
    <xf numFmtId="8" fontId="27" fillId="15" borderId="23" xfId="0" applyNumberFormat="1" applyFont="1" applyFill="1" applyBorder="1" applyAlignment="1">
      <alignment horizontal="center" vertical="center" wrapText="1"/>
    </xf>
    <xf numFmtId="0" fontId="27" fillId="15" borderId="23" xfId="0" applyFont="1" applyFill="1" applyBorder="1" applyAlignment="1">
      <alignment horizontal="center" vertical="center" wrapText="1"/>
    </xf>
    <xf numFmtId="187" fontId="27" fillId="15" borderId="23" xfId="0" applyNumberFormat="1" applyFont="1" applyFill="1" applyBorder="1" applyAlignment="1">
      <alignment horizontal="center" vertical="center" wrapText="1"/>
    </xf>
    <xf numFmtId="8" fontId="27" fillId="15" borderId="27" xfId="0" applyNumberFormat="1" applyFont="1" applyFill="1" applyBorder="1" applyAlignment="1">
      <alignment horizontal="center" vertical="center" wrapText="1"/>
    </xf>
    <xf numFmtId="4" fontId="26" fillId="4" borderId="26" xfId="0" applyNumberFormat="1" applyFont="1" applyFill="1" applyBorder="1" applyAlignment="1">
      <alignment horizontal="center" vertical="center" wrapText="1"/>
    </xf>
    <xf numFmtId="4" fontId="26" fillId="4" borderId="28" xfId="0" applyNumberFormat="1" applyFont="1" applyFill="1" applyBorder="1" applyAlignment="1">
      <alignment horizontal="center" vertical="center" wrapText="1"/>
    </xf>
    <xf numFmtId="187" fontId="26" fillId="4" borderId="28" xfId="0" applyNumberFormat="1" applyFont="1" applyFill="1" applyBorder="1" applyAlignment="1">
      <alignment horizontal="center" vertical="center" wrapText="1"/>
    </xf>
    <xf numFmtId="186" fontId="26" fillId="4" borderId="28" xfId="1" applyNumberFormat="1" applyFont="1" applyFill="1" applyBorder="1" applyAlignment="1">
      <alignment horizontal="center" vertical="center" wrapText="1"/>
    </xf>
    <xf numFmtId="10" fontId="26" fillId="4" borderId="28" xfId="3" applyNumberFormat="1" applyFont="1" applyFill="1" applyBorder="1" applyAlignment="1">
      <alignment horizontal="center" vertical="center" wrapText="1"/>
    </xf>
    <xf numFmtId="8" fontId="26" fillId="4" borderId="25" xfId="0" applyNumberFormat="1" applyFont="1" applyFill="1" applyBorder="1" applyAlignment="1">
      <alignment horizontal="center" vertical="center" wrapText="1"/>
    </xf>
    <xf numFmtId="0" fontId="26" fillId="4" borderId="26" xfId="0" applyFont="1" applyFill="1" applyBorder="1" applyAlignment="1">
      <alignment horizontal="center" vertical="center" wrapText="1"/>
    </xf>
    <xf numFmtId="188" fontId="26" fillId="4" borderId="21" xfId="0" applyNumberFormat="1" applyFont="1" applyFill="1" applyBorder="1" applyAlignment="1">
      <alignment horizontal="center" vertical="center" wrapText="1"/>
    </xf>
    <xf numFmtId="0" fontId="27" fillId="15" borderId="27" xfId="0" applyFont="1" applyFill="1" applyBorder="1" applyAlignment="1">
      <alignment horizontal="center" vertical="center" wrapText="1"/>
    </xf>
    <xf numFmtId="8" fontId="26" fillId="4" borderId="28" xfId="0" applyNumberFormat="1" applyFont="1" applyFill="1" applyBorder="1" applyAlignment="1">
      <alignment horizontal="center" vertical="center" wrapText="1"/>
    </xf>
    <xf numFmtId="188" fontId="26" fillId="4" borderId="28" xfId="0" applyNumberFormat="1" applyFont="1" applyFill="1" applyBorder="1" applyAlignment="1">
      <alignment horizontal="center" vertical="center" wrapText="1"/>
    </xf>
    <xf numFmtId="188" fontId="26" fillId="4" borderId="25" xfId="0" applyNumberFormat="1" applyFont="1" applyFill="1" applyBorder="1" applyAlignment="1">
      <alignment horizontal="center" vertical="center" wrapText="1"/>
    </xf>
    <xf numFmtId="16" fontId="2" fillId="2" borderId="6" xfId="0" applyNumberFormat="1" applyFont="1" applyFill="1" applyBorder="1" applyAlignment="1">
      <alignment horizontal="center" vertical="center" wrapText="1" readingOrder="1"/>
    </xf>
    <xf numFmtId="16" fontId="4" fillId="3" borderId="5" xfId="1" applyNumberFormat="1" applyFont="1" applyFill="1" applyBorder="1" applyAlignment="1">
      <alignment horizontal="center" vertical="center" wrapText="1"/>
    </xf>
    <xf numFmtId="49" fontId="4" fillId="3" borderId="3" xfId="1" applyNumberFormat="1" applyFont="1" applyFill="1" applyBorder="1" applyAlignment="1">
      <alignment horizontal="center" vertical="center" wrapText="1"/>
    </xf>
    <xf numFmtId="16" fontId="4" fillId="3" borderId="29" xfId="1" applyNumberFormat="1" applyFont="1" applyFill="1" applyBorder="1" applyAlignment="1">
      <alignment horizontal="center" vertical="center" wrapText="1"/>
    </xf>
    <xf numFmtId="6" fontId="4" fillId="3" borderId="4" xfId="1" applyNumberFormat="1" applyFont="1" applyFill="1" applyBorder="1" applyAlignment="1">
      <alignment horizontal="center" vertical="center" wrapText="1"/>
    </xf>
    <xf numFmtId="6" fontId="4" fillId="3" borderId="19" xfId="1" applyNumberFormat="1" applyFont="1" applyFill="1" applyBorder="1" applyAlignment="1">
      <alignment horizontal="center" vertical="center" wrapText="1"/>
    </xf>
    <xf numFmtId="2" fontId="4" fillId="4" borderId="19" xfId="1" applyNumberFormat="1" applyFont="1" applyFill="1" applyBorder="1" applyAlignment="1">
      <alignment horizontal="center" vertical="center" wrapText="1"/>
    </xf>
    <xf numFmtId="8" fontId="4" fillId="4" borderId="19" xfId="1" applyNumberFormat="1" applyFont="1" applyFill="1" applyBorder="1" applyAlignment="1">
      <alignment horizontal="center" vertical="center" wrapText="1"/>
    </xf>
    <xf numFmtId="186" fontId="4" fillId="4" borderId="19" xfId="1" applyNumberFormat="1" applyFont="1" applyFill="1" applyBorder="1" applyAlignment="1">
      <alignment horizontal="center" vertical="center" wrapText="1"/>
    </xf>
    <xf numFmtId="186" fontId="4" fillId="4" borderId="4" xfId="1" applyNumberFormat="1" applyFont="1" applyFill="1" applyBorder="1" applyAlignment="1">
      <alignment horizontal="center" vertical="center" wrapText="1"/>
    </xf>
    <xf numFmtId="49" fontId="4" fillId="3" borderId="4" xfId="1" applyNumberFormat="1" applyFont="1" applyFill="1" applyBorder="1" applyAlignment="1">
      <alignment horizontal="center" vertical="center" wrapText="1"/>
    </xf>
    <xf numFmtId="49" fontId="4" fillId="3" borderId="2" xfId="1" applyNumberFormat="1" applyFont="1" applyFill="1" applyBorder="1" applyAlignment="1">
      <alignment horizontal="center" vertical="center" wrapText="1"/>
    </xf>
    <xf numFmtId="0" fontId="28" fillId="4" borderId="26" xfId="0" applyFont="1" applyFill="1" applyBorder="1" applyAlignment="1">
      <alignment horizontal="center" vertical="center" wrapText="1"/>
    </xf>
    <xf numFmtId="0" fontId="28" fillId="4" borderId="28" xfId="0" applyFont="1" applyFill="1" applyBorder="1" applyAlignment="1">
      <alignment horizontal="center" vertical="center" wrapText="1"/>
    </xf>
    <xf numFmtId="188" fontId="26" fillId="4" borderId="23" xfId="0" applyNumberFormat="1" applyFont="1" applyFill="1" applyBorder="1" applyAlignment="1">
      <alignment horizontal="center" vertical="center" wrapText="1"/>
    </xf>
    <xf numFmtId="166" fontId="27" fillId="15" borderId="23" xfId="0" applyNumberFormat="1" applyFont="1" applyFill="1" applyBorder="1" applyAlignment="1">
      <alignment horizontal="center" vertical="center" wrapText="1"/>
    </xf>
    <xf numFmtId="166" fontId="26" fillId="4" borderId="20" xfId="0" applyNumberFormat="1" applyFont="1" applyFill="1" applyBorder="1" applyAlignment="1">
      <alignment horizontal="center" vertical="center" wrapText="1"/>
    </xf>
    <xf numFmtId="166" fontId="26" fillId="4" borderId="28" xfId="0" applyNumberFormat="1" applyFont="1" applyFill="1" applyBorder="1" applyAlignment="1">
      <alignment horizontal="center" vertical="center" wrapText="1"/>
    </xf>
    <xf numFmtId="166" fontId="28" fillId="4" borderId="28" xfId="0" applyNumberFormat="1" applyFont="1" applyFill="1" applyBorder="1" applyAlignment="1">
      <alignment horizontal="center" vertical="center" wrapText="1"/>
    </xf>
    <xf numFmtId="166" fontId="0" fillId="0" borderId="0" xfId="0" applyNumberFormat="1"/>
    <xf numFmtId="166" fontId="26" fillId="4" borderId="22" xfId="0" applyNumberFormat="1" applyFont="1" applyFill="1" applyBorder="1" applyAlignment="1">
      <alignment horizontal="center" vertical="center" wrapText="1"/>
    </xf>
    <xf numFmtId="166" fontId="26" fillId="4" borderId="26" xfId="0" applyNumberFormat="1" applyFont="1" applyFill="1" applyBorder="1" applyAlignment="1">
      <alignment horizontal="center" vertical="center" wrapText="1"/>
    </xf>
    <xf numFmtId="186" fontId="26" fillId="4" borderId="28" xfId="3" applyNumberFormat="1" applyFont="1" applyFill="1" applyBorder="1" applyAlignment="1">
      <alignment horizontal="center" vertical="center" wrapText="1"/>
    </xf>
    <xf numFmtId="8" fontId="26" fillId="4" borderId="28" xfId="3" applyNumberFormat="1" applyFont="1" applyFill="1" applyBorder="1" applyAlignment="1">
      <alignment horizontal="center" vertical="center" wrapText="1"/>
    </xf>
    <xf numFmtId="0" fontId="0" fillId="0" borderId="0" xfId="0" applyAlignment="1">
      <alignment wrapText="1"/>
    </xf>
    <xf numFmtId="0" fontId="29" fillId="14" borderId="1" xfId="0" applyFont="1" applyFill="1" applyBorder="1" applyAlignment="1">
      <alignment horizontal="center" vertical="center" wrapText="1" readingOrder="1"/>
    </xf>
    <xf numFmtId="166" fontId="29" fillId="14" borderId="1" xfId="0" applyNumberFormat="1" applyFont="1" applyFill="1" applyBorder="1" applyAlignment="1">
      <alignment horizontal="center" vertical="center" wrapText="1" readingOrder="1"/>
    </xf>
    <xf numFmtId="14" fontId="30" fillId="13" borderId="14" xfId="0" applyNumberFormat="1" applyFont="1" applyFill="1" applyBorder="1" applyAlignment="1">
      <alignment horizontal="center" vertical="center" wrapText="1"/>
    </xf>
    <xf numFmtId="166" fontId="30" fillId="13" borderId="14" xfId="0" applyNumberFormat="1" applyFont="1" applyFill="1" applyBorder="1" applyAlignment="1">
      <alignment horizontal="center" vertical="center" wrapText="1"/>
    </xf>
    <xf numFmtId="2" fontId="30" fillId="13" borderId="14" xfId="0" applyNumberFormat="1" applyFont="1" applyFill="1" applyBorder="1" applyAlignment="1">
      <alignment horizontal="center" vertical="center" wrapText="1"/>
    </xf>
    <xf numFmtId="186" fontId="30" fillId="13" borderId="14" xfId="0" applyNumberFormat="1" applyFont="1" applyFill="1" applyBorder="1" applyAlignment="1">
      <alignment horizontal="center" vertical="center" wrapText="1"/>
    </xf>
    <xf numFmtId="44" fontId="30" fillId="13" borderId="14" xfId="1" applyFont="1" applyFill="1" applyBorder="1" applyAlignment="1">
      <alignment horizontal="center" vertical="center" wrapText="1"/>
    </xf>
    <xf numFmtId="0" fontId="32" fillId="0" borderId="0" xfId="0" applyFont="1"/>
    <xf numFmtId="0" fontId="30" fillId="13" borderId="7" xfId="0" applyFont="1" applyFill="1" applyBorder="1" applyAlignment="1">
      <alignment horizontal="center" vertical="center" wrapText="1"/>
    </xf>
    <xf numFmtId="44" fontId="30" fillId="13" borderId="9" xfId="1" applyFont="1" applyFill="1" applyBorder="1" applyAlignment="1">
      <alignment horizontal="center" vertical="center" wrapText="1"/>
    </xf>
    <xf numFmtId="0" fontId="29" fillId="14" borderId="7" xfId="0" applyFont="1" applyFill="1" applyBorder="1" applyAlignment="1">
      <alignment horizontal="center" vertical="center" wrapText="1" readingOrder="1"/>
    </xf>
    <xf numFmtId="0" fontId="29" fillId="14" borderId="14" xfId="0" applyFont="1" applyFill="1" applyBorder="1" applyAlignment="1">
      <alignment horizontal="center" vertical="center" wrapText="1" readingOrder="1"/>
    </xf>
    <xf numFmtId="186" fontId="30" fillId="13" borderId="9" xfId="1" applyNumberFormat="1" applyFont="1" applyFill="1" applyBorder="1" applyAlignment="1">
      <alignment horizontal="center" vertical="center" wrapText="1"/>
    </xf>
    <xf numFmtId="2" fontId="29" fillId="14" borderId="14" xfId="0" applyNumberFormat="1" applyFont="1" applyFill="1" applyBorder="1" applyAlignment="1">
      <alignment horizontal="center" vertical="center" wrapText="1" readingOrder="1"/>
    </xf>
    <xf numFmtId="186" fontId="29" fillId="14" borderId="14" xfId="0" applyNumberFormat="1" applyFont="1" applyFill="1" applyBorder="1" applyAlignment="1">
      <alignment horizontal="center" vertical="center" wrapText="1" readingOrder="1"/>
    </xf>
    <xf numFmtId="44" fontId="29" fillId="14" borderId="14" xfId="1" applyFont="1" applyFill="1" applyBorder="1" applyAlignment="1">
      <alignment horizontal="center" vertical="center" wrapText="1" readingOrder="1"/>
    </xf>
    <xf numFmtId="44" fontId="0" fillId="0" borderId="0" xfId="1" applyFont="1" applyAlignment="1">
      <alignment horizontal="center"/>
    </xf>
    <xf numFmtId="44" fontId="29" fillId="14" borderId="9" xfId="1" applyFont="1" applyFill="1" applyBorder="1" applyAlignment="1">
      <alignment horizontal="center" vertical="center" wrapText="1" readingOrder="1"/>
    </xf>
    <xf numFmtId="14" fontId="30" fillId="13" borderId="1" xfId="0" applyNumberFormat="1" applyFont="1" applyFill="1" applyBorder="1" applyAlignment="1">
      <alignment horizontal="center" vertical="center" wrapText="1"/>
    </xf>
    <xf numFmtId="166" fontId="30" fillId="13" borderId="1" xfId="0" applyNumberFormat="1" applyFont="1" applyFill="1" applyBorder="1" applyAlignment="1">
      <alignment horizontal="center" vertical="center" wrapText="1"/>
    </xf>
    <xf numFmtId="0" fontId="30" fillId="13" borderId="1" xfId="0" applyFont="1" applyFill="1" applyBorder="1" applyAlignment="1">
      <alignment horizontal="center" vertical="center" wrapText="1"/>
    </xf>
    <xf numFmtId="2" fontId="30" fillId="13" borderId="1" xfId="0" applyNumberFormat="1" applyFont="1" applyFill="1" applyBorder="1" applyAlignment="1">
      <alignment horizontal="center" vertical="center" wrapText="1"/>
    </xf>
    <xf numFmtId="44" fontId="30" fillId="13" borderId="1" xfId="1" applyFont="1" applyFill="1" applyBorder="1" applyAlignment="1">
      <alignment horizontal="center" vertical="center" wrapText="1"/>
    </xf>
    <xf numFmtId="186" fontId="30" fillId="13" borderId="1" xfId="0" applyNumberFormat="1" applyFont="1" applyFill="1" applyBorder="1" applyAlignment="1">
      <alignment horizontal="center" vertical="center" wrapText="1"/>
    </xf>
    <xf numFmtId="186" fontId="30" fillId="13" borderId="1" xfId="1" applyNumberFormat="1" applyFont="1" applyFill="1" applyBorder="1" applyAlignment="1">
      <alignment horizontal="center" vertical="center" wrapText="1"/>
    </xf>
    <xf numFmtId="189" fontId="29" fillId="14" borderId="14" xfId="0" applyNumberFormat="1" applyFont="1" applyFill="1" applyBorder="1" applyAlignment="1">
      <alignment horizontal="center" vertical="center" wrapText="1" readingOrder="1"/>
    </xf>
    <xf numFmtId="189" fontId="31" fillId="5" borderId="1" xfId="1" applyNumberFormat="1" applyFont="1" applyFill="1" applyBorder="1" applyAlignment="1">
      <alignment horizontal="center" vertical="center" wrapText="1"/>
    </xf>
    <xf numFmtId="189" fontId="0" fillId="0" borderId="0" xfId="0" applyNumberFormat="1" applyAlignment="1">
      <alignment horizontal="center"/>
    </xf>
    <xf numFmtId="2" fontId="30" fillId="13" borderId="9" xfId="0" applyNumberFormat="1" applyFont="1" applyFill="1" applyBorder="1" applyAlignment="1">
      <alignment horizontal="center" vertical="center" wrapText="1"/>
    </xf>
    <xf numFmtId="2" fontId="30" fillId="13" borderId="1" xfId="1" applyNumberFormat="1" applyFont="1" applyFill="1" applyBorder="1" applyAlignment="1">
      <alignment horizontal="center" vertical="center" wrapText="1"/>
    </xf>
    <xf numFmtId="6" fontId="7" fillId="2" borderId="30" xfId="0" applyNumberFormat="1" applyFont="1" applyFill="1" applyBorder="1" applyAlignment="1">
      <alignment horizontal="center" vertical="center" wrapText="1" readingOrder="1"/>
    </xf>
    <xf numFmtId="0" fontId="7" fillId="2" borderId="30" xfId="0" applyFont="1" applyFill="1" applyBorder="1" applyAlignment="1">
      <alignment horizontal="center" vertical="center" wrapText="1" readingOrder="1"/>
    </xf>
    <xf numFmtId="0" fontId="0" fillId="21" borderId="0" xfId="0" applyFill="1"/>
    <xf numFmtId="9" fontId="7" fillId="2" borderId="15" xfId="3" applyFont="1" applyFill="1" applyBorder="1" applyAlignment="1">
      <alignment horizontal="center" vertical="center" wrapText="1" readingOrder="1"/>
    </xf>
    <xf numFmtId="9" fontId="4" fillId="3" borderId="14" xfId="3" applyFont="1" applyFill="1" applyBorder="1" applyAlignment="1">
      <alignment horizontal="center" vertical="center" wrapText="1"/>
    </xf>
    <xf numFmtId="188" fontId="26" fillId="4" borderId="20" xfId="3" applyNumberFormat="1" applyFont="1" applyFill="1" applyBorder="1" applyAlignment="1">
      <alignment horizontal="center" vertical="center" wrapText="1"/>
    </xf>
    <xf numFmtId="0" fontId="2" fillId="22" borderId="0" xfId="0" applyFont="1" applyFill="1" applyAlignment="1">
      <alignment horizontal="center" vertical="center" wrapText="1" readingOrder="1"/>
    </xf>
    <xf numFmtId="186" fontId="4" fillId="5" borderId="14" xfId="1" applyNumberFormat="1" applyFont="1" applyFill="1" applyBorder="1" applyAlignment="1">
      <alignment horizontal="center" vertical="center" wrapText="1"/>
    </xf>
    <xf numFmtId="186" fontId="0" fillId="0" borderId="0" xfId="0" applyNumberFormat="1" applyAlignment="1">
      <alignment horizontal="center"/>
    </xf>
    <xf numFmtId="186" fontId="30" fillId="13" borderId="14" xfId="1" applyNumberFormat="1" applyFont="1" applyFill="1" applyBorder="1" applyAlignment="1">
      <alignment horizontal="center" vertical="center" wrapText="1"/>
    </xf>
    <xf numFmtId="8" fontId="26" fillId="4" borderId="28" xfId="1" applyNumberFormat="1" applyFont="1" applyFill="1" applyBorder="1" applyAlignment="1">
      <alignment horizontal="center" vertical="center" wrapText="1"/>
    </xf>
    <xf numFmtId="4" fontId="33" fillId="4" borderId="28" xfId="0" applyNumberFormat="1" applyFont="1" applyFill="1" applyBorder="1" applyAlignment="1">
      <alignment horizontal="center" vertical="center" wrapText="1"/>
    </xf>
    <xf numFmtId="6" fontId="4" fillId="3" borderId="32" xfId="1" applyNumberFormat="1" applyFont="1" applyFill="1" applyBorder="1" applyAlignment="1">
      <alignment horizontal="center" vertical="center" wrapText="1"/>
    </xf>
    <xf numFmtId="0" fontId="4" fillId="3" borderId="3" xfId="1" applyNumberFormat="1" applyFont="1" applyFill="1" applyBorder="1" applyAlignment="1">
      <alignment horizontal="center" vertical="center" wrapText="1"/>
    </xf>
    <xf numFmtId="0" fontId="4" fillId="3" borderId="2" xfId="1" applyNumberFormat="1" applyFont="1" applyFill="1" applyBorder="1" applyAlignment="1">
      <alignment horizontal="center" vertical="center" wrapText="1"/>
    </xf>
    <xf numFmtId="0" fontId="2" fillId="2" borderId="8" xfId="0" applyFont="1" applyFill="1" applyBorder="1" applyAlignment="1">
      <alignment horizontal="center" vertical="center" wrapText="1" readingOrder="1"/>
    </xf>
    <xf numFmtId="0" fontId="34" fillId="3" borderId="9" xfId="140" applyNumberFormat="1" applyFill="1" applyBorder="1" applyAlignment="1">
      <alignment horizontal="center" vertical="center" wrapText="1"/>
    </xf>
    <xf numFmtId="6" fontId="4" fillId="3" borderId="8" xfId="1" applyNumberFormat="1" applyFont="1" applyFill="1" applyBorder="1" applyAlignment="1">
      <alignment horizontal="center" vertical="center" wrapText="1"/>
    </xf>
    <xf numFmtId="186" fontId="7" fillId="23" borderId="17" xfId="0" applyNumberFormat="1" applyFont="1" applyFill="1" applyBorder="1" applyAlignment="1">
      <alignment horizontal="center" vertical="center" wrapText="1" readingOrder="1"/>
    </xf>
    <xf numFmtId="12" fontId="7" fillId="23" borderId="16" xfId="0" applyNumberFormat="1" applyFont="1" applyFill="1" applyBorder="1" applyAlignment="1">
      <alignment horizontal="center" vertical="center" wrapText="1" readingOrder="1"/>
    </xf>
    <xf numFmtId="186" fontId="6" fillId="0" borderId="0" xfId="0" applyNumberFormat="1" applyFont="1"/>
    <xf numFmtId="12" fontId="6" fillId="0" borderId="0" xfId="0" applyNumberFormat="1" applyFont="1"/>
    <xf numFmtId="0" fontId="0" fillId="0" borderId="0" xfId="0" quotePrefix="1"/>
    <xf numFmtId="6" fontId="4" fillId="3" borderId="33" xfId="1" applyNumberFormat="1" applyFont="1" applyFill="1" applyBorder="1" applyAlignment="1">
      <alignment horizontal="center" vertical="center" wrapText="1"/>
    </xf>
    <xf numFmtId="6" fontId="4" fillId="3" borderId="34" xfId="1" applyNumberFormat="1" applyFont="1" applyFill="1" applyBorder="1" applyAlignment="1">
      <alignment horizontal="center" vertical="center" wrapText="1"/>
    </xf>
    <xf numFmtId="0" fontId="30" fillId="16" borderId="1" xfId="0" applyFont="1" applyFill="1" applyBorder="1" applyAlignment="1">
      <alignment horizontal="center" vertical="center" wrapText="1"/>
    </xf>
    <xf numFmtId="0" fontId="31" fillId="16" borderId="1" xfId="0" applyFont="1" applyFill="1" applyBorder="1" applyAlignment="1">
      <alignment horizontal="center" vertical="center" wrapText="1"/>
    </xf>
    <xf numFmtId="186" fontId="30" fillId="16" borderId="1" xfId="0" applyNumberFormat="1" applyFont="1" applyFill="1" applyBorder="1" applyAlignment="1">
      <alignment horizontal="center" vertical="center" wrapText="1"/>
    </xf>
    <xf numFmtId="8" fontId="30" fillId="13" borderId="1" xfId="1" applyNumberFormat="1" applyFont="1" applyFill="1" applyBorder="1" applyAlignment="1">
      <alignment horizontal="center" vertical="center" wrapText="1"/>
    </xf>
    <xf numFmtId="2" fontId="30" fillId="16" borderId="1" xfId="0" applyNumberFormat="1" applyFont="1" applyFill="1" applyBorder="1" applyAlignment="1">
      <alignment horizontal="center" vertical="center" wrapText="1"/>
    </xf>
    <xf numFmtId="14" fontId="30" fillId="13" borderId="19" xfId="0" applyNumberFormat="1" applyFont="1" applyFill="1" applyBorder="1" applyAlignment="1">
      <alignment horizontal="center" vertical="center" wrapText="1"/>
    </xf>
    <xf numFmtId="166" fontId="30" fillId="13" borderId="19" xfId="0" applyNumberFormat="1" applyFont="1" applyFill="1" applyBorder="1" applyAlignment="1">
      <alignment horizontal="center" vertical="center" wrapText="1"/>
    </xf>
    <xf numFmtId="0" fontId="30" fillId="13" borderId="18" xfId="0" applyFont="1" applyFill="1" applyBorder="1" applyAlignment="1">
      <alignment horizontal="center" vertical="center" wrapText="1"/>
    </xf>
    <xf numFmtId="2" fontId="30" fillId="13" borderId="19" xfId="0" applyNumberFormat="1" applyFont="1" applyFill="1" applyBorder="1" applyAlignment="1">
      <alignment horizontal="center" vertical="center" wrapText="1"/>
    </xf>
    <xf numFmtId="186" fontId="30" fillId="13" borderId="8" xfId="1" applyNumberFormat="1" applyFont="1" applyFill="1" applyBorder="1" applyAlignment="1">
      <alignment horizontal="center" vertical="center" wrapText="1"/>
    </xf>
    <xf numFmtId="0" fontId="0" fillId="0" borderId="14" xfId="0" applyBorder="1" applyAlignment="1">
      <alignment horizontal="center" vertical="center" wrapText="1"/>
    </xf>
    <xf numFmtId="14" fontId="30" fillId="13" borderId="7" xfId="0" applyNumberFormat="1" applyFont="1" applyFill="1" applyBorder="1" applyAlignment="1">
      <alignment horizontal="center" vertical="center" wrapText="1"/>
    </xf>
    <xf numFmtId="8" fontId="30" fillId="13" borderId="14" xfId="1" applyNumberFormat="1" applyFont="1" applyFill="1" applyBorder="1" applyAlignment="1">
      <alignment horizontal="center" vertical="center" wrapText="1"/>
    </xf>
    <xf numFmtId="2" fontId="30" fillId="13" borderId="9" xfId="1" applyNumberFormat="1" applyFont="1" applyFill="1" applyBorder="1" applyAlignment="1">
      <alignment horizontal="center" vertical="center" wrapText="1"/>
    </xf>
    <xf numFmtId="0" fontId="3" fillId="21" borderId="0" xfId="0" applyFont="1" applyFill="1"/>
    <xf numFmtId="0" fontId="0" fillId="21" borderId="0" xfId="0" applyFill="1" applyAlignment="1">
      <alignment horizontal="center" vertical="center"/>
    </xf>
    <xf numFmtId="0" fontId="36" fillId="14" borderId="1" xfId="0" applyFont="1" applyFill="1" applyBorder="1" applyAlignment="1">
      <alignment horizontal="center" vertical="center" wrapText="1" readingOrder="1"/>
    </xf>
    <xf numFmtId="14" fontId="30" fillId="13" borderId="37" xfId="0" applyNumberFormat="1" applyFont="1" applyFill="1" applyBorder="1" applyAlignment="1">
      <alignment horizontal="center" vertical="center" wrapText="1"/>
    </xf>
    <xf numFmtId="0" fontId="0" fillId="21" borderId="0" xfId="0" quotePrefix="1" applyFill="1"/>
    <xf numFmtId="166" fontId="36" fillId="14" borderId="1" xfId="0" applyNumberFormat="1" applyFont="1" applyFill="1" applyBorder="1" applyAlignment="1">
      <alignment horizontal="center" vertical="center" wrapText="1" readingOrder="1"/>
    </xf>
    <xf numFmtId="0" fontId="36" fillId="14" borderId="5" xfId="0" applyFont="1" applyFill="1" applyBorder="1" applyAlignment="1">
      <alignment horizontal="center" vertical="center" wrapText="1" readingOrder="1"/>
    </xf>
    <xf numFmtId="0" fontId="38" fillId="0" borderId="0" xfId="0" applyFont="1" applyAlignment="1">
      <alignment horizontal="left" vertical="center" wrapText="1" indent="1"/>
    </xf>
    <xf numFmtId="0" fontId="38" fillId="0" borderId="0" xfId="0" applyFont="1" applyAlignment="1">
      <alignment vertical="center" wrapText="1"/>
    </xf>
    <xf numFmtId="0" fontId="41" fillId="25" borderId="39" xfId="0" applyFont="1" applyFill="1" applyBorder="1" applyAlignment="1">
      <alignment horizontal="center" vertical="center" wrapText="1"/>
    </xf>
    <xf numFmtId="0" fontId="42" fillId="26" borderId="13" xfId="0" applyFont="1" applyFill="1" applyBorder="1" applyAlignment="1">
      <alignment horizontal="center"/>
    </xf>
    <xf numFmtId="14" fontId="42" fillId="0" borderId="13" xfId="0" applyNumberFormat="1" applyFont="1" applyBorder="1" applyAlignment="1">
      <alignment horizontal="center"/>
    </xf>
    <xf numFmtId="0" fontId="42" fillId="0" borderId="13" xfId="0" applyFont="1" applyBorder="1" applyAlignment="1">
      <alignment horizontal="left" vertical="center"/>
    </xf>
    <xf numFmtId="0" fontId="43" fillId="0" borderId="13" xfId="0" applyFont="1" applyBorder="1" applyAlignment="1">
      <alignment horizontal="center" vertical="center"/>
    </xf>
    <xf numFmtId="0" fontId="42" fillId="0" borderId="13" xfId="0" applyFont="1" applyBorder="1" applyAlignment="1">
      <alignment horizontal="center" vertical="center"/>
    </xf>
    <xf numFmtId="0" fontId="44" fillId="0" borderId="13" xfId="0" applyFont="1" applyBorder="1" applyAlignment="1">
      <alignment horizontal="center" vertical="center"/>
    </xf>
    <xf numFmtId="0" fontId="45" fillId="0" borderId="13" xfId="0" applyFont="1" applyBorder="1" applyAlignment="1">
      <alignment horizontal="center" vertical="center"/>
    </xf>
    <xf numFmtId="0" fontId="46" fillId="27" borderId="40" xfId="0" applyFont="1" applyFill="1" applyBorder="1" applyAlignment="1">
      <alignment horizontal="center"/>
    </xf>
    <xf numFmtId="0" fontId="46" fillId="27" borderId="13" xfId="0" applyFont="1" applyFill="1" applyBorder="1" applyAlignment="1">
      <alignment horizontal="center"/>
    </xf>
    <xf numFmtId="0" fontId="46" fillId="27" borderId="13" xfId="0" applyFont="1" applyFill="1" applyBorder="1"/>
    <xf numFmtId="0" fontId="47" fillId="27" borderId="13" xfId="0" applyFont="1" applyFill="1" applyBorder="1" applyAlignment="1">
      <alignment horizontal="center" vertical="center"/>
    </xf>
    <xf numFmtId="46" fontId="0" fillId="0" borderId="0" xfId="0" applyNumberFormat="1"/>
    <xf numFmtId="190" fontId="0" fillId="0" borderId="0" xfId="0" applyNumberFormat="1"/>
    <xf numFmtId="166" fontId="30" fillId="13" borderId="37" xfId="0" applyNumberFormat="1" applyFont="1" applyFill="1" applyBorder="1" applyAlignment="1">
      <alignment horizontal="center" vertical="center" wrapText="1"/>
    </xf>
    <xf numFmtId="0" fontId="49" fillId="16" borderId="1" xfId="0" applyFont="1" applyFill="1" applyBorder="1" applyAlignment="1">
      <alignment horizontal="center" vertical="center" wrapText="1"/>
    </xf>
    <xf numFmtId="0" fontId="50" fillId="16" borderId="1" xfId="0" applyFont="1" applyFill="1" applyBorder="1" applyAlignment="1">
      <alignment horizontal="center" vertical="center" wrapText="1"/>
    </xf>
    <xf numFmtId="190" fontId="36" fillId="14" borderId="1" xfId="0" applyNumberFormat="1" applyFont="1" applyFill="1" applyBorder="1" applyAlignment="1">
      <alignment horizontal="center" vertical="center" wrapText="1" readingOrder="1"/>
    </xf>
    <xf numFmtId="190" fontId="30" fillId="13" borderId="1" xfId="0" applyNumberFormat="1" applyFont="1" applyFill="1" applyBorder="1" applyAlignment="1">
      <alignment horizontal="center" vertical="center" wrapText="1"/>
    </xf>
    <xf numFmtId="190" fontId="49" fillId="16" borderId="1" xfId="0" applyNumberFormat="1" applyFont="1" applyFill="1" applyBorder="1" applyAlignment="1">
      <alignment horizontal="center" vertical="center" wrapText="1"/>
    </xf>
    <xf numFmtId="0" fontId="36" fillId="14" borderId="0" xfId="0" applyFont="1" applyFill="1" applyAlignment="1">
      <alignment horizontal="center" vertical="center" wrapText="1" readingOrder="1"/>
    </xf>
    <xf numFmtId="190" fontId="36" fillId="14" borderId="0" xfId="0" applyNumberFormat="1" applyFont="1" applyFill="1" applyAlignment="1">
      <alignment horizontal="center" vertical="center" wrapText="1" readingOrder="1"/>
    </xf>
    <xf numFmtId="14" fontId="30" fillId="13" borderId="0" xfId="0" applyNumberFormat="1" applyFont="1" applyFill="1" applyAlignment="1">
      <alignment horizontal="center" vertical="center" wrapText="1"/>
    </xf>
    <xf numFmtId="190" fontId="30" fillId="13" borderId="0" xfId="0" applyNumberFormat="1" applyFont="1" applyFill="1" applyAlignment="1">
      <alignment horizontal="center" vertical="center" wrapText="1"/>
    </xf>
    <xf numFmtId="14" fontId="30" fillId="29" borderId="37" xfId="0" applyNumberFormat="1" applyFont="1" applyFill="1" applyBorder="1" applyAlignment="1">
      <alignment horizontal="center" vertical="center" wrapText="1"/>
    </xf>
    <xf numFmtId="190" fontId="30" fillId="29" borderId="1" xfId="0" applyNumberFormat="1" applyFont="1" applyFill="1" applyBorder="1" applyAlignment="1">
      <alignment horizontal="center" vertical="center" wrapText="1"/>
    </xf>
    <xf numFmtId="14" fontId="30" fillId="22" borderId="19" xfId="0" applyNumberFormat="1" applyFont="1" applyFill="1" applyBorder="1" applyAlignment="1">
      <alignment horizontal="center" vertical="center" wrapText="1"/>
    </xf>
    <xf numFmtId="190" fontId="30" fillId="22" borderId="19" xfId="0" applyNumberFormat="1" applyFont="1" applyFill="1" applyBorder="1" applyAlignment="1">
      <alignment horizontal="center" vertical="center" wrapText="1"/>
    </xf>
    <xf numFmtId="2" fontId="30" fillId="22" borderId="19" xfId="0" applyNumberFormat="1" applyFont="1" applyFill="1" applyBorder="1" applyAlignment="1">
      <alignment horizontal="center" vertical="center" wrapText="1"/>
    </xf>
    <xf numFmtId="20" fontId="0" fillId="0" borderId="0" xfId="0" applyNumberFormat="1"/>
    <xf numFmtId="14" fontId="53" fillId="30" borderId="48" xfId="0" applyNumberFormat="1" applyFont="1" applyFill="1" applyBorder="1" applyAlignment="1">
      <alignment vertical="center" wrapText="1"/>
    </xf>
    <xf numFmtId="0" fontId="56" fillId="20" borderId="0" xfId="0" applyFont="1" applyFill="1" applyAlignment="1">
      <alignment vertical="center" wrapText="1"/>
    </xf>
    <xf numFmtId="0" fontId="48" fillId="31" borderId="45" xfId="0" applyFont="1" applyFill="1" applyBorder="1" applyAlignment="1">
      <alignment horizontal="center" vertical="center"/>
    </xf>
    <xf numFmtId="14" fontId="53" fillId="30" borderId="48" xfId="0" applyNumberFormat="1" applyFont="1" applyFill="1" applyBorder="1" applyAlignment="1">
      <alignment horizontal="center" vertical="center" wrapText="1"/>
    </xf>
    <xf numFmtId="0" fontId="53" fillId="30" borderId="48" xfId="0" applyFont="1" applyFill="1" applyBorder="1" applyAlignment="1">
      <alignment horizontal="center" vertical="center" wrapText="1"/>
    </xf>
    <xf numFmtId="0" fontId="53" fillId="30" borderId="47" xfId="0" applyFont="1" applyFill="1" applyBorder="1" applyAlignment="1">
      <alignment horizontal="center" vertical="center" wrapText="1"/>
    </xf>
    <xf numFmtId="0" fontId="55" fillId="30" borderId="48" xfId="0" applyFont="1" applyFill="1" applyBorder="1" applyAlignment="1">
      <alignment horizontal="center" vertical="center" wrapText="1"/>
    </xf>
    <xf numFmtId="190" fontId="53" fillId="30" borderId="48" xfId="0" applyNumberFormat="1" applyFont="1" applyFill="1" applyBorder="1" applyAlignment="1">
      <alignment horizontal="center" vertical="center" wrapText="1"/>
    </xf>
    <xf numFmtId="0" fontId="48" fillId="31" borderId="50" xfId="0" applyFont="1" applyFill="1" applyBorder="1" applyAlignment="1">
      <alignment horizontal="center" vertical="center"/>
    </xf>
    <xf numFmtId="2" fontId="53" fillId="32" borderId="48" xfId="0" applyNumberFormat="1" applyFont="1" applyFill="1" applyBorder="1" applyAlignment="1">
      <alignment horizontal="center" vertical="center" wrapText="1"/>
    </xf>
    <xf numFmtId="0" fontId="58" fillId="0" borderId="0" xfId="0" applyFont="1" applyAlignment="1">
      <alignment vertical="center" wrapText="1"/>
    </xf>
    <xf numFmtId="0" fontId="60" fillId="0" borderId="0" xfId="0" applyFont="1" applyAlignment="1">
      <alignment vertical="center" wrapText="1"/>
    </xf>
    <xf numFmtId="0" fontId="61" fillId="0" borderId="0" xfId="0" applyFont="1" applyAlignment="1">
      <alignment vertical="center" wrapText="1"/>
    </xf>
    <xf numFmtId="0" fontId="57" fillId="0" borderId="0" xfId="0" applyFont="1" applyAlignment="1">
      <alignment vertical="center" wrapText="1"/>
    </xf>
    <xf numFmtId="0" fontId="59" fillId="0" borderId="0" xfId="0" applyFont="1" applyAlignment="1">
      <alignment vertical="center" wrapText="1"/>
    </xf>
    <xf numFmtId="0" fontId="63" fillId="0" borderId="0" xfId="0" applyFont="1" applyAlignment="1">
      <alignment vertical="center" wrapText="1"/>
    </xf>
    <xf numFmtId="0" fontId="65" fillId="0" borderId="0" xfId="0" applyFont="1" applyAlignment="1">
      <alignment vertical="center" wrapText="1"/>
    </xf>
    <xf numFmtId="0" fontId="66" fillId="0" borderId="0" xfId="0" applyFont="1" applyAlignment="1">
      <alignment vertical="center" wrapText="1"/>
    </xf>
    <xf numFmtId="0" fontId="67" fillId="33" borderId="51" xfId="69" applyFont="1" applyFill="1" applyBorder="1" applyAlignment="1" applyProtection="1">
      <alignment horizontal="center" vertical="center" wrapText="1"/>
      <protection hidden="1"/>
    </xf>
    <xf numFmtId="0" fontId="8" fillId="34" borderId="52" xfId="2" applyNumberFormat="1" applyFont="1" applyFill="1" applyBorder="1" applyAlignment="1" applyProtection="1">
      <alignment horizontal="center" vertical="center"/>
      <protection hidden="1"/>
    </xf>
    <xf numFmtId="44" fontId="8" fillId="34" borderId="52" xfId="1" applyFont="1" applyFill="1" applyBorder="1" applyAlignment="1" applyProtection="1">
      <alignment horizontal="center" vertical="center"/>
      <protection hidden="1"/>
    </xf>
    <xf numFmtId="190" fontId="0" fillId="0" borderId="0" xfId="0" applyNumberFormat="1" applyAlignment="1">
      <alignment horizontal="center" vertical="center"/>
    </xf>
    <xf numFmtId="2" fontId="8" fillId="34" borderId="52" xfId="1" applyNumberFormat="1" applyFont="1" applyFill="1" applyBorder="1" applyAlignment="1" applyProtection="1">
      <alignment horizontal="center" vertical="center"/>
      <protection hidden="1"/>
    </xf>
    <xf numFmtId="0" fontId="30" fillId="13" borderId="0" xfId="0" applyFont="1" applyFill="1" applyAlignment="1">
      <alignment horizontal="center" vertical="center" wrapText="1"/>
    </xf>
    <xf numFmtId="0" fontId="50" fillId="16" borderId="0" xfId="0" applyFont="1" applyFill="1" applyAlignment="1">
      <alignment horizontal="center" vertical="center" wrapText="1"/>
    </xf>
    <xf numFmtId="0" fontId="67" fillId="33" borderId="0" xfId="69" applyFont="1" applyFill="1" applyAlignment="1" applyProtection="1">
      <alignment horizontal="center" vertical="center" wrapText="1"/>
      <protection hidden="1"/>
    </xf>
    <xf numFmtId="191" fontId="0" fillId="0" borderId="0" xfId="3" applyNumberFormat="1" applyFont="1" applyAlignment="1">
      <alignment horizontal="center" vertical="center"/>
    </xf>
    <xf numFmtId="186" fontId="8" fillId="34" borderId="52" xfId="1" applyNumberFormat="1" applyFont="1" applyFill="1" applyBorder="1" applyAlignment="1" applyProtection="1">
      <alignment horizontal="center" vertical="center"/>
      <protection hidden="1"/>
    </xf>
    <xf numFmtId="186" fontId="8" fillId="34" borderId="52" xfId="2" applyNumberFormat="1" applyFont="1" applyFill="1" applyBorder="1" applyAlignment="1" applyProtection="1">
      <alignment horizontal="center" vertical="center"/>
      <protection hidden="1"/>
    </xf>
    <xf numFmtId="10" fontId="68" fillId="3" borderId="14" xfId="3" applyNumberFormat="1" applyFont="1" applyFill="1" applyBorder="1" applyAlignment="1">
      <alignment horizontal="center" vertical="center" wrapText="1"/>
    </xf>
    <xf numFmtId="8" fontId="4" fillId="4" borderId="0" xfId="1" applyNumberFormat="1" applyFont="1" applyFill="1" applyBorder="1" applyAlignment="1">
      <alignment horizontal="center" vertical="center" wrapText="1"/>
    </xf>
    <xf numFmtId="0" fontId="70" fillId="0" borderId="53" xfId="144" applyFont="1" applyBorder="1" applyAlignment="1">
      <alignment horizontal="center" vertical="center" wrapText="1"/>
    </xf>
    <xf numFmtId="14" fontId="70" fillId="35" borderId="54" xfId="144" applyNumberFormat="1" applyFont="1" applyFill="1" applyBorder="1" applyAlignment="1">
      <alignment horizontal="center" vertical="center" wrapText="1"/>
    </xf>
    <xf numFmtId="3" fontId="70" fillId="35" borderId="54" xfId="144" applyNumberFormat="1" applyFont="1" applyFill="1" applyBorder="1" applyAlignment="1">
      <alignment vertical="center" wrapText="1"/>
    </xf>
    <xf numFmtId="0" fontId="70" fillId="35" borderId="55" xfId="144" applyFont="1" applyFill="1" applyBorder="1" applyAlignment="1">
      <alignment horizontal="center" vertical="center"/>
    </xf>
    <xf numFmtId="0" fontId="70" fillId="35" borderId="55" xfId="144" applyFont="1" applyFill="1" applyBorder="1" applyAlignment="1">
      <alignment horizontal="center" vertical="center" wrapText="1"/>
    </xf>
    <xf numFmtId="164" fontId="71" fillId="35" borderId="55" xfId="144" applyNumberFormat="1" applyFont="1" applyFill="1" applyBorder="1" applyAlignment="1">
      <alignment horizontal="left" vertical="center"/>
    </xf>
    <xf numFmtId="164" fontId="70" fillId="0" borderId="55" xfId="144" applyNumberFormat="1" applyFont="1" applyBorder="1" applyAlignment="1">
      <alignment horizontal="center" vertical="center" wrapText="1"/>
    </xf>
    <xf numFmtId="1" fontId="70" fillId="35" borderId="54" xfId="144" applyNumberFormat="1" applyFont="1" applyFill="1" applyBorder="1" applyAlignment="1">
      <alignment horizontal="center" vertical="center"/>
    </xf>
    <xf numFmtId="0" fontId="51" fillId="20" borderId="0" xfId="0" applyFont="1" applyFill="1" applyAlignment="1">
      <alignment horizontal="center" vertical="center" wrapText="1"/>
    </xf>
    <xf numFmtId="10" fontId="8" fillId="34" borderId="52" xfId="1" applyNumberFormat="1" applyFont="1" applyFill="1" applyBorder="1" applyAlignment="1" applyProtection="1">
      <alignment horizontal="center" vertical="center"/>
      <protection hidden="1"/>
    </xf>
    <xf numFmtId="44" fontId="67" fillId="33" borderId="51" xfId="69" applyNumberFormat="1" applyFont="1" applyFill="1" applyBorder="1" applyAlignment="1" applyProtection="1">
      <alignment horizontal="center" vertical="center" wrapText="1"/>
      <protection hidden="1"/>
    </xf>
    <xf numFmtId="0" fontId="4" fillId="3" borderId="14" xfId="1" applyNumberFormat="1" applyFont="1" applyFill="1" applyBorder="1" applyAlignment="1">
      <alignment horizontal="center" vertical="center" wrapText="1"/>
    </xf>
    <xf numFmtId="14" fontId="4" fillId="4" borderId="5" xfId="43" applyNumberFormat="1" applyFont="1" applyFill="1" applyBorder="1" applyAlignment="1">
      <alignment horizontal="center" vertical="center" wrapText="1"/>
    </xf>
    <xf numFmtId="16" fontId="4" fillId="3" borderId="15" xfId="1" applyNumberFormat="1" applyFont="1" applyFill="1" applyBorder="1" applyAlignment="1">
      <alignment horizontal="center" vertical="center" wrapText="1"/>
    </xf>
    <xf numFmtId="186" fontId="26" fillId="4" borderId="28" xfId="0" applyNumberFormat="1" applyFont="1" applyFill="1" applyBorder="1" applyAlignment="1">
      <alignment horizontal="center" vertical="center" wrapText="1"/>
    </xf>
    <xf numFmtId="0" fontId="0" fillId="0" borderId="21" xfId="0" applyBorder="1"/>
    <xf numFmtId="188" fontId="26" fillId="4" borderId="0" xfId="0" applyNumberFormat="1" applyFont="1" applyFill="1" applyAlignment="1">
      <alignment horizontal="center" vertical="center" wrapText="1"/>
    </xf>
    <xf numFmtId="186" fontId="9" fillId="5" borderId="15" xfId="1" applyNumberFormat="1" applyFont="1" applyFill="1" applyBorder="1" applyAlignment="1">
      <alignment horizontal="center" vertical="center" wrapText="1"/>
    </xf>
    <xf numFmtId="186" fontId="28" fillId="4" borderId="25" xfId="0" applyNumberFormat="1" applyFont="1" applyFill="1" applyBorder="1" applyAlignment="1">
      <alignment horizontal="center" vertical="center" wrapText="1"/>
    </xf>
    <xf numFmtId="10" fontId="68" fillId="3" borderId="0" xfId="3" applyNumberFormat="1" applyFont="1" applyFill="1" applyBorder="1" applyAlignment="1">
      <alignment horizontal="center" vertical="center" wrapText="1"/>
    </xf>
    <xf numFmtId="0" fontId="73" fillId="0" borderId="0" xfId="0" applyFont="1" applyAlignment="1">
      <alignment vertical="center" wrapText="1"/>
    </xf>
    <xf numFmtId="0" fontId="73" fillId="29" borderId="0" xfId="0" applyFont="1" applyFill="1" applyAlignment="1">
      <alignment vertical="center" wrapText="1"/>
    </xf>
    <xf numFmtId="0" fontId="74" fillId="36" borderId="59" xfId="0" applyFont="1" applyFill="1" applyBorder="1" applyAlignment="1">
      <alignment horizontal="center" vertical="center" wrapText="1"/>
    </xf>
    <xf numFmtId="0" fontId="74" fillId="36" borderId="60" xfId="0" applyFont="1" applyFill="1" applyBorder="1" applyAlignment="1">
      <alignment horizontal="center" vertical="center" wrapText="1"/>
    </xf>
    <xf numFmtId="0" fontId="75" fillId="20" borderId="59" xfId="0" applyFont="1" applyFill="1" applyBorder="1" applyAlignment="1">
      <alignment horizontal="center" vertical="center" wrapText="1"/>
    </xf>
    <xf numFmtId="14" fontId="76" fillId="20" borderId="60" xfId="0" applyNumberFormat="1" applyFont="1" applyFill="1" applyBorder="1" applyAlignment="1">
      <alignment horizontal="center" vertical="center" wrapText="1"/>
    </xf>
    <xf numFmtId="0" fontId="51" fillId="20" borderId="60" xfId="0" applyFont="1" applyFill="1" applyBorder="1" applyAlignment="1">
      <alignment horizontal="center" vertical="center" wrapText="1"/>
    </xf>
    <xf numFmtId="21" fontId="52" fillId="20" borderId="60" xfId="0" applyNumberFormat="1" applyFont="1" applyFill="1" applyBorder="1" applyAlignment="1">
      <alignment horizontal="center" vertical="center" wrapText="1"/>
    </xf>
    <xf numFmtId="0" fontId="77" fillId="20" borderId="48" xfId="0" applyFont="1" applyFill="1" applyBorder="1" applyAlignment="1">
      <alignment horizontal="center" vertical="center" wrapText="1"/>
    </xf>
    <xf numFmtId="14" fontId="51" fillId="20" borderId="60" xfId="0" applyNumberFormat="1" applyFont="1" applyFill="1" applyBorder="1" applyAlignment="1">
      <alignment horizontal="center" vertical="center" wrapText="1"/>
    </xf>
    <xf numFmtId="0" fontId="51" fillId="20" borderId="60" xfId="0" applyFont="1" applyFill="1" applyBorder="1" applyAlignment="1">
      <alignment vertical="center" wrapText="1"/>
    </xf>
    <xf numFmtId="21" fontId="52" fillId="20" borderId="61" xfId="0" applyNumberFormat="1" applyFont="1" applyFill="1" applyBorder="1" applyAlignment="1">
      <alignment horizontal="center" vertical="center" wrapText="1"/>
    </xf>
    <xf numFmtId="21" fontId="52" fillId="20" borderId="62" xfId="0" applyNumberFormat="1" applyFont="1" applyFill="1" applyBorder="1" applyAlignment="1">
      <alignment horizontal="center" vertical="center" wrapText="1"/>
    </xf>
    <xf numFmtId="14" fontId="51" fillId="20" borderId="61" xfId="0" applyNumberFormat="1" applyFont="1" applyFill="1" applyBorder="1" applyAlignment="1">
      <alignment horizontal="center" vertical="center" wrapText="1"/>
    </xf>
    <xf numFmtId="0" fontId="51" fillId="20" borderId="61" xfId="0" applyFont="1" applyFill="1" applyBorder="1" applyAlignment="1">
      <alignment horizontal="center" vertical="center" wrapText="1"/>
    </xf>
    <xf numFmtId="14" fontId="77" fillId="20" borderId="58" xfId="0" applyNumberFormat="1" applyFont="1" applyFill="1" applyBorder="1" applyAlignment="1">
      <alignment horizontal="center" vertical="center" wrapText="1"/>
    </xf>
    <xf numFmtId="0" fontId="51" fillId="20" borderId="62" xfId="0" applyFont="1" applyFill="1" applyBorder="1" applyAlignment="1">
      <alignment horizontal="center" vertical="center" wrapText="1"/>
    </xf>
    <xf numFmtId="21" fontId="78" fillId="20" borderId="58" xfId="0" applyNumberFormat="1" applyFont="1" applyFill="1" applyBorder="1" applyAlignment="1">
      <alignment horizontal="center" vertical="center" wrapText="1"/>
    </xf>
    <xf numFmtId="0" fontId="51" fillId="20" borderId="58" xfId="0" applyFont="1" applyFill="1" applyBorder="1" applyAlignment="1">
      <alignment horizontal="center" vertical="center" wrapText="1"/>
    </xf>
    <xf numFmtId="0" fontId="75" fillId="20" borderId="63" xfId="0" applyFont="1" applyFill="1" applyBorder="1" applyAlignment="1">
      <alignment horizontal="center" vertical="center" wrapText="1"/>
    </xf>
    <xf numFmtId="14" fontId="77" fillId="20" borderId="45" xfId="0" applyNumberFormat="1" applyFont="1" applyFill="1" applyBorder="1" applyAlignment="1">
      <alignment horizontal="center" vertical="center" wrapText="1"/>
    </xf>
    <xf numFmtId="0" fontId="51" fillId="20" borderId="64" xfId="0" applyFont="1" applyFill="1" applyBorder="1" applyAlignment="1">
      <alignment horizontal="center" vertical="center" wrapText="1"/>
    </xf>
    <xf numFmtId="0" fontId="51" fillId="20" borderId="65" xfId="0" applyFont="1" applyFill="1" applyBorder="1" applyAlignment="1">
      <alignment horizontal="center" vertical="center" wrapText="1"/>
    </xf>
    <xf numFmtId="21" fontId="52" fillId="20" borderId="49" xfId="0" applyNumberFormat="1" applyFont="1" applyFill="1" applyBorder="1" applyAlignment="1">
      <alignment horizontal="center" vertical="center" wrapText="1"/>
    </xf>
    <xf numFmtId="0" fontId="74" fillId="36" borderId="66" xfId="0" applyFont="1" applyFill="1" applyBorder="1" applyAlignment="1">
      <alignment horizontal="center" vertical="center" wrapText="1"/>
    </xf>
    <xf numFmtId="2" fontId="4" fillId="29" borderId="14" xfId="1" applyNumberFormat="1" applyFont="1" applyFill="1" applyBorder="1" applyAlignment="1">
      <alignment horizontal="center" vertical="center" wrapText="1"/>
    </xf>
    <xf numFmtId="186" fontId="4" fillId="29" borderId="14" xfId="1" applyNumberFormat="1" applyFont="1" applyFill="1" applyBorder="1" applyAlignment="1">
      <alignment horizontal="center" vertical="center" wrapText="1"/>
    </xf>
    <xf numFmtId="186" fontId="8" fillId="34" borderId="67" xfId="2" applyNumberFormat="1" applyFont="1" applyFill="1" applyBorder="1" applyAlignment="1" applyProtection="1">
      <alignment vertical="center"/>
      <protection hidden="1"/>
    </xf>
    <xf numFmtId="186" fontId="8" fillId="34" borderId="68" xfId="2" applyNumberFormat="1" applyFont="1" applyFill="1" applyBorder="1" applyAlignment="1" applyProtection="1">
      <alignment vertical="center"/>
      <protection hidden="1"/>
    </xf>
    <xf numFmtId="186" fontId="8" fillId="34" borderId="69" xfId="2" applyNumberFormat="1" applyFont="1" applyFill="1" applyBorder="1" applyAlignment="1" applyProtection="1">
      <alignment vertical="center"/>
      <protection hidden="1"/>
    </xf>
    <xf numFmtId="189" fontId="36" fillId="14" borderId="1" xfId="0" applyNumberFormat="1" applyFont="1" applyFill="1" applyBorder="1" applyAlignment="1">
      <alignment horizontal="center" vertical="center" wrapText="1" readingOrder="1"/>
    </xf>
    <xf numFmtId="44" fontId="36" fillId="14" borderId="1" xfId="1" applyFont="1" applyFill="1" applyBorder="1" applyAlignment="1">
      <alignment horizontal="center" vertical="center" wrapText="1" readingOrder="1"/>
    </xf>
    <xf numFmtId="186" fontId="50" fillId="5" borderId="1" xfId="1" applyNumberFormat="1" applyFont="1" applyFill="1" applyBorder="1" applyAlignment="1">
      <alignment horizontal="center" vertical="center" wrapText="1"/>
    </xf>
    <xf numFmtId="0" fontId="34" fillId="0" borderId="0" xfId="140"/>
    <xf numFmtId="2" fontId="50" fillId="5" borderId="1" xfId="1" applyNumberFormat="1" applyFont="1" applyFill="1" applyBorder="1" applyAlignment="1">
      <alignment horizontal="center" vertical="center" wrapText="1"/>
    </xf>
    <xf numFmtId="6" fontId="79" fillId="2" borderId="15" xfId="0" applyNumberFormat="1" applyFont="1" applyFill="1" applyBorder="1" applyAlignment="1">
      <alignment horizontal="center" vertical="center" wrapText="1" readingOrder="1"/>
    </xf>
    <xf numFmtId="0" fontId="55" fillId="30" borderId="0" xfId="0" applyFont="1" applyFill="1" applyAlignment="1">
      <alignment horizontal="center" vertical="center" wrapText="1"/>
    </xf>
    <xf numFmtId="186" fontId="75" fillId="20" borderId="59" xfId="0" applyNumberFormat="1" applyFont="1" applyFill="1" applyBorder="1" applyAlignment="1">
      <alignment horizontal="center" vertical="center" wrapText="1"/>
    </xf>
    <xf numFmtId="0" fontId="54" fillId="29" borderId="70" xfId="0" applyFont="1" applyFill="1" applyBorder="1" applyAlignment="1">
      <alignment horizontal="center" vertical="center" wrapText="1"/>
    </xf>
    <xf numFmtId="0" fontId="54" fillId="29" borderId="71" xfId="0" applyFont="1" applyFill="1" applyBorder="1" applyAlignment="1">
      <alignment horizontal="center" vertical="center" wrapText="1"/>
    </xf>
    <xf numFmtId="16" fontId="54" fillId="29" borderId="72" xfId="0" applyNumberFormat="1" applyFont="1" applyFill="1" applyBorder="1" applyAlignment="1">
      <alignment horizontal="center" vertical="center" wrapText="1"/>
    </xf>
    <xf numFmtId="0" fontId="54" fillId="29" borderId="49" xfId="0" applyFont="1" applyFill="1" applyBorder="1" applyAlignment="1">
      <alignment horizontal="center" vertical="center" wrapText="1"/>
    </xf>
    <xf numFmtId="16" fontId="54" fillId="29" borderId="73" xfId="0" applyNumberFormat="1" applyFont="1" applyFill="1" applyBorder="1" applyAlignment="1">
      <alignment horizontal="center" vertical="center" wrapText="1"/>
    </xf>
    <xf numFmtId="0" fontId="54" fillId="29" borderId="48" xfId="0" applyFont="1" applyFill="1" applyBorder="1" applyAlignment="1">
      <alignment horizontal="center" vertical="center" wrapText="1"/>
    </xf>
    <xf numFmtId="0" fontId="54" fillId="29" borderId="46" xfId="0" applyFont="1" applyFill="1" applyBorder="1" applyAlignment="1">
      <alignment horizontal="center" vertical="center" wrapText="1"/>
    </xf>
    <xf numFmtId="0" fontId="81" fillId="37" borderId="1" xfId="0" applyFont="1" applyFill="1" applyBorder="1" applyAlignment="1">
      <alignment horizontal="center" vertical="center" wrapText="1"/>
    </xf>
    <xf numFmtId="0" fontId="81" fillId="37" borderId="5" xfId="0" applyFont="1" applyFill="1" applyBorder="1" applyAlignment="1">
      <alignment horizontal="center" vertical="center" wrapText="1"/>
    </xf>
    <xf numFmtId="0" fontId="55" fillId="38" borderId="14" xfId="0" applyFont="1" applyFill="1" applyBorder="1" applyAlignment="1">
      <alignment horizontal="center" vertical="center" wrapText="1"/>
    </xf>
    <xf numFmtId="0" fontId="77" fillId="38" borderId="7" xfId="0" applyFont="1" applyFill="1" applyBorder="1" applyAlignment="1">
      <alignment horizontal="center" vertical="center" wrapText="1"/>
    </xf>
    <xf numFmtId="0" fontId="80" fillId="20" borderId="0" xfId="0" applyFont="1" applyFill="1" applyAlignment="1">
      <alignment wrapText="1"/>
    </xf>
    <xf numFmtId="0" fontId="83" fillId="20" borderId="49" xfId="0" applyFont="1" applyFill="1" applyBorder="1" applyAlignment="1">
      <alignment horizontal="center" vertical="center" wrapText="1"/>
    </xf>
    <xf numFmtId="0" fontId="84" fillId="20" borderId="47" xfId="0" applyFont="1" applyFill="1" applyBorder="1" applyAlignment="1">
      <alignment vertical="center" wrapText="1"/>
    </xf>
    <xf numFmtId="0" fontId="84" fillId="20" borderId="48" xfId="0" applyFont="1" applyFill="1" applyBorder="1" applyAlignment="1">
      <alignment vertical="center" wrapText="1"/>
    </xf>
    <xf numFmtId="16" fontId="83" fillId="20" borderId="47" xfId="0" applyNumberFormat="1" applyFont="1" applyFill="1" applyBorder="1" applyAlignment="1">
      <alignment vertical="center" wrapText="1"/>
    </xf>
    <xf numFmtId="0" fontId="85" fillId="20" borderId="48" xfId="0" applyFont="1" applyFill="1" applyBorder="1" applyAlignment="1">
      <alignment vertical="center" wrapText="1"/>
    </xf>
    <xf numFmtId="0" fontId="85" fillId="20" borderId="48" xfId="0" applyFont="1" applyFill="1" applyBorder="1" applyAlignment="1">
      <alignment horizontal="center" vertical="center" wrapText="1"/>
    </xf>
    <xf numFmtId="0" fontId="83" fillId="20" borderId="48" xfId="0" applyFont="1" applyFill="1" applyBorder="1" applyAlignment="1">
      <alignment vertical="center" wrapText="1"/>
    </xf>
    <xf numFmtId="0" fontId="82" fillId="20" borderId="47" xfId="0" applyFont="1" applyFill="1" applyBorder="1" applyAlignment="1">
      <alignment vertical="center" wrapText="1"/>
    </xf>
    <xf numFmtId="0" fontId="82" fillId="20" borderId="48" xfId="0" applyFont="1" applyFill="1" applyBorder="1" applyAlignment="1">
      <alignment vertical="center" wrapText="1"/>
    </xf>
    <xf numFmtId="0" fontId="86" fillId="20" borderId="48" xfId="0" applyFont="1" applyFill="1" applyBorder="1" applyAlignment="1">
      <alignment vertical="center" wrapText="1"/>
    </xf>
    <xf numFmtId="0" fontId="87" fillId="20" borderId="47" xfId="0" applyFont="1" applyFill="1" applyBorder="1" applyAlignment="1">
      <alignment vertical="center" wrapText="1"/>
    </xf>
    <xf numFmtId="0" fontId="87" fillId="20" borderId="48" xfId="0" applyFont="1" applyFill="1" applyBorder="1" applyAlignment="1">
      <alignment vertical="center" wrapText="1"/>
    </xf>
    <xf numFmtId="0" fontId="82" fillId="20" borderId="48" xfId="0" applyFont="1" applyFill="1" applyBorder="1" applyAlignment="1">
      <alignment vertical="top" wrapText="1"/>
    </xf>
    <xf numFmtId="0" fontId="88" fillId="24" borderId="44" xfId="0" applyFont="1" applyFill="1" applyBorder="1" applyAlignment="1">
      <alignment horizontal="center" vertical="center" wrapText="1"/>
    </xf>
    <xf numFmtId="0" fontId="89" fillId="28" borderId="41" xfId="0" applyFont="1" applyFill="1" applyBorder="1" applyAlignment="1">
      <alignment horizontal="center" vertical="center"/>
    </xf>
    <xf numFmtId="0" fontId="90" fillId="24" borderId="42" xfId="0" applyFont="1" applyFill="1" applyBorder="1" applyAlignment="1">
      <alignment horizontal="center" vertical="center" wrapText="1"/>
    </xf>
    <xf numFmtId="0" fontId="90" fillId="24" borderId="43" xfId="0" applyFont="1" applyFill="1" applyBorder="1" applyAlignment="1">
      <alignment horizontal="center" vertical="center" wrapText="1"/>
    </xf>
    <xf numFmtId="0" fontId="90" fillId="24" borderId="82" xfId="0" applyFont="1" applyFill="1" applyBorder="1" applyAlignment="1">
      <alignment horizontal="center" vertical="center" wrapText="1"/>
    </xf>
    <xf numFmtId="0" fontId="89" fillId="28" borderId="41" xfId="0" quotePrefix="1" applyFont="1" applyFill="1" applyBorder="1" applyAlignment="1">
      <alignment horizontal="center" vertical="center"/>
    </xf>
    <xf numFmtId="186" fontId="89" fillId="28" borderId="41" xfId="0" applyNumberFormat="1" applyFont="1" applyFill="1" applyBorder="1" applyAlignment="1">
      <alignment horizontal="center" vertical="center"/>
    </xf>
    <xf numFmtId="186" fontId="91" fillId="28" borderId="41" xfId="0" applyNumberFormat="1" applyFont="1" applyFill="1" applyBorder="1" applyAlignment="1">
      <alignment horizontal="center" vertical="center"/>
    </xf>
    <xf numFmtId="0" fontId="0" fillId="40" borderId="83" xfId="0" applyFill="1" applyBorder="1"/>
    <xf numFmtId="0" fontId="92" fillId="39" borderId="84" xfId="0" applyFont="1" applyFill="1" applyBorder="1"/>
    <xf numFmtId="0" fontId="0" fillId="0" borderId="85" xfId="0" applyBorder="1"/>
    <xf numFmtId="10" fontId="4" fillId="3" borderId="0" xfId="3" applyNumberFormat="1" applyFont="1" applyFill="1" applyBorder="1" applyAlignment="1">
      <alignment horizontal="center" vertical="center" wrapText="1"/>
    </xf>
    <xf numFmtId="10" fontId="4" fillId="3" borderId="14" xfId="1" applyNumberFormat="1" applyFont="1" applyFill="1" applyBorder="1" applyAlignment="1">
      <alignment horizontal="center" vertical="center" wrapText="1"/>
    </xf>
    <xf numFmtId="10" fontId="4" fillId="3" borderId="19" xfId="3" applyNumberFormat="1" applyFont="1" applyFill="1" applyBorder="1" applyAlignment="1">
      <alignment horizontal="center" vertical="center" wrapText="1"/>
    </xf>
    <xf numFmtId="8" fontId="9" fillId="3" borderId="19" xfId="1" applyNumberFormat="1" applyFont="1" applyFill="1" applyBorder="1" applyAlignment="1">
      <alignment horizontal="center" vertical="center" wrapText="1"/>
    </xf>
    <xf numFmtId="8" fontId="72" fillId="0" borderId="1" xfId="0" applyNumberFormat="1" applyFont="1" applyBorder="1"/>
    <xf numFmtId="0" fontId="93" fillId="0" borderId="0" xfId="0" applyFont="1"/>
    <xf numFmtId="0" fontId="35" fillId="20" borderId="35" xfId="0" applyFont="1" applyFill="1" applyBorder="1"/>
    <xf numFmtId="0" fontId="35" fillId="20" borderId="0" xfId="0" applyFont="1" applyFill="1"/>
    <xf numFmtId="0" fontId="35" fillId="20" borderId="31" xfId="0" applyFont="1" applyFill="1" applyBorder="1"/>
    <xf numFmtId="0" fontId="35" fillId="20" borderId="36" xfId="0" applyFont="1" applyFill="1" applyBorder="1"/>
    <xf numFmtId="0" fontId="74" fillId="36" borderId="56" xfId="0" applyFont="1" applyFill="1" applyBorder="1" applyAlignment="1">
      <alignment horizontal="center" vertical="center" wrapText="1"/>
    </xf>
    <xf numFmtId="0" fontId="74" fillId="36" borderId="57" xfId="0" applyFont="1" applyFill="1" applyBorder="1" applyAlignment="1">
      <alignment horizontal="center" vertical="center" wrapText="1"/>
    </xf>
    <xf numFmtId="0" fontId="74" fillId="36" borderId="58" xfId="0" applyFont="1" applyFill="1" applyBorder="1" applyAlignment="1">
      <alignment horizontal="center" vertical="center" wrapText="1"/>
    </xf>
    <xf numFmtId="0" fontId="54" fillId="29" borderId="76" xfId="0" applyFont="1" applyFill="1" applyBorder="1" applyAlignment="1">
      <alignment horizontal="center" vertical="center" wrapText="1"/>
    </xf>
    <xf numFmtId="0" fontId="54" fillId="29" borderId="77" xfId="0" applyFont="1" applyFill="1" applyBorder="1" applyAlignment="1">
      <alignment horizontal="center" vertical="center" wrapText="1"/>
    </xf>
    <xf numFmtId="0" fontId="54" fillId="29" borderId="78" xfId="0" applyFont="1" applyFill="1" applyBorder="1" applyAlignment="1">
      <alignment horizontal="center" vertical="center" wrapText="1"/>
    </xf>
    <xf numFmtId="0" fontId="54" fillId="29" borderId="74" xfId="0" applyFont="1" applyFill="1" applyBorder="1" applyAlignment="1">
      <alignment horizontal="center" vertical="center" wrapText="1"/>
    </xf>
    <xf numFmtId="0" fontId="54" fillId="29" borderId="75" xfId="0" applyFont="1" applyFill="1" applyBorder="1" applyAlignment="1">
      <alignment horizontal="center" vertical="center" wrapText="1"/>
    </xf>
    <xf numFmtId="0" fontId="54" fillId="29" borderId="60" xfId="0" applyFont="1" applyFill="1" applyBorder="1" applyAlignment="1">
      <alignment horizontal="center" vertical="center" wrapText="1"/>
    </xf>
    <xf numFmtId="0" fontId="54" fillId="30" borderId="45" xfId="0" applyFont="1" applyFill="1" applyBorder="1" applyAlignment="1">
      <alignment horizontal="center" vertical="center" wrapText="1"/>
    </xf>
    <xf numFmtId="0" fontId="54" fillId="30" borderId="46" xfId="0" applyFont="1" applyFill="1" applyBorder="1" applyAlignment="1">
      <alignment horizontal="center" vertical="center" wrapText="1"/>
    </xf>
    <xf numFmtId="0" fontId="40" fillId="25" borderId="38" xfId="0" applyFont="1" applyFill="1" applyBorder="1" applyAlignment="1">
      <alignment horizontal="center" vertical="center" wrapText="1"/>
    </xf>
    <xf numFmtId="0" fontId="83" fillId="20" borderId="45" xfId="0" applyFont="1" applyFill="1" applyBorder="1" applyAlignment="1">
      <alignment horizontal="center" vertical="center" wrapText="1"/>
    </xf>
    <xf numFmtId="0" fontId="83" fillId="20" borderId="46" xfId="0" applyFont="1" applyFill="1" applyBorder="1" applyAlignment="1">
      <alignment horizontal="center" vertical="center" wrapText="1"/>
    </xf>
    <xf numFmtId="0" fontId="83" fillId="20" borderId="49" xfId="0" applyFont="1" applyFill="1" applyBorder="1" applyAlignment="1">
      <alignment horizontal="center" vertical="center" wrapText="1"/>
    </xf>
    <xf numFmtId="0" fontId="84" fillId="20" borderId="45" xfId="0" applyFont="1" applyFill="1" applyBorder="1" applyAlignment="1">
      <alignment vertical="center" wrapText="1"/>
    </xf>
    <xf numFmtId="0" fontId="84" fillId="20" borderId="49" xfId="0" applyFont="1" applyFill="1" applyBorder="1" applyAlignment="1">
      <alignment vertical="center" wrapText="1"/>
    </xf>
    <xf numFmtId="0" fontId="85" fillId="20" borderId="45" xfId="0" applyFont="1" applyFill="1" applyBorder="1" applyAlignment="1">
      <alignment horizontal="center" vertical="center" wrapText="1"/>
    </xf>
    <xf numFmtId="0" fontId="85" fillId="20" borderId="49" xfId="0" applyFont="1" applyFill="1" applyBorder="1" applyAlignment="1">
      <alignment horizontal="center" vertical="center" wrapText="1"/>
    </xf>
    <xf numFmtId="0" fontId="82" fillId="20" borderId="45" xfId="0" applyFont="1" applyFill="1" applyBorder="1" applyAlignment="1">
      <alignment vertical="top" wrapText="1"/>
    </xf>
    <xf numFmtId="0" fontId="82" fillId="20" borderId="49" xfId="0" applyFont="1" applyFill="1" applyBorder="1" applyAlignment="1">
      <alignment vertical="top" wrapText="1"/>
    </xf>
    <xf numFmtId="0" fontId="83" fillId="20" borderId="45" xfId="0" applyFont="1" applyFill="1" applyBorder="1" applyAlignment="1">
      <alignment vertical="center" wrapText="1"/>
    </xf>
    <xf numFmtId="0" fontId="83" fillId="20" borderId="49" xfId="0" applyFont="1" applyFill="1" applyBorder="1" applyAlignment="1">
      <alignment vertical="center" wrapText="1"/>
    </xf>
    <xf numFmtId="0" fontId="83" fillId="20" borderId="76" xfId="0" applyFont="1" applyFill="1" applyBorder="1" applyAlignment="1">
      <alignment vertical="center" wrapText="1"/>
    </xf>
    <xf numFmtId="0" fontId="83" fillId="20" borderId="77" xfId="0" applyFont="1" applyFill="1" applyBorder="1" applyAlignment="1">
      <alignment vertical="center" wrapText="1"/>
    </xf>
    <xf numFmtId="0" fontId="83" fillId="20" borderId="81" xfId="0" applyFont="1" applyFill="1" applyBorder="1" applyAlignment="1">
      <alignment vertical="center" wrapText="1"/>
    </xf>
    <xf numFmtId="0" fontId="83" fillId="20" borderId="80" xfId="0" applyFont="1" applyFill="1" applyBorder="1" applyAlignment="1">
      <alignment vertical="center" wrapText="1"/>
    </xf>
    <xf numFmtId="0" fontId="83" fillId="20" borderId="79" xfId="0" applyFont="1" applyFill="1" applyBorder="1" applyAlignment="1">
      <alignment vertical="center" wrapText="1"/>
    </xf>
    <xf numFmtId="0" fontId="83" fillId="20" borderId="48" xfId="0" applyFont="1" applyFill="1" applyBorder="1" applyAlignment="1">
      <alignment vertical="center" wrapText="1"/>
    </xf>
    <xf numFmtId="0" fontId="83" fillId="20" borderId="46" xfId="0" applyFont="1" applyFill="1" applyBorder="1" applyAlignment="1">
      <alignment vertical="center" wrapText="1"/>
    </xf>
  </cellXfs>
  <cellStyles count="146">
    <cellStyle name="Actual Date" xfId="5" xr:uid="{CBC902C8-10E5-4DB2-A1A5-6984463524B4}"/>
    <cellStyle name="Bom 2" xfId="6" xr:uid="{CECAAF5D-C194-44B5-BD6D-6FB4193C3BDD}"/>
    <cellStyle name="Cancel" xfId="139" xr:uid="{76D95E43-02A3-40C1-91AB-A5990935971B}"/>
    <cellStyle name="Comma [0]_12matrix" xfId="7" xr:uid="{E943437E-51BB-42EC-86E6-7C4924CF2E07}"/>
    <cellStyle name="Comma_12matrix" xfId="8" xr:uid="{B60C4D74-4E9B-451C-A4E3-428780391DFF}"/>
    <cellStyle name="Currency [0]_12matrix" xfId="9" xr:uid="{F5C31731-D1C2-4F94-9572-3D910BCFA4A3}"/>
    <cellStyle name="Currency [1]" xfId="10" xr:uid="{78BB0D0B-911D-48C0-B601-1F543A8615A8}"/>
    <cellStyle name="Currency [2]" xfId="11" xr:uid="{BCC97A93-1BCD-4362-A696-B0BAEA0B3B43}"/>
    <cellStyle name="Currency [2] 2" xfId="12" xr:uid="{78F4487B-31DC-479A-BA90-A085FBD3CCDF}"/>
    <cellStyle name="Currency_12matrix" xfId="13" xr:uid="{7A8E2451-A13E-4A9A-AD3E-2E292F6ADCF6}"/>
    <cellStyle name="Date" xfId="14" xr:uid="{70409587-C800-41EC-8B87-ECE687996028}"/>
    <cellStyle name="Date [d-mmm-yy]" xfId="15" xr:uid="{8D8F0774-420E-4985-A343-4D1CD3631EDF}"/>
    <cellStyle name="Date [mm-d-yy]" xfId="16" xr:uid="{E74FD12E-5605-4C40-92E7-F28CA6F158E2}"/>
    <cellStyle name="Date [mm-d-yy] 2" xfId="17" xr:uid="{027F893E-771E-4D4A-B800-85910A1348F3}"/>
    <cellStyle name="Date [mm-d-yyyy]" xfId="18" xr:uid="{03CA01C0-DB29-4543-BACE-B6AFD842487B}"/>
    <cellStyle name="Date [mm-d-yyyy] 2" xfId="19" xr:uid="{642D62B7-4919-44E8-BFAA-8C1C4D674B78}"/>
    <cellStyle name="Date [mmm-yy]" xfId="20" xr:uid="{499F7B47-1A27-49A2-A929-6FD1288F12FA}"/>
    <cellStyle name="Euro" xfId="21" xr:uid="{BF6AD855-EDCE-48E1-BF5D-556B82101195}"/>
    <cellStyle name="Euro 2" xfId="22" xr:uid="{59912186-CCA3-44C7-BBC0-CAF172D77BB5}"/>
    <cellStyle name="Fixed" xfId="23" xr:uid="{C618FE2B-0B0B-4778-9886-F92BA5E3D2DA}"/>
    <cellStyle name="Fixed [0]" xfId="24" xr:uid="{3FE1D557-0323-45F7-ADF2-329613AA832D}"/>
    <cellStyle name="Fixed [0] 2" xfId="25" xr:uid="{843D0194-0E71-465A-B8C7-D9EEC9D4ED17}"/>
    <cellStyle name="Fixed_dimon" xfId="26" xr:uid="{A819DBF4-1C1C-4C00-87DA-3A85394981B6}"/>
    <cellStyle name="Grey" xfId="27" xr:uid="{71CEB1D7-D39E-4995-888D-F7CD760C99BD}"/>
    <cellStyle name="HEADER" xfId="28" xr:uid="{E82470E4-257A-42BF-9E79-2D94AF7F7B8D}"/>
    <cellStyle name="Heading1" xfId="29" xr:uid="{F2DF6D01-1231-421F-BADB-B0415763FE2E}"/>
    <cellStyle name="Heading2" xfId="30" xr:uid="{7972F1AF-5454-4BF7-982F-C9737A988250}"/>
    <cellStyle name="HIGHLIGHT" xfId="31" xr:uid="{FDC0754A-7005-4930-AFB8-F0854EF61826}"/>
    <cellStyle name="Hiperlink" xfId="140" builtinId="8"/>
    <cellStyle name="Input [yellow]" xfId="32" xr:uid="{070A1F42-D7E8-42D2-9723-E800A2C61242}"/>
    <cellStyle name="Input Currency" xfId="33" xr:uid="{8371003E-99D9-49F1-B04A-AC88CCEF1B58}"/>
    <cellStyle name="Input Date" xfId="34" xr:uid="{050D00F8-5178-4E58-8201-1CFC021CB32D}"/>
    <cellStyle name="Input Fixed [0]" xfId="35" xr:uid="{83021B47-8F21-4F72-9F00-66C7FCAF11B5}"/>
    <cellStyle name="Input Normal" xfId="36" xr:uid="{0763C5E4-AB73-4AE2-9B55-8F1E28F0907E}"/>
    <cellStyle name="Input Percent" xfId="37" xr:uid="{E71EC25E-103E-43D8-819B-40854F45D860}"/>
    <cellStyle name="Input Percent [2]" xfId="38" xr:uid="{E0A85F2A-A57F-4CBD-A475-F5D13D2DE333}"/>
    <cellStyle name="Input Percent_Prop_SVC - Sailing_12jul01-Tarifa Cogeração" xfId="39" xr:uid="{46B0E859-64BE-4C29-8567-595D4F2CC5CD}"/>
    <cellStyle name="Input Titles" xfId="40" xr:uid="{E0977206-A019-4A36-9889-1172548384D0}"/>
    <cellStyle name="Millares [0]_OPERACIÓN Y AHORRO IBERFRUTA Jenbacher new-law.16hx5.0021" xfId="41" xr:uid="{CC8EDC18-810C-4CA0-82E7-674B01493E8F}"/>
    <cellStyle name="Moeda" xfId="1" builtinId="4"/>
    <cellStyle name="Moeda 2" xfId="42" xr:uid="{099EEB28-8945-49AE-B8FE-671339616E84}"/>
    <cellStyle name="Moeda 3" xfId="43" xr:uid="{3AB62622-C781-4E25-B888-4E363A793BA9}"/>
    <cellStyle name="Moeda 4" xfId="2" xr:uid="{1A3227A8-FCA0-4C89-87C3-E495D06E45D7}"/>
    <cellStyle name="Moeda 4 2" xfId="44" xr:uid="{BE51E67D-8A83-4BDD-B98D-5A90CAE65818}"/>
    <cellStyle name="Moeda 4 2 2" xfId="45" xr:uid="{835A1A4F-7DD1-4686-BE16-D90BD195295C}"/>
    <cellStyle name="Moeda 4 2 2 2" xfId="127" xr:uid="{B412770C-5D0D-4794-901B-460E0FF0C182}"/>
    <cellStyle name="Moeda 4 2 3" xfId="126" xr:uid="{6C4E7EB6-E58A-4A0A-B4BC-7E7DB219C04F}"/>
    <cellStyle name="Moeda 4 3" xfId="46" xr:uid="{F105FC50-3B4F-45DE-A1DA-40F08DC03D91}"/>
    <cellStyle name="Moeda 4 3 2" xfId="128" xr:uid="{75D0BE7F-7CEF-435E-90DD-D648F9E5E462}"/>
    <cellStyle name="Moeda 4 4" xfId="47" xr:uid="{FDB8FF9C-A7C2-4F15-A351-2ED3B654AB45}"/>
    <cellStyle name="Moeda 4 5" xfId="125" xr:uid="{728B1BD1-2E08-448A-9B35-48768F335C2C}"/>
    <cellStyle name="Moeda 5" xfId="48" xr:uid="{ABAD2D6E-CC5C-4DA7-8A8B-20B2AF328A65}"/>
    <cellStyle name="Moeda 5 2" xfId="129" xr:uid="{795CA24F-9D38-4D54-9685-2CC83C0EF9E0}"/>
    <cellStyle name="Moeda 6" xfId="49" xr:uid="{9037E413-C78F-46A3-97B9-B4A886DF86C4}"/>
    <cellStyle name="Moeda 7" xfId="124" xr:uid="{99F577FD-73AF-4205-AE8A-326965D673BD}"/>
    <cellStyle name="Moeda 8" xfId="143" xr:uid="{AACCFFB0-3D33-4558-B8A4-4FE9F838FB12}"/>
    <cellStyle name="Moneda [0]_Comparativa motores" xfId="50" xr:uid="{B883BE7A-AC6C-4CDA-8799-6BB8762ED8A4}"/>
    <cellStyle name="Moneda_Comparativa motores" xfId="51" xr:uid="{ECE43760-9431-4B23-8155-097B00A99BF9}"/>
    <cellStyle name="NA is zero" xfId="52" xr:uid="{90BA10CE-1DFA-4ED8-B066-9F0D5DAD9760}"/>
    <cellStyle name="no dec" xfId="53" xr:uid="{6D39D8B6-8299-4CBF-932C-B55E6584E793}"/>
    <cellStyle name="Normal" xfId="0" builtinId="0"/>
    <cellStyle name="Normal - Style1" xfId="54" xr:uid="{736FCBCC-3646-4DC5-BDA1-2D0B48BE8835}"/>
    <cellStyle name="Normal [0]" xfId="55" xr:uid="{16C92A7B-40BE-43BE-8602-75214C22B66E}"/>
    <cellStyle name="Normal [1]" xfId="56" xr:uid="{D6B54B40-88CB-4396-BDEA-1AC56FB50256}"/>
    <cellStyle name="Normal [1] 2" xfId="57" xr:uid="{8D7EC708-5C72-45F4-9DF6-151FEBE8C8C8}"/>
    <cellStyle name="Normal [2]" xfId="58" xr:uid="{39E32F8C-D9BC-40E6-8284-EC415EB09272}"/>
    <cellStyle name="Normal [3]" xfId="59" xr:uid="{C717F403-8660-4F8D-A1A6-B41675206B14}"/>
    <cellStyle name="Normal 10" xfId="60" xr:uid="{C475046D-C27D-4176-9637-E8F2BB7B679F}"/>
    <cellStyle name="Normal 10 2" xfId="61" xr:uid="{88D0592B-5C99-403E-BC80-97DBA3E6AD7F}"/>
    <cellStyle name="Normal 11" xfId="62" xr:uid="{10D6372D-3DEE-47A5-B44B-7C2CCEF8743E}"/>
    <cellStyle name="Normal 11 2" xfId="63" xr:uid="{F145DE64-8F4D-4A14-AB61-A03D56564539}"/>
    <cellStyle name="Normal 12" xfId="64" xr:uid="{BD71D28B-32B9-437B-9247-505FFE847382}"/>
    <cellStyle name="Normal 12 2" xfId="65" xr:uid="{44264B5A-E64F-4A58-A1AB-C5198DF2A665}"/>
    <cellStyle name="Normal 13" xfId="141" xr:uid="{A20A5BFB-224D-4C1C-92C4-C863BDBA3B34}"/>
    <cellStyle name="Normal 14" xfId="142" xr:uid="{D17A841F-DB0A-4447-B472-6609B29A149E}"/>
    <cellStyle name="Normal 15" xfId="144" xr:uid="{72D2A3FF-B91B-49BB-891D-92459208EBF5}"/>
    <cellStyle name="Normal 16" xfId="145" xr:uid="{6F97EB55-AE43-4CA5-8000-B64BE0FF8E78}"/>
    <cellStyle name="Normal 2" xfId="4" xr:uid="{25BD2170-717E-4B01-9533-18E814BC7847}"/>
    <cellStyle name="Normal 2 2" xfId="66" xr:uid="{0324D3F5-B254-40DA-8EC3-6A779D530EBC}"/>
    <cellStyle name="Normal 2 3" xfId="67" xr:uid="{DEA367EC-9327-4CFC-AD8D-214B16E72A06}"/>
    <cellStyle name="Normal 3" xfId="68" xr:uid="{F51C17C5-3ABE-40AD-945A-01C3B53C36F4}"/>
    <cellStyle name="Normal 3 2" xfId="69" xr:uid="{6A79436A-9D92-4BDF-B26E-049FA5C3DE19}"/>
    <cellStyle name="Normal 3 3" xfId="70" xr:uid="{2D2F67F8-E27E-4FF9-B678-439BC07F3DCA}"/>
    <cellStyle name="Normal 4" xfId="71" xr:uid="{31593685-1CEC-4123-8470-58D2F1458E9F}"/>
    <cellStyle name="Normal 5" xfId="72" xr:uid="{587AF6AC-44EF-47EA-9F78-229DBDF1A07B}"/>
    <cellStyle name="Normal 6" xfId="73" xr:uid="{A7C07AEB-DC23-4C8F-8ACE-2FD6BFD1F7B1}"/>
    <cellStyle name="Normal 6 2" xfId="74" xr:uid="{49A4E905-580A-4989-9FAD-A76FC4829E92}"/>
    <cellStyle name="Normal 7" xfId="75" xr:uid="{FF1BF4A5-F235-4EFC-8168-5EA9BEADCE52}"/>
    <cellStyle name="Normal 7 2" xfId="76" xr:uid="{190C9CD5-6C4D-491F-9C56-0F959B9CE01D}"/>
    <cellStyle name="Normal 8" xfId="77" xr:uid="{813FDC10-FB85-4845-ADBD-5070BECE2FC5}"/>
    <cellStyle name="Normal 8 2" xfId="78" xr:uid="{BBA169FC-2254-4707-A162-FB424251B4DD}"/>
    <cellStyle name="Normal 9" xfId="79" xr:uid="{3C7E53C0-5023-4CF6-A073-612C0D6E6449}"/>
    <cellStyle name="Normal 9 2" xfId="80" xr:uid="{470F0B90-C55C-405D-81F8-153F9CEB9922}"/>
    <cellStyle name="Normal Bold" xfId="81" xr:uid="{FF743D86-B265-489C-BB2F-EFF9D97D6367}"/>
    <cellStyle name="Normal Pct" xfId="82" xr:uid="{3756BDF9-C6AF-4D5C-B8D9-5376F26213D0}"/>
    <cellStyle name="NPPESalesPct" xfId="83" xr:uid="{8C06B5FE-3CC8-42C6-994D-8D58F0C6652C}"/>
    <cellStyle name="NPPESalesPct 2" xfId="84" xr:uid="{B026149D-432C-4FE9-A554-BE650D61786F}"/>
    <cellStyle name="NWI%S" xfId="85" xr:uid="{5CF36C44-496A-4E9D-A255-97132071AF4E}"/>
    <cellStyle name="NWI%S 2" xfId="86" xr:uid="{B9424BEB-D6AB-4509-8FDC-3BB57DE5BE11}"/>
    <cellStyle name="pc1" xfId="87" xr:uid="{E413083D-17E0-48C3-802F-871B995F40A9}"/>
    <cellStyle name="pc1 2" xfId="88" xr:uid="{823EB852-C544-4639-B96C-1E8E4AF6085F}"/>
    <cellStyle name="Percent [0]" xfId="89" xr:uid="{E2922FB4-DA0E-49FD-BB85-34DC6ED47449}"/>
    <cellStyle name="Percent [0] 2" xfId="90" xr:uid="{0B5CB1EC-5EBC-4A79-85EE-AA67C1A33FEE}"/>
    <cellStyle name="Percent [1]" xfId="91" xr:uid="{56E454D2-CACD-4CAD-8951-006598CA068D}"/>
    <cellStyle name="Percent [2]" xfId="92" xr:uid="{2784937B-5D63-4E5B-A0BE-55C9576345B0}"/>
    <cellStyle name="Percent [2] 2" xfId="93" xr:uid="{80AC30CE-8027-4517-88E0-16A6EA25FF17}"/>
    <cellStyle name="Percent_Annual Prices Fuel Oil and LPG" xfId="94" xr:uid="{852E6D07-81A4-4FBE-A5F9-653A83429AB3}"/>
    <cellStyle name="PercentSales" xfId="95" xr:uid="{746DCE69-DDC2-487A-8F7A-1AFC89B9F2BA}"/>
    <cellStyle name="PercentSales 2" xfId="96" xr:uid="{66F944D5-63B8-4491-A682-88F6AF8C2196}"/>
    <cellStyle name="Porcentagem" xfId="3" builtinId="5"/>
    <cellStyle name="Porcentagem 2" xfId="97" xr:uid="{CE4F5F98-6CCA-43F0-BBC9-311B717AED8D}"/>
    <cellStyle name="Porcentagem 3" xfId="98" xr:uid="{7B1FCD91-F7AE-49E9-B08B-2C4A1BAFC2F1}"/>
    <cellStyle name="Porcentagem 3 2" xfId="99" xr:uid="{3B57EB81-86A5-44AD-9730-39505EA721FC}"/>
    <cellStyle name="Red font" xfId="100" xr:uid="{806AFFB4-0EE6-4816-9820-24E4A2D95F88}"/>
    <cellStyle name="Strange" xfId="101" xr:uid="{73CD3F53-7B07-4524-9EE7-95F6882FCD8B}"/>
    <cellStyle name="Test [green]" xfId="102" xr:uid="{AE8611D5-C084-430B-9812-AA8C9D30C4D9}"/>
    <cellStyle name="Test [green] 2" xfId="103" xr:uid="{DDC9557C-D316-49BE-8926-4042CA94ADE2}"/>
    <cellStyle name="TFCF" xfId="104" xr:uid="{40231A26-8EBD-4E13-949E-504E4C29D3EE}"/>
    <cellStyle name="Unprot" xfId="105" xr:uid="{57603897-95FE-466F-9FF0-C864AFB0E9C8}"/>
    <cellStyle name="Unprot$" xfId="106" xr:uid="{0D856073-C4B2-40E7-8BF9-1E422C013D91}"/>
    <cellStyle name="Unprot$ 2" xfId="107" xr:uid="{0B473701-C1E6-47E9-9659-FBD2C0D482F0}"/>
    <cellStyle name="Unprot_Brazil" xfId="108" xr:uid="{DD9A6E6A-890D-46BB-8083-55EBB5B4EF92}"/>
    <cellStyle name="Unprotect" xfId="109" xr:uid="{FAA07B64-9480-420F-BA1C-E4900CC5821F}"/>
    <cellStyle name="Vírgula 2" xfId="110" xr:uid="{9AA02303-86D7-469C-BA97-DFA27715120C}"/>
    <cellStyle name="Vírgula 2 2" xfId="111" xr:uid="{2DA2449D-EBE1-41C3-B385-985B5534BECD}"/>
    <cellStyle name="Vírgula 2 2 2" xfId="112" xr:uid="{6731653C-DB14-4D62-8804-3BBEC1652005}"/>
    <cellStyle name="Vírgula 2 2 2 2" xfId="130" xr:uid="{5A7A95A2-065F-477A-8DE1-EAC54D3B7D39}"/>
    <cellStyle name="Vírgula 2 3" xfId="113" xr:uid="{3B80CFBC-2386-4919-AD61-928D9AB30655}"/>
    <cellStyle name="Vírgula 2 3 2" xfId="131" xr:uid="{CECEAC33-0BFE-4F49-BFB3-0B60D3C585DD}"/>
    <cellStyle name="Vírgula 3" xfId="114" xr:uid="{88842BCB-2088-4A44-81FF-23A04F03AC92}"/>
    <cellStyle name="Vírgula 3 2" xfId="115" xr:uid="{1563E21C-3735-4121-8FD4-943A653DCD24}"/>
    <cellStyle name="Vírgula 3 2 2" xfId="133" xr:uid="{50265FF6-3326-4AEE-A09B-E9A1D32018F2}"/>
    <cellStyle name="Vírgula 3 3" xfId="132" xr:uid="{8488EAD8-9D34-4DEC-A25A-453BABB34D04}"/>
    <cellStyle name="Vírgula 4" xfId="116" xr:uid="{2951CB3C-0B1A-412D-91E8-254B372360EF}"/>
    <cellStyle name="Vírgula 4 2" xfId="117" xr:uid="{243582EA-B9AE-4009-826F-D6C20524B82C}"/>
    <cellStyle name="Vírgula 4 2 2" xfId="135" xr:uid="{1B56AC81-C4F3-4E0C-8C40-4994CB1D3CB5}"/>
    <cellStyle name="Vírgula 4 3" xfId="134" xr:uid="{998EAA99-6692-4FF9-8761-92E2E4FC1DF5}"/>
    <cellStyle name="Vírgula 5" xfId="118" xr:uid="{BF58DB8E-C004-4AA0-BB6E-4570F2030B20}"/>
    <cellStyle name="Vírgula 5 2" xfId="119" xr:uid="{405031DC-2740-4881-B05C-21ED043DC23E}"/>
    <cellStyle name="Vírgula 5 2 2" xfId="137" xr:uid="{B1317535-A634-4439-8523-7067BB53C857}"/>
    <cellStyle name="Vírgula 5 3" xfId="136" xr:uid="{226649B8-A33A-406B-A936-1ADB74AF3F8C}"/>
    <cellStyle name="Vírgula 6" xfId="120" xr:uid="{529F2542-A227-4EF5-A7C5-25733C9B73E4}"/>
    <cellStyle name="Vírgula 6 2" xfId="138" xr:uid="{61ADD05E-CB5C-408E-A26A-B114816E6CC6}"/>
    <cellStyle name="Vírgula 7" xfId="121" xr:uid="{43A76E72-6AB0-4557-937A-EA6D4FAC552F}"/>
    <cellStyle name="Vírgula 8" xfId="123" xr:uid="{A1CCE000-4F66-405C-99E2-CF50D3B1164A}"/>
    <cellStyle name="White" xfId="122" xr:uid="{7074DC0C-A8E3-4776-9736-4626E2DF9E8D}"/>
  </cellStyles>
  <dxfs count="786">
    <dxf>
      <font>
        <color rgb="FF9C5700"/>
      </font>
      <fill>
        <patternFill>
          <bgColor rgb="FFFFEB9C"/>
        </patternFill>
      </fill>
    </dxf>
    <dxf>
      <font>
        <color rgb="FF9C5700"/>
      </font>
      <fill>
        <patternFill>
          <bgColor rgb="FFFFEB9C"/>
        </patternFill>
      </fill>
    </dxf>
    <dxf>
      <font>
        <color rgb="FFFF0000"/>
      </font>
    </dxf>
    <dxf>
      <font>
        <color rgb="FF006100"/>
      </font>
      <fill>
        <patternFill>
          <bgColor rgb="FFC6EFCE"/>
        </patternFill>
      </fill>
    </dxf>
    <dxf>
      <font>
        <color rgb="FF9C0006"/>
      </font>
      <fill>
        <patternFill>
          <bgColor rgb="FFFFC7CE"/>
        </patternFill>
      </fill>
    </dxf>
    <dxf>
      <font>
        <color rgb="FFC00000"/>
      </font>
      <fill>
        <patternFill>
          <bgColor rgb="FFFFD5D5"/>
        </patternFill>
      </fill>
    </dxf>
    <dxf>
      <font>
        <color theme="9" tint="-0.499984740745262"/>
      </font>
      <fill>
        <patternFill>
          <bgColor theme="9" tint="0.59996337778862885"/>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outline="0">
        <left/>
        <right/>
        <top style="medium">
          <color rgb="FFFFFFFF"/>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top style="medium">
          <color rgb="FFFFFFFF"/>
        </top>
        <bottom/>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dxf>
    <dxf>
      <border outline="0">
        <top style="medium">
          <color rgb="FFFFFFFF"/>
        </top>
      </border>
    </dxf>
    <dxf>
      <border outline="0">
        <top style="thin">
          <color theme="0"/>
        </top>
        <bottom style="medium">
          <color rgb="FFFFFFFF"/>
        </bottom>
      </border>
    </dxf>
    <dxf>
      <border outline="0">
        <bottom style="thin">
          <color theme="0"/>
        </bottom>
      </border>
    </dxf>
    <dxf>
      <font>
        <b/>
        <i val="0"/>
        <strike val="0"/>
        <condense val="0"/>
        <extend val="0"/>
        <outline val="0"/>
        <shadow val="0"/>
        <u val="none"/>
        <vertAlign val="baseline"/>
        <sz val="12"/>
        <color rgb="FFFFFFFF"/>
        <name val="Calibri Light"/>
        <family val="2"/>
        <scheme val="none"/>
      </font>
      <fill>
        <patternFill patternType="solid">
          <fgColor indexed="64"/>
          <bgColor rgb="FF182A4B"/>
        </patternFill>
      </fill>
      <alignment horizontal="center" vertical="center" textRotation="0" wrapText="1" indent="0" justifyLastLine="0" shrinkToFit="0" readingOrder="1"/>
      <border diagonalUp="0" diagonalDown="0" outline="0">
        <left style="thin">
          <color theme="0"/>
        </left>
        <right style="thin">
          <color theme="0"/>
        </right>
        <top/>
        <bottom/>
      </border>
    </dxf>
    <dxf>
      <font>
        <b/>
        <i val="0"/>
        <strike val="0"/>
        <condense val="0"/>
        <extend val="0"/>
        <outline val="0"/>
        <shadow val="0"/>
        <u val="none"/>
        <vertAlign val="baseline"/>
        <sz val="10"/>
        <color rgb="FF002060"/>
        <name val="Tahoma"/>
        <family val="2"/>
        <scheme val="none"/>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top style="thin">
          <color rgb="FFA0A0A0"/>
        </top>
        <bottom/>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vertical/>
        <horizontal/>
      </border>
    </dxf>
    <dxf>
      <font>
        <b/>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vertical/>
        <horizontal/>
      </border>
    </dxf>
    <dxf>
      <font>
        <b/>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vertical/>
        <horizontal/>
      </border>
    </dxf>
    <dxf>
      <font>
        <b/>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vertical/>
        <horizontal/>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left/>
        <right style="thin">
          <color rgb="FFA0A0A0"/>
        </right>
        <top style="thin">
          <color rgb="FFA0A0A0"/>
        </top>
        <bottom style="thin">
          <color rgb="FFA0A0A0"/>
        </bottom>
      </border>
    </dxf>
    <dxf>
      <border outline="0">
        <top style="thin">
          <color rgb="FFA0A0A0"/>
        </top>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bottom/>
      </border>
    </dxf>
    <dxf>
      <border outline="0">
        <left style="thin">
          <color rgb="FFA0A0A0"/>
        </left>
        <right style="thin">
          <color rgb="FFA0A0A0"/>
        </right>
        <top style="thin">
          <color rgb="FFA0A0A0"/>
        </top>
        <bottom style="thin">
          <color rgb="FFA0A0A0"/>
        </bottom>
      </border>
    </dxf>
    <dxf>
      <border outline="0">
        <bottom style="thin">
          <color rgb="FFA0A0A0"/>
        </bottom>
      </border>
    </dxf>
    <dxf>
      <font>
        <b/>
        <i val="0"/>
        <strike val="0"/>
        <condense val="0"/>
        <extend val="0"/>
        <outline val="0"/>
        <shadow val="0"/>
        <u val="none"/>
        <vertAlign val="baseline"/>
        <sz val="10"/>
        <color rgb="FF10257F"/>
        <name val="Calibri"/>
        <family val="2"/>
        <scheme val="minor"/>
      </font>
      <fill>
        <patternFill patternType="solid">
          <fgColor indexed="64"/>
          <bgColor theme="2"/>
        </patternFill>
      </fill>
      <alignment horizontal="center" vertical="center" textRotation="0" wrapText="1" indent="0" justifyLastLine="0" shrinkToFit="0" readingOrder="0"/>
      <border diagonalUp="0" diagonalDown="0" outline="0">
        <left style="thin">
          <color rgb="FFA0A0A0"/>
        </left>
        <right style="thin">
          <color rgb="FFA0A0A0"/>
        </right>
        <top/>
        <bottom/>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2" formatCode="&quot;R$&quot;\ #,##0.00;[Red]\-&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2" formatCode="&quot;R$&quot;\ #,##0.00;[Red]\-&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7" formatCode="[$-416]d\-mmm;@"/>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7" formatCode="[$-416]d\-mmm;@"/>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right style="thin">
          <color rgb="FFA0A0A0"/>
        </right>
        <top style="thin">
          <color rgb="FFA0A0A0"/>
        </top>
        <bottom style="thin">
          <color rgb="FFA0A0A0"/>
        </bottom>
        <vertical/>
        <horizontal/>
      </border>
    </dxf>
    <dxf>
      <border outline="0">
        <top style="thin">
          <color rgb="FFA0A0A0"/>
        </top>
      </border>
    </dxf>
    <dxf>
      <border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dxf>
    <dxf>
      <border outline="0">
        <bottom style="thin">
          <color rgb="FFA0A0A0"/>
        </bottom>
      </border>
    </dxf>
    <dxf>
      <font>
        <b/>
        <i val="0"/>
        <strike val="0"/>
        <condense val="0"/>
        <extend val="0"/>
        <outline val="0"/>
        <shadow val="0"/>
        <u val="none"/>
        <vertAlign val="baseline"/>
        <sz val="10"/>
        <color rgb="FF10257F"/>
        <name val="Calibri"/>
        <family val="2"/>
        <scheme val="minor"/>
      </font>
      <fill>
        <patternFill patternType="solid">
          <fgColor indexed="64"/>
          <bgColor theme="2"/>
        </patternFill>
      </fill>
      <alignment horizontal="center" vertical="center" textRotation="0" wrapText="1" indent="0" justifyLastLine="0" shrinkToFit="0" readingOrder="0"/>
      <border diagonalUp="0" diagonalDown="0" outline="0">
        <left style="thin">
          <color rgb="FFA0A0A0"/>
        </left>
        <right style="thin">
          <color rgb="FFA0A0A0"/>
        </right>
        <top/>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2" formatCode="&quot;R$&quot;\ #,##0.00;[Red]\-&quot;R$&quot;\ #,##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auto="1"/>
        <name val="Calibri Light"/>
        <family val="2"/>
        <scheme val="major"/>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sz val="10"/>
        <color auto="1"/>
        <name val="Calibri Light"/>
        <family val="2"/>
        <scheme val="major"/>
      </font>
      <numFmt numFmtId="189" formatCode="h:mm;@"/>
      <fill>
        <patternFill patternType="solid">
          <fgColor indexed="64"/>
          <bgColor theme="0" tint="-0.14999847407452621"/>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auto="1"/>
        <name val="Calibri Light"/>
        <family val="2"/>
        <scheme val="major"/>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sz val="10"/>
        <color auto="1"/>
        <name val="Calibri Light"/>
        <family val="2"/>
        <scheme val="major"/>
      </font>
      <numFmt numFmtId="189" formatCode="h:mm;@"/>
      <fill>
        <patternFill patternType="solid">
          <fgColor indexed="64"/>
          <bgColor theme="0" tint="-0.14999847407452621"/>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auto="1"/>
        <name val="Calibri Light"/>
        <family val="2"/>
        <scheme val="major"/>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auto="1"/>
        <name val="Calibri Light"/>
        <family val="2"/>
        <scheme val="major"/>
      </font>
      <numFmt numFmtId="189" formatCode="h:mm;@"/>
      <fill>
        <patternFill patternType="solid">
          <fgColor indexed="64"/>
          <bgColor theme="0" tint="-0.14999847407452621"/>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auto="1"/>
        <name val="Calibri Light"/>
        <family val="2"/>
        <scheme val="major"/>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66" formatCode="[$-416]mmmm\-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border outline="0">
        <top style="medium">
          <color rgb="FFFFFFFF"/>
        </top>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border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dxf>
    <dxf>
      <border outline="0">
        <bottom style="medium">
          <color rgb="FFFFFFFF"/>
        </bottom>
      </border>
    </dxf>
    <dxf>
      <font>
        <b val="0"/>
        <i val="0"/>
        <strike val="0"/>
        <condense val="0"/>
        <extend val="0"/>
        <outline val="0"/>
        <shadow val="0"/>
        <u val="none"/>
        <vertAlign val="baseline"/>
        <sz val="11"/>
        <color rgb="FFFFFFFF"/>
        <name val="Calibri Light"/>
        <family val="2"/>
        <scheme val="none"/>
      </font>
      <fill>
        <patternFill patternType="solid">
          <fgColor rgb="FF000000"/>
          <bgColor rgb="FF182A4B"/>
        </patternFill>
      </fill>
      <alignment horizontal="center" vertical="center" textRotation="0" wrapText="1" indent="0" justifyLastLine="0" shrinkToFit="0" readingOrder="1"/>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66" formatCode="[$-416]mmmm\-yy;@"/>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66" formatCode="[$-416]mmmm\-yy;@"/>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21" formatCode="dd/mmm"/>
      <fill>
        <patternFill patternType="solid">
          <fgColor indexed="64"/>
          <bgColor rgb="FFF2F2F2"/>
        </patternFill>
      </fill>
      <alignment horizontal="center" vertical="center" textRotation="0" wrapText="1" indent="0" justifyLastLine="0" shrinkToFit="0" readingOrder="0"/>
      <border diagonalUp="0" diagonalDown="0">
        <left/>
        <right style="medium">
          <color rgb="FFFFFFFF"/>
        </right>
        <top style="medium">
          <color rgb="FFFFFFFF"/>
        </top>
        <bottom style="medium">
          <color rgb="FFFFFFFF"/>
        </bottom>
        <vertical/>
        <horizontal/>
      </border>
    </dxf>
    <dxf>
      <border outline="0">
        <left style="medium">
          <color rgb="FFFFFFFF"/>
        </left>
        <right style="medium">
          <color rgb="FFFFFFFF"/>
        </right>
        <bottom style="medium">
          <color rgb="FFFFFFFF"/>
        </bottom>
      </border>
    </dxf>
    <dxf>
      <font>
        <b val="0"/>
        <i val="0"/>
        <strike val="0"/>
        <condense val="0"/>
        <extend val="0"/>
        <outline val="0"/>
        <shadow val="0"/>
        <u val="none"/>
        <vertAlign val="baseline"/>
        <sz val="12"/>
        <color auto="1"/>
        <name val="Calibri Light"/>
        <family val="2"/>
        <scheme val="major"/>
      </font>
      <fill>
        <patternFill patternType="solid">
          <fgColor indexed="64"/>
          <bgColor rgb="FFF2F2F2"/>
        </patternFill>
      </fill>
      <alignment horizontal="center" vertical="center" textRotation="0" wrapText="1" indent="0" justifyLastLine="0" shrinkToFit="0" readingOrder="0"/>
    </dxf>
    <dxf>
      <font>
        <b val="0"/>
        <i val="0"/>
        <strike val="0"/>
        <condense val="0"/>
        <extend val="0"/>
        <outline val="0"/>
        <shadow val="0"/>
        <u val="none"/>
        <vertAlign val="baseline"/>
        <sz val="12"/>
        <color rgb="FFFFFFFF"/>
        <name val="Calibri Light"/>
        <family val="2"/>
        <scheme val="none"/>
      </font>
      <fill>
        <patternFill patternType="solid">
          <fgColor indexed="64"/>
          <bgColor rgb="FF85A2D7"/>
        </patternFill>
      </fill>
      <alignment horizontal="center" vertical="center" textRotation="0" wrapText="1" indent="0" justifyLastLine="0" shrinkToFit="0" readingOrder="1"/>
      <border diagonalUp="0" diagonalDown="0" outline="0">
        <left style="medium">
          <color rgb="FFFFFFFF"/>
        </left>
        <right style="medium">
          <color rgb="FFFFFFFF"/>
        </right>
        <top/>
        <bottom/>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1">
        <left style="medium">
          <color theme="0"/>
        </left>
        <right style="medium">
          <color theme="0"/>
        </right>
        <top style="medium">
          <color theme="0"/>
        </top>
        <bottom style="medium">
          <color theme="0"/>
        </bottom>
        <diagonal style="medium">
          <color theme="0"/>
        </diagonal>
        <vertical style="medium">
          <color theme="0"/>
        </vertical>
        <horizontal style="medium">
          <color theme="0"/>
        </horizontal>
      </border>
    </dxf>
    <dxf>
      <fill>
        <patternFill>
          <bgColor rgb="FFD9D9D9"/>
        </patternFill>
      </fill>
      <border>
        <left style="medium">
          <color theme="0"/>
        </left>
        <right style="medium">
          <color theme="0"/>
        </right>
        <top style="medium">
          <color theme="0"/>
        </top>
        <bottom style="medium">
          <color theme="0"/>
        </bottom>
        <vertical style="medium">
          <color theme="0"/>
        </vertical>
        <horizontal style="medium">
          <color theme="0"/>
        </horizontal>
      </border>
    </dxf>
  </dxfs>
  <tableStyles count="9" defaultTableStyle="TableStyleMedium2" defaultPivotStyle="PivotStyleLight16">
    <tableStyle name="Estilo de Tabela 1" pivot="0" count="0" xr9:uid="{1B3DCC52-D0BC-4039-9E24-807CF09199AF}"/>
    <tableStyle name="Estilo de Tabela 2" pivot="0" count="0" xr9:uid="{EED0336A-A0EE-4D06-9E47-8BCE9E0E8C5D}"/>
    <tableStyle name="Estilo de Tabela 3" pivot="0" count="0" xr9:uid="{B8D9E35E-F699-48CF-BB4E-CAAFC4D3FF5B}"/>
    <tableStyle name="Estilo de Tabela 4" pivot="0" count="0" xr9:uid="{D1AD67EA-5CE6-49AE-A005-0ED064CC1D1B}"/>
    <tableStyle name="Estilo de Tabela 5" pivot="0" count="0" xr9:uid="{5BE574A4-69C9-44D1-92EE-1DC0DAD6776C}"/>
    <tableStyle name="Estilo de Tabela 6" pivot="0" count="0" xr9:uid="{1E460C22-9202-4B6D-9B9F-B0335F9EC795}"/>
    <tableStyle name="Estilo de Tabela 7" pivot="0" count="0" xr9:uid="{52B6E578-8746-456F-AA54-7CB36154737A}"/>
    <tableStyle name="Estilo de Tabela 8" pivot="0" count="1" xr9:uid="{130CD948-AB09-4402-88DD-68BDF8C386D0}">
      <tableStyleElement type="wholeTable" dxfId="785"/>
    </tableStyle>
    <tableStyle name="Estilo de Tabela 9" pivot="0" count="1" xr9:uid="{9065A30C-D13E-467A-9554-E2A9B4E3FE4F}">
      <tableStyleElement type="wholeTable" dxfId="784"/>
    </tableStyle>
  </tableStyles>
  <colors>
    <mruColors>
      <color rgb="FFFFD5D5"/>
      <color rgb="FF182A4B"/>
      <color rgb="FF223B68"/>
      <color rgb="FFD9D9D9"/>
      <color rgb="FF85A2D7"/>
      <color rgb="FF6288CC"/>
      <color rgb="FF3C69BA"/>
      <color rgb="FF28467C"/>
      <color rgb="FF0E19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microsoft.com/office/2007/relationships/slicerCache" Target="slicerCaches/slicerCache5.xml"/><Relationship Id="rId26" Type="http://schemas.microsoft.com/office/2007/relationships/slicerCache" Target="slicerCaches/slicerCache13.xml"/><Relationship Id="rId39" Type="http://schemas.openxmlformats.org/officeDocument/2006/relationships/customXml" Target="../customXml/item5.xml"/><Relationship Id="rId21" Type="http://schemas.microsoft.com/office/2007/relationships/slicerCache" Target="slicerCaches/slicerCache8.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microsoft.com/office/2007/relationships/slicerCache" Target="slicerCaches/slicerCache12.xml"/><Relationship Id="rId33" Type="http://schemas.microsoft.com/office/2017/10/relationships/person" Target="persons/person.xml"/><Relationship Id="rId38" Type="http://schemas.openxmlformats.org/officeDocument/2006/relationships/customXml" Target="../customXml/item4.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1.xml"/><Relationship Id="rId32" Type="http://schemas.openxmlformats.org/officeDocument/2006/relationships/sheetMetadata" Target="metadata.xml"/><Relationship Id="rId37"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theme" Target="theme/theme1.xml"/><Relationship Id="rId36" Type="http://schemas.openxmlformats.org/officeDocument/2006/relationships/customXml" Target="../customXml/item2.xml"/><Relationship Id="rId10" Type="http://schemas.openxmlformats.org/officeDocument/2006/relationships/worksheet" Target="worksheets/sheet10.xml"/><Relationship Id="rId19" Type="http://schemas.microsoft.com/office/2007/relationships/slicerCache" Target="slicerCaches/slicerCache6.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microsoft.com/office/2007/relationships/slicerCache" Target="slicerCaches/slicerCache14.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absolute">
    <xdr:from>
      <xdr:col>0</xdr:col>
      <xdr:colOff>3785</xdr:colOff>
      <xdr:row>0</xdr:row>
      <xdr:rowOff>0</xdr:rowOff>
    </xdr:from>
    <xdr:to>
      <xdr:col>0</xdr:col>
      <xdr:colOff>1924058</xdr:colOff>
      <xdr:row>7</xdr:row>
      <xdr:rowOff>206615</xdr:rowOff>
    </xdr:to>
    <mc:AlternateContent xmlns:mc="http://schemas.openxmlformats.org/markup-compatibility/2006" xmlns:sle15="http://schemas.microsoft.com/office/drawing/2012/slicer">
      <mc:Choice Requires="sle15">
        <xdr:graphicFrame macro="">
          <xdr:nvGraphicFramePr>
            <xdr:cNvPr id="3" name="Unidade 2">
              <a:extLst>
                <a:ext uri="{FF2B5EF4-FFF2-40B4-BE49-F238E27FC236}">
                  <a16:creationId xmlns:a16="http://schemas.microsoft.com/office/drawing/2014/main" id="{BB6770CC-04BA-9FFA-5260-5B576679134E}"/>
                </a:ext>
              </a:extLst>
            </xdr:cNvPr>
            <xdr:cNvGraphicFramePr/>
          </xdr:nvGraphicFramePr>
          <xdr:xfrm>
            <a:off x="0" y="0"/>
            <a:ext cx="0" cy="0"/>
          </xdr:xfrm>
          <a:graphic>
            <a:graphicData uri="http://schemas.microsoft.com/office/drawing/2010/slicer">
              <sle:slicer xmlns:sle="http://schemas.microsoft.com/office/drawing/2010/slicer" name="Unidade 2"/>
            </a:graphicData>
          </a:graphic>
        </xdr:graphicFrame>
      </mc:Choice>
      <mc:Fallback xmlns="">
        <xdr:sp macro="" textlink="">
          <xdr:nvSpPr>
            <xdr:cNvPr id="0" name=""/>
            <xdr:cNvSpPr>
              <a:spLocks noTextEdit="1"/>
            </xdr:cNvSpPr>
          </xdr:nvSpPr>
          <xdr:spPr>
            <a:xfrm>
              <a:off x="3785" y="0"/>
              <a:ext cx="1908843" cy="2501142"/>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34535</xdr:colOff>
      <xdr:row>7</xdr:row>
      <xdr:rowOff>249465</xdr:rowOff>
    </xdr:from>
    <xdr:to>
      <xdr:col>0</xdr:col>
      <xdr:colOff>1920609</xdr:colOff>
      <xdr:row>17</xdr:row>
      <xdr:rowOff>117069</xdr:rowOff>
    </xdr:to>
    <mc:AlternateContent xmlns:mc="http://schemas.openxmlformats.org/markup-compatibility/2006" xmlns:sle15="http://schemas.microsoft.com/office/drawing/2012/slicer">
      <mc:Choice Requires="sle15">
        <xdr:graphicFrame macro="">
          <xdr:nvGraphicFramePr>
            <xdr:cNvPr id="6" name="Categoria 3">
              <a:extLst>
                <a:ext uri="{FF2B5EF4-FFF2-40B4-BE49-F238E27FC236}">
                  <a16:creationId xmlns:a16="http://schemas.microsoft.com/office/drawing/2014/main" id="{39CA30B2-DA1F-A2D1-33A9-673438624F3C}"/>
                </a:ext>
              </a:extLst>
            </xdr:cNvPr>
            <xdr:cNvGraphicFramePr/>
          </xdr:nvGraphicFramePr>
          <xdr:xfrm>
            <a:off x="0" y="0"/>
            <a:ext cx="0" cy="0"/>
          </xdr:xfrm>
          <a:graphic>
            <a:graphicData uri="http://schemas.microsoft.com/office/drawing/2010/slicer">
              <sle:slicer xmlns:sle="http://schemas.microsoft.com/office/drawing/2010/slicer" name="Categoria 3"/>
            </a:graphicData>
          </a:graphic>
        </xdr:graphicFrame>
      </mc:Choice>
      <mc:Fallback xmlns="">
        <xdr:sp macro="" textlink="">
          <xdr:nvSpPr>
            <xdr:cNvPr id="0" name=""/>
            <xdr:cNvSpPr>
              <a:spLocks noTextEdit="1"/>
            </xdr:cNvSpPr>
          </xdr:nvSpPr>
          <xdr:spPr>
            <a:xfrm>
              <a:off x="34535" y="2581729"/>
              <a:ext cx="1893694" cy="2728099"/>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56553</xdr:colOff>
      <xdr:row>17</xdr:row>
      <xdr:rowOff>203240</xdr:rowOff>
    </xdr:from>
    <xdr:to>
      <xdr:col>0</xdr:col>
      <xdr:colOff>1927205</xdr:colOff>
      <xdr:row>26</xdr:row>
      <xdr:rowOff>254822</xdr:rowOff>
    </xdr:to>
    <mc:AlternateContent xmlns:mc="http://schemas.openxmlformats.org/markup-compatibility/2006" xmlns:sle15="http://schemas.microsoft.com/office/drawing/2012/slicer">
      <mc:Choice Requires="sle15">
        <xdr:graphicFrame macro="">
          <xdr:nvGraphicFramePr>
            <xdr:cNvPr id="2" name="Fornecedor 3">
              <a:extLst>
                <a:ext uri="{FF2B5EF4-FFF2-40B4-BE49-F238E27FC236}">
                  <a16:creationId xmlns:a16="http://schemas.microsoft.com/office/drawing/2014/main" id="{AF2300B3-7346-5C16-30CD-61B1FBE74640}"/>
                </a:ext>
                <a:ext uri="{147F2762-F138-4A5C-976F-8EAC2B608ADB}">
                  <a16:predDERef xmlns:a16="http://schemas.microsoft.com/office/drawing/2014/main" pred="{39CA30B2-DA1F-A2D1-33A9-673438624F3C}"/>
                </a:ext>
              </a:extLst>
            </xdr:cNvPr>
            <xdr:cNvGraphicFramePr/>
          </xdr:nvGraphicFramePr>
          <xdr:xfrm>
            <a:off x="0" y="0"/>
            <a:ext cx="0" cy="0"/>
          </xdr:xfrm>
          <a:graphic>
            <a:graphicData uri="http://schemas.microsoft.com/office/drawing/2010/slicer">
              <sle:slicer xmlns:sle="http://schemas.microsoft.com/office/drawing/2010/slicer" name="Fornecedor 3"/>
            </a:graphicData>
          </a:graphic>
        </xdr:graphicFrame>
      </mc:Choice>
      <mc:Fallback xmlns="">
        <xdr:sp macro="" textlink="">
          <xdr:nvSpPr>
            <xdr:cNvPr id="0" name=""/>
            <xdr:cNvSpPr>
              <a:spLocks noTextEdit="1"/>
            </xdr:cNvSpPr>
          </xdr:nvSpPr>
          <xdr:spPr>
            <a:xfrm>
              <a:off x="67983" y="5372698"/>
              <a:ext cx="1864937" cy="2668536"/>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75886</xdr:colOff>
      <xdr:row>27</xdr:row>
      <xdr:rowOff>108303</xdr:rowOff>
    </xdr:from>
    <xdr:to>
      <xdr:col>0</xdr:col>
      <xdr:colOff>1964046</xdr:colOff>
      <xdr:row>36</xdr:row>
      <xdr:rowOff>174598</xdr:rowOff>
    </xdr:to>
    <mc:AlternateContent xmlns:mc="http://schemas.openxmlformats.org/markup-compatibility/2006" xmlns:sle15="http://schemas.microsoft.com/office/drawing/2012/slicer">
      <mc:Choice Requires="sle15">
        <xdr:graphicFrame macro="">
          <xdr:nvGraphicFramePr>
            <xdr:cNvPr id="4" name="Mês de referência para faturamento">
              <a:extLst>
                <a:ext uri="{FF2B5EF4-FFF2-40B4-BE49-F238E27FC236}">
                  <a16:creationId xmlns:a16="http://schemas.microsoft.com/office/drawing/2014/main" id="{1C533AFA-2DF8-A11E-1367-0EB8E947A676}"/>
                </a:ext>
                <a:ext uri="{147F2762-F138-4A5C-976F-8EAC2B608ADB}">
                  <a16:predDERef xmlns:a16="http://schemas.microsoft.com/office/drawing/2014/main" pred="{AF2300B3-7346-5C16-30CD-61B1FBE74640}"/>
                </a:ext>
              </a:extLst>
            </xdr:cNvPr>
            <xdr:cNvGraphicFramePr/>
          </xdr:nvGraphicFramePr>
          <xdr:xfrm>
            <a:off x="0" y="0"/>
            <a:ext cx="0" cy="0"/>
          </xdr:xfrm>
          <a:graphic>
            <a:graphicData uri="http://schemas.microsoft.com/office/drawing/2010/slicer">
              <sle:slicer xmlns:sle="http://schemas.microsoft.com/office/drawing/2010/slicer" name="Mês de referência para faturamento"/>
            </a:graphicData>
          </a:graphic>
        </xdr:graphicFrame>
      </mc:Choice>
      <mc:Fallback xmlns="">
        <xdr:sp macro="" textlink="">
          <xdr:nvSpPr>
            <xdr:cNvPr id="0" name=""/>
            <xdr:cNvSpPr>
              <a:spLocks noTextEdit="1"/>
            </xdr:cNvSpPr>
          </xdr:nvSpPr>
          <xdr:spPr>
            <a:xfrm>
              <a:off x="75886" y="8014607"/>
              <a:ext cx="1888160" cy="2563649"/>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407</xdr:row>
      <xdr:rowOff>175539</xdr:rowOff>
    </xdr:from>
    <xdr:to>
      <xdr:col>0</xdr:col>
      <xdr:colOff>1854094</xdr:colOff>
      <xdr:row>420</xdr:row>
      <xdr:rowOff>1709</xdr:rowOff>
    </xdr:to>
    <mc:AlternateContent xmlns:mc="http://schemas.openxmlformats.org/markup-compatibility/2006" xmlns:sle15="http://schemas.microsoft.com/office/drawing/2012/slicer">
      <mc:Choice Requires="sle15">
        <xdr:graphicFrame macro="">
          <xdr:nvGraphicFramePr>
            <xdr:cNvPr id="3" name="Categoria">
              <a:extLst>
                <a:ext uri="{FF2B5EF4-FFF2-40B4-BE49-F238E27FC236}">
                  <a16:creationId xmlns:a16="http://schemas.microsoft.com/office/drawing/2014/main" id="{7B7C981B-A27E-3940-A5FA-1C41F04FF167}"/>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0" y="2817705"/>
              <a:ext cx="1847744" cy="224065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62081</xdr:colOff>
      <xdr:row>433</xdr:row>
      <xdr:rowOff>137323</xdr:rowOff>
    </xdr:from>
    <xdr:to>
      <xdr:col>0</xdr:col>
      <xdr:colOff>1889984</xdr:colOff>
      <xdr:row>443</xdr:row>
      <xdr:rowOff>28903</xdr:rowOff>
    </xdr:to>
    <mc:AlternateContent xmlns:mc="http://schemas.openxmlformats.org/markup-compatibility/2006" xmlns:sle15="http://schemas.microsoft.com/office/drawing/2012/slicer">
      <mc:Choice Requires="sle15">
        <xdr:graphicFrame macro="">
          <xdr:nvGraphicFramePr>
            <xdr:cNvPr id="4" name="Mês">
              <a:extLst>
                <a:ext uri="{FF2B5EF4-FFF2-40B4-BE49-F238E27FC236}">
                  <a16:creationId xmlns:a16="http://schemas.microsoft.com/office/drawing/2014/main" id="{CB580568-CECD-7D30-BDE4-F0988BAF3D83}"/>
                </a:ext>
              </a:extLst>
            </xdr:cNvPr>
            <xdr:cNvGraphicFramePr/>
          </xdr:nvGraphicFramePr>
          <xdr:xfrm>
            <a:off x="0" y="0"/>
            <a:ext cx="0" cy="0"/>
          </xdr:xfrm>
          <a:graphic>
            <a:graphicData uri="http://schemas.microsoft.com/office/drawing/2010/slicer">
              <sle:slicer xmlns:sle="http://schemas.microsoft.com/office/drawing/2010/slicer" name="Mês"/>
            </a:graphicData>
          </a:graphic>
        </xdr:graphicFrame>
      </mc:Choice>
      <mc:Fallback xmlns="">
        <xdr:sp macro="" textlink="">
          <xdr:nvSpPr>
            <xdr:cNvPr id="0" name=""/>
            <xdr:cNvSpPr>
              <a:spLocks noTextEdit="1"/>
            </xdr:cNvSpPr>
          </xdr:nvSpPr>
          <xdr:spPr>
            <a:xfrm>
              <a:off x="49381" y="7717275"/>
              <a:ext cx="1844413" cy="1774108"/>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60644</xdr:colOff>
      <xdr:row>0</xdr:row>
      <xdr:rowOff>61276</xdr:rowOff>
    </xdr:from>
    <xdr:to>
      <xdr:col>0</xdr:col>
      <xdr:colOff>1848485</xdr:colOff>
      <xdr:row>407</xdr:row>
      <xdr:rowOff>130668</xdr:rowOff>
    </xdr:to>
    <mc:AlternateContent xmlns:mc="http://schemas.openxmlformats.org/markup-compatibility/2006" xmlns:sle15="http://schemas.microsoft.com/office/drawing/2012/slicer">
      <mc:Choice Requires="sle15">
        <xdr:graphicFrame macro="">
          <xdr:nvGraphicFramePr>
            <xdr:cNvPr id="5" name="Unidade">
              <a:extLst>
                <a:ext uri="{FF2B5EF4-FFF2-40B4-BE49-F238E27FC236}">
                  <a16:creationId xmlns:a16="http://schemas.microsoft.com/office/drawing/2014/main" id="{FA48B64B-30CF-6822-07A7-E90ECFBA6311}"/>
                </a:ext>
              </a:extLst>
            </xdr:cNvPr>
            <xdr:cNvGraphicFramePr/>
          </xdr:nvGraphicFramePr>
          <xdr:xfrm>
            <a:off x="0" y="0"/>
            <a:ext cx="0" cy="0"/>
          </xdr:xfrm>
          <a:graphic>
            <a:graphicData uri="http://schemas.microsoft.com/office/drawing/2010/slicer">
              <sle:slicer xmlns:sle="http://schemas.microsoft.com/office/drawing/2010/slicer" name="Unidade"/>
            </a:graphicData>
          </a:graphic>
        </xdr:graphicFrame>
      </mc:Choice>
      <mc:Fallback xmlns="">
        <xdr:sp macro="" textlink="">
          <xdr:nvSpPr>
            <xdr:cNvPr id="0" name=""/>
            <xdr:cNvSpPr>
              <a:spLocks noTextEdit="1"/>
            </xdr:cNvSpPr>
          </xdr:nvSpPr>
          <xdr:spPr>
            <a:xfrm>
              <a:off x="61914" y="65087"/>
              <a:ext cx="1828800" cy="2675996"/>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58926</xdr:colOff>
      <xdr:row>420</xdr:row>
      <xdr:rowOff>94101</xdr:rowOff>
    </xdr:from>
    <xdr:to>
      <xdr:col>0</xdr:col>
      <xdr:colOff>1890264</xdr:colOff>
      <xdr:row>433</xdr:row>
      <xdr:rowOff>68984</xdr:rowOff>
    </xdr:to>
    <mc:AlternateContent xmlns:mc="http://schemas.openxmlformats.org/markup-compatibility/2006" xmlns:sle15="http://schemas.microsoft.com/office/drawing/2012/slicer">
      <mc:Choice Requires="sle15">
        <xdr:graphicFrame macro="">
          <xdr:nvGraphicFramePr>
            <xdr:cNvPr id="6" name="Fornecedor">
              <a:extLst>
                <a:ext uri="{FF2B5EF4-FFF2-40B4-BE49-F238E27FC236}">
                  <a16:creationId xmlns:a16="http://schemas.microsoft.com/office/drawing/2014/main" id="{A6870A13-81F6-6E6B-EAE8-0DA10007A10C}"/>
                </a:ext>
              </a:extLst>
            </xdr:cNvPr>
            <xdr:cNvGraphicFramePr/>
          </xdr:nvGraphicFramePr>
          <xdr:xfrm>
            <a:off x="0" y="0"/>
            <a:ext cx="0" cy="0"/>
          </xdr:xfrm>
          <a:graphic>
            <a:graphicData uri="http://schemas.microsoft.com/office/drawing/2010/slicer">
              <sle:slicer xmlns:sle="http://schemas.microsoft.com/office/drawing/2010/slicer" name="Fornecedor"/>
            </a:graphicData>
          </a:graphic>
        </xdr:graphicFrame>
      </mc:Choice>
      <mc:Fallback xmlns="">
        <xdr:sp macro="" textlink="">
          <xdr:nvSpPr>
            <xdr:cNvPr id="0" name=""/>
            <xdr:cNvSpPr>
              <a:spLocks noTextEdit="1"/>
            </xdr:cNvSpPr>
          </xdr:nvSpPr>
          <xdr:spPr>
            <a:xfrm>
              <a:off x="52576" y="5253030"/>
              <a:ext cx="1835148" cy="2414462"/>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95250</xdr:colOff>
      <xdr:row>484</xdr:row>
      <xdr:rowOff>61691</xdr:rowOff>
    </xdr:from>
    <xdr:to>
      <xdr:col>1</xdr:col>
      <xdr:colOff>608</xdr:colOff>
      <xdr:row>498</xdr:row>
      <xdr:rowOff>129072</xdr:rowOff>
    </xdr:to>
    <mc:AlternateContent xmlns:mc="http://schemas.openxmlformats.org/markup-compatibility/2006" xmlns:sle15="http://schemas.microsoft.com/office/drawing/2012/slicer">
      <mc:Choice Requires="sle15">
        <xdr:graphicFrame macro="">
          <xdr:nvGraphicFramePr>
            <xdr:cNvPr id="2" name="Fornecedor 2">
              <a:extLst>
                <a:ext uri="{FF2B5EF4-FFF2-40B4-BE49-F238E27FC236}">
                  <a16:creationId xmlns:a16="http://schemas.microsoft.com/office/drawing/2014/main" id="{236E79B4-8828-C5B0-0D02-0B21E5D8193C}"/>
                </a:ext>
              </a:extLst>
            </xdr:cNvPr>
            <xdr:cNvGraphicFramePr/>
          </xdr:nvGraphicFramePr>
          <xdr:xfrm>
            <a:off x="0" y="0"/>
            <a:ext cx="0" cy="0"/>
          </xdr:xfrm>
          <a:graphic>
            <a:graphicData uri="http://schemas.microsoft.com/office/drawing/2010/slicer">
              <sle:slicer xmlns:sle="http://schemas.microsoft.com/office/drawing/2010/slicer" name="Fornecedor 2"/>
            </a:graphicData>
          </a:graphic>
        </xdr:graphicFrame>
      </mc:Choice>
      <mc:Fallback xmlns="">
        <xdr:sp macro="" textlink="">
          <xdr:nvSpPr>
            <xdr:cNvPr id="0" name=""/>
            <xdr:cNvSpPr>
              <a:spLocks noTextEdit="1"/>
            </xdr:cNvSpPr>
          </xdr:nvSpPr>
          <xdr:spPr>
            <a:xfrm>
              <a:off x="95250" y="5391257"/>
              <a:ext cx="2056766" cy="258254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135573</xdr:colOff>
      <xdr:row>468</xdr:row>
      <xdr:rowOff>129179</xdr:rowOff>
    </xdr:from>
    <xdr:to>
      <xdr:col>1</xdr:col>
      <xdr:colOff>8256</xdr:colOff>
      <xdr:row>484</xdr:row>
      <xdr:rowOff>2579</xdr:rowOff>
    </xdr:to>
    <mc:AlternateContent xmlns:mc="http://schemas.openxmlformats.org/markup-compatibility/2006" xmlns:sle15="http://schemas.microsoft.com/office/drawing/2012/slicer">
      <mc:Choice Requires="sle15">
        <xdr:graphicFrame macro="">
          <xdr:nvGraphicFramePr>
            <xdr:cNvPr id="4" name="Categoria 2">
              <a:extLst>
                <a:ext uri="{FF2B5EF4-FFF2-40B4-BE49-F238E27FC236}">
                  <a16:creationId xmlns:a16="http://schemas.microsoft.com/office/drawing/2014/main" id="{620C0895-D7D5-1E7E-0A63-E86154B2FE9B}"/>
                </a:ext>
              </a:extLst>
            </xdr:cNvPr>
            <xdr:cNvGraphicFramePr/>
          </xdr:nvGraphicFramePr>
          <xdr:xfrm>
            <a:off x="0" y="0"/>
            <a:ext cx="0" cy="0"/>
          </xdr:xfrm>
          <a:graphic>
            <a:graphicData uri="http://schemas.microsoft.com/office/drawing/2010/slicer">
              <sle:slicer xmlns:sle="http://schemas.microsoft.com/office/drawing/2010/slicer" name="Categoria 2"/>
            </a:graphicData>
          </a:graphic>
        </xdr:graphicFrame>
      </mc:Choice>
      <mc:Fallback xmlns="">
        <xdr:sp macro="" textlink="">
          <xdr:nvSpPr>
            <xdr:cNvPr id="0" name=""/>
            <xdr:cNvSpPr>
              <a:spLocks noTextEdit="1"/>
            </xdr:cNvSpPr>
          </xdr:nvSpPr>
          <xdr:spPr>
            <a:xfrm>
              <a:off x="135573" y="2752089"/>
              <a:ext cx="2015808" cy="2595669"/>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38100</xdr:colOff>
      <xdr:row>109</xdr:row>
      <xdr:rowOff>174388</xdr:rowOff>
    </xdr:from>
    <xdr:to>
      <xdr:col>0</xdr:col>
      <xdr:colOff>1866900</xdr:colOff>
      <xdr:row>124</xdr:row>
      <xdr:rowOff>50747</xdr:rowOff>
    </xdr:to>
    <mc:AlternateContent xmlns:mc="http://schemas.openxmlformats.org/markup-compatibility/2006" xmlns:sle15="http://schemas.microsoft.com/office/drawing/2012/slicer">
      <mc:Choice Requires="sle15">
        <xdr:graphicFrame macro="">
          <xdr:nvGraphicFramePr>
            <xdr:cNvPr id="10" name="Fornecedor 4">
              <a:extLst>
                <a:ext uri="{FF2B5EF4-FFF2-40B4-BE49-F238E27FC236}">
                  <a16:creationId xmlns:a16="http://schemas.microsoft.com/office/drawing/2014/main" id="{273387D8-5526-DCF8-E8B5-89340686687D}"/>
                </a:ext>
              </a:extLst>
            </xdr:cNvPr>
            <xdr:cNvGraphicFramePr/>
          </xdr:nvGraphicFramePr>
          <xdr:xfrm>
            <a:off x="0" y="0"/>
            <a:ext cx="0" cy="0"/>
          </xdr:xfrm>
          <a:graphic>
            <a:graphicData uri="http://schemas.microsoft.com/office/drawing/2010/slicer">
              <sle:slicer xmlns:sle="http://schemas.microsoft.com/office/drawing/2010/slicer" name="Fornecedor 4"/>
            </a:graphicData>
          </a:graphic>
        </xdr:graphicFrame>
      </mc:Choice>
      <mc:Fallback xmlns="">
        <xdr:sp macro="" textlink="">
          <xdr:nvSpPr>
            <xdr:cNvPr id="0" name=""/>
            <xdr:cNvSpPr>
              <a:spLocks noTextEdit="1"/>
            </xdr:cNvSpPr>
          </xdr:nvSpPr>
          <xdr:spPr>
            <a:xfrm>
              <a:off x="38100" y="7110082"/>
              <a:ext cx="1828800" cy="2722654"/>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71438</xdr:colOff>
      <xdr:row>0</xdr:row>
      <xdr:rowOff>57150</xdr:rowOff>
    </xdr:from>
    <xdr:to>
      <xdr:col>0</xdr:col>
      <xdr:colOff>1900238</xdr:colOff>
      <xdr:row>9</xdr:row>
      <xdr:rowOff>270299</xdr:rowOff>
    </xdr:to>
    <mc:AlternateContent xmlns:mc="http://schemas.openxmlformats.org/markup-compatibility/2006" xmlns:sle15="http://schemas.microsoft.com/office/drawing/2012/slicer">
      <mc:Choice Requires="sle15">
        <xdr:graphicFrame macro="">
          <xdr:nvGraphicFramePr>
            <xdr:cNvPr id="7" name="Unidade 3">
              <a:extLst>
                <a:ext uri="{FF2B5EF4-FFF2-40B4-BE49-F238E27FC236}">
                  <a16:creationId xmlns:a16="http://schemas.microsoft.com/office/drawing/2014/main" id="{4EAF7150-3445-1D04-0E86-89F555DD1AAA}"/>
                </a:ext>
              </a:extLst>
            </xdr:cNvPr>
            <xdr:cNvGraphicFramePr/>
          </xdr:nvGraphicFramePr>
          <xdr:xfrm>
            <a:off x="0" y="0"/>
            <a:ext cx="0" cy="0"/>
          </xdr:xfrm>
          <a:graphic>
            <a:graphicData uri="http://schemas.microsoft.com/office/drawing/2010/slicer">
              <sle:slicer xmlns:sle="http://schemas.microsoft.com/office/drawing/2010/slicer" name="Unidade 3"/>
            </a:graphicData>
          </a:graphic>
        </xdr:graphicFrame>
      </mc:Choice>
      <mc:Fallback xmlns="">
        <xdr:sp macro="" textlink="">
          <xdr:nvSpPr>
            <xdr:cNvPr id="0" name=""/>
            <xdr:cNvSpPr>
              <a:spLocks noTextEdit="1"/>
            </xdr:cNvSpPr>
          </xdr:nvSpPr>
          <xdr:spPr>
            <a:xfrm>
              <a:off x="71438" y="57150"/>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38100</xdr:colOff>
      <xdr:row>10</xdr:row>
      <xdr:rowOff>20917</xdr:rowOff>
    </xdr:from>
    <xdr:to>
      <xdr:col>0</xdr:col>
      <xdr:colOff>1866900</xdr:colOff>
      <xdr:row>109</xdr:row>
      <xdr:rowOff>108155</xdr:rowOff>
    </xdr:to>
    <mc:AlternateContent xmlns:mc="http://schemas.openxmlformats.org/markup-compatibility/2006" xmlns:sle15="http://schemas.microsoft.com/office/drawing/2012/slicer">
      <mc:Choice Requires="sle15">
        <xdr:graphicFrame macro="">
          <xdr:nvGraphicFramePr>
            <xdr:cNvPr id="8" name="Categoria 4">
              <a:extLst>
                <a:ext uri="{FF2B5EF4-FFF2-40B4-BE49-F238E27FC236}">
                  <a16:creationId xmlns:a16="http://schemas.microsoft.com/office/drawing/2014/main" id="{AB8F83FD-1D6A-D50F-46E2-FECF0DE222B1}"/>
                </a:ext>
              </a:extLst>
            </xdr:cNvPr>
            <xdr:cNvGraphicFramePr/>
          </xdr:nvGraphicFramePr>
          <xdr:xfrm>
            <a:off x="0" y="0"/>
            <a:ext cx="0" cy="0"/>
          </xdr:xfrm>
          <a:graphic>
            <a:graphicData uri="http://schemas.microsoft.com/office/drawing/2010/slicer">
              <sle:slicer xmlns:sle="http://schemas.microsoft.com/office/drawing/2010/slicer" name="Categoria 4"/>
            </a:graphicData>
          </a:graphic>
        </xdr:graphicFrame>
      </mc:Choice>
      <mc:Fallback xmlns="">
        <xdr:sp macro="" textlink="">
          <xdr:nvSpPr>
            <xdr:cNvPr id="0" name=""/>
            <xdr:cNvSpPr>
              <a:spLocks noTextEdit="1"/>
            </xdr:cNvSpPr>
          </xdr:nvSpPr>
          <xdr:spPr>
            <a:xfrm>
              <a:off x="38100" y="3413589"/>
              <a:ext cx="1828800" cy="3622789"/>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68413</xdr:colOff>
      <xdr:row>186</xdr:row>
      <xdr:rowOff>124621</xdr:rowOff>
    </xdr:from>
    <xdr:to>
      <xdr:col>1</xdr:col>
      <xdr:colOff>3629</xdr:colOff>
      <xdr:row>202</xdr:row>
      <xdr:rowOff>165895</xdr:rowOff>
    </xdr:to>
    <mc:AlternateContent xmlns:mc="http://schemas.openxmlformats.org/markup-compatibility/2006" xmlns:sle15="http://schemas.microsoft.com/office/drawing/2012/slicer">
      <mc:Choice Requires="sle15">
        <xdr:graphicFrame macro="">
          <xdr:nvGraphicFramePr>
            <xdr:cNvPr id="17" name="Fornecedor 1">
              <a:extLst>
                <a:ext uri="{FF2B5EF4-FFF2-40B4-BE49-F238E27FC236}">
                  <a16:creationId xmlns:a16="http://schemas.microsoft.com/office/drawing/2014/main" id="{2EC92177-5A16-5B82-533C-FEB3D6A9D0B7}"/>
                </a:ext>
              </a:extLst>
            </xdr:cNvPr>
            <xdr:cNvGraphicFramePr/>
          </xdr:nvGraphicFramePr>
          <xdr:xfrm>
            <a:off x="0" y="0"/>
            <a:ext cx="0" cy="0"/>
          </xdr:xfrm>
          <a:graphic>
            <a:graphicData uri="http://schemas.microsoft.com/office/drawing/2010/slicer">
              <sle:slicer xmlns:sle="http://schemas.microsoft.com/office/drawing/2010/slicer" name="Fornecedor 1"/>
            </a:graphicData>
          </a:graphic>
        </xdr:graphicFrame>
      </mc:Choice>
      <mc:Fallback xmlns="">
        <xdr:sp macro="" textlink="">
          <xdr:nvSpPr>
            <xdr:cNvPr id="0" name=""/>
            <xdr:cNvSpPr>
              <a:spLocks noTextEdit="1"/>
            </xdr:cNvSpPr>
          </xdr:nvSpPr>
          <xdr:spPr>
            <a:xfrm>
              <a:off x="68413" y="5421315"/>
              <a:ext cx="1764016" cy="3087686"/>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60665</xdr:colOff>
      <xdr:row>173</xdr:row>
      <xdr:rowOff>46831</xdr:rowOff>
    </xdr:from>
    <xdr:to>
      <xdr:col>1</xdr:col>
      <xdr:colOff>39914</xdr:colOff>
      <xdr:row>186</xdr:row>
      <xdr:rowOff>70985</xdr:rowOff>
    </xdr:to>
    <mc:AlternateContent xmlns:mc="http://schemas.openxmlformats.org/markup-compatibility/2006" xmlns:sle15="http://schemas.microsoft.com/office/drawing/2012/slicer">
      <mc:Choice Requires="sle15">
        <xdr:graphicFrame macro="">
          <xdr:nvGraphicFramePr>
            <xdr:cNvPr id="18" name="Categoria 1">
              <a:extLst>
                <a:ext uri="{FF2B5EF4-FFF2-40B4-BE49-F238E27FC236}">
                  <a16:creationId xmlns:a16="http://schemas.microsoft.com/office/drawing/2014/main" id="{9434262A-362F-854E-A739-F96CA1302586}"/>
                </a:ext>
              </a:extLst>
            </xdr:cNvPr>
            <xdr:cNvGraphicFramePr/>
          </xdr:nvGraphicFramePr>
          <xdr:xfrm>
            <a:off x="0" y="0"/>
            <a:ext cx="0" cy="0"/>
          </xdr:xfrm>
          <a:graphic>
            <a:graphicData uri="http://schemas.microsoft.com/office/drawing/2010/slicer">
              <sle:slicer xmlns:sle="http://schemas.microsoft.com/office/drawing/2010/slicer" name="Categoria 1"/>
            </a:graphicData>
          </a:graphic>
        </xdr:graphicFrame>
      </mc:Choice>
      <mc:Fallback xmlns="">
        <xdr:sp macro="" textlink="">
          <xdr:nvSpPr>
            <xdr:cNvPr id="0" name=""/>
            <xdr:cNvSpPr>
              <a:spLocks noTextEdit="1"/>
            </xdr:cNvSpPr>
          </xdr:nvSpPr>
          <xdr:spPr>
            <a:xfrm>
              <a:off x="60665" y="2857499"/>
              <a:ext cx="1808049" cy="250065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32657</xdr:colOff>
      <xdr:row>0</xdr:row>
      <xdr:rowOff>39914</xdr:rowOff>
    </xdr:from>
    <xdr:to>
      <xdr:col>1</xdr:col>
      <xdr:colOff>32657</xdr:colOff>
      <xdr:row>172</xdr:row>
      <xdr:rowOff>138680</xdr:rowOff>
    </xdr:to>
    <mc:AlternateContent xmlns:mc="http://schemas.openxmlformats.org/markup-compatibility/2006" xmlns:sle15="http://schemas.microsoft.com/office/drawing/2012/slicer">
      <mc:Choice Requires="sle15">
        <xdr:graphicFrame macro="">
          <xdr:nvGraphicFramePr>
            <xdr:cNvPr id="19" name="Unidade 1">
              <a:extLst>
                <a:ext uri="{FF2B5EF4-FFF2-40B4-BE49-F238E27FC236}">
                  <a16:creationId xmlns:a16="http://schemas.microsoft.com/office/drawing/2014/main" id="{C551AA51-CA19-DA83-C6A7-0FBDC527A8D2}"/>
                </a:ext>
              </a:extLst>
            </xdr:cNvPr>
            <xdr:cNvGraphicFramePr/>
          </xdr:nvGraphicFramePr>
          <xdr:xfrm>
            <a:off x="0" y="0"/>
            <a:ext cx="0" cy="0"/>
          </xdr:xfrm>
          <a:graphic>
            <a:graphicData uri="http://schemas.microsoft.com/office/drawing/2010/slicer">
              <sle:slicer xmlns:sle="http://schemas.microsoft.com/office/drawing/2010/slicer" name="Unidade 1"/>
            </a:graphicData>
          </a:graphic>
        </xdr:graphicFrame>
      </mc:Choice>
      <mc:Fallback xmlns="">
        <xdr:sp macro="" textlink="">
          <xdr:nvSpPr>
            <xdr:cNvPr id="0" name=""/>
            <xdr:cNvSpPr>
              <a:spLocks noTextEdit="1"/>
            </xdr:cNvSpPr>
          </xdr:nvSpPr>
          <xdr:spPr>
            <a:xfrm>
              <a:off x="32657" y="39914"/>
              <a:ext cx="1828800" cy="2726872"/>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adminatlasinovacoescom.sharepoint.com/sites/DiretrioPadro/Documentos%20Compartilhados/Consultoria/1.%20Clientes/ALSO+BRMalls/3.%20Planilhas%20Contratos/RJ%20-%20Sergio%20Pessoa/Independ&#234;ncia%20Shopping/2025/Limpeza%20-Grupo%20Altum/Valida&#231;&#227;o%20-%20Extra%20Limpeza.xlsx" TargetMode="External"/><Relationship Id="rId2" Type="http://schemas.microsoft.com/office/2019/04/relationships/externalLinkLongPath" Target="https://adminatlasinovacoescom.sharepoint.com/sites/DiretrioPadro/Documentos%20Compartilhados/Consultoria/1.%20Clientes/ALSO+BRMalls/3.%20Planilhas%20Contratos/RJ%20-%20Sergio%20Pessoa/Independ&#234;ncia%20Shopping/2025/Limpeza%20-Grupo%20Altum/Valida&#231;&#227;o%20-%20Extra%20Limpeza.xlsx?E44BF0B0" TargetMode="External"/><Relationship Id="rId1" Type="http://schemas.openxmlformats.org/officeDocument/2006/relationships/externalLinkPath" Target="file:///\\E44BF0B0\Valida&#231;&#227;o%20-%20Extra%20Limpez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29-10 a 04-11"/>
      <sheetName val="janeiro"/>
      <sheetName val="fevereiro"/>
      <sheetName val="março"/>
      <sheetName val="abril"/>
      <sheetName val="maio"/>
      <sheetName val="junho"/>
      <sheetName val="julho"/>
      <sheetName val="Agosto"/>
      <sheetName val="Setembro"/>
      <sheetName val="Outubro"/>
    </sheetNames>
    <sheetDataSet>
      <sheetData sheetId="0"/>
      <sheetData sheetId="1"/>
      <sheetData sheetId="2"/>
      <sheetData sheetId="3"/>
      <sheetData sheetId="4"/>
      <sheetData sheetId="5"/>
      <sheetData sheetId="6"/>
      <sheetData sheetId="7"/>
      <sheetData sheetId="8"/>
      <sheetData sheetId="9">
        <row r="27">
          <cell r="AA27">
            <v>364.7412926346783</v>
          </cell>
        </row>
        <row r="28">
          <cell r="AA28">
            <v>172.13859538828785</v>
          </cell>
        </row>
        <row r="29">
          <cell r="AA29">
            <v>255.85510868004283</v>
          </cell>
        </row>
        <row r="30">
          <cell r="AA30">
            <v>255.85510868004283</v>
          </cell>
        </row>
        <row r="31">
          <cell r="AA31">
            <v>239.16652269704588</v>
          </cell>
        </row>
        <row r="32">
          <cell r="AA32">
            <v>179.25176318431934</v>
          </cell>
        </row>
        <row r="33">
          <cell r="AA33">
            <v>306.19445000580396</v>
          </cell>
        </row>
        <row r="34">
          <cell r="AA34">
            <v>172.13859538828785</v>
          </cell>
        </row>
        <row r="35">
          <cell r="AA35">
            <v>172.13859538828785</v>
          </cell>
        </row>
        <row r="36">
          <cell r="AA36">
            <v>239.16652269704588</v>
          </cell>
        </row>
        <row r="37">
          <cell r="AA37">
            <v>239.16652269704588</v>
          </cell>
        </row>
        <row r="38">
          <cell r="AA38">
            <v>306.19445000580396</v>
          </cell>
        </row>
        <row r="39">
          <cell r="AA39">
            <v>172.13859538828785</v>
          </cell>
        </row>
        <row r="40">
          <cell r="AA40">
            <v>239.16652269704588</v>
          </cell>
        </row>
        <row r="41">
          <cell r="AA41">
            <v>364.7412926346783</v>
          </cell>
        </row>
        <row r="42">
          <cell r="AA42">
            <v>306.19445000580396</v>
          </cell>
        </row>
        <row r="43">
          <cell r="AA43">
            <v>172.13859538828785</v>
          </cell>
        </row>
      </sheetData>
      <sheetData sheetId="10"/>
    </sheetDataSet>
  </externalBook>
</externalLink>
</file>

<file path=xl/persons/person.xml><?xml version="1.0" encoding="utf-8"?>
<personList xmlns="http://schemas.microsoft.com/office/spreadsheetml/2018/threadedcomments" xmlns:x="http://schemas.openxmlformats.org/spreadsheetml/2006/main">
  <person displayName="Isabela Mattoso" id="{FCF1E636-CC0C-4420-8835-17AC00B26FD0}" userId="S::isabela.mattoso@atlasinovacoes.com.br::53d6fdb7-7c1d-40d4-b1df-abd71ab5c471" providerId="AD"/>
  <person displayName="Joana Malheiros" id="{4A37CA97-5B9B-4FE7-9E19-B4BED969D72E}" userId="S::joana.malheiros@atlasinovacoes.com.br::08ae403e-62a2-4c8f-b7d0-92e91e51816b" providerId="AD"/>
  <person displayName="Manoela Penna da Rocha" id="{EB91B0C7-DDCB-42F0-85BF-3B37A849CD63}" userId="S::manoela.lacombe@atlasinovacoes.com.br::c8b769ad-93ed-44a0-b0e9-04295def862d" providerId="AD"/>
  <person displayName="Rhenan Carvalho Gomes" id="{DB2BE661-D618-44CE-AE20-17C82EAE22B7}" userId="S::rhenan.carvalho@atlasinovacoes.com.br::aad4e4fd-a293-4064-94e3-b3f2b59d49b2" providerId="AD"/>
  <person displayName="Isabela Rodrigues" id="{7D7E4F64-2BF5-4ABD-8876-30B8E5D43312}" userId="S::isabela.rodrigues@atlasinovacoes.com.br::3a569bb9-c9a2-4a1c-9c0b-4b7a54d24286" providerId="AD"/>
  <person displayName="Nathalia Baptista" id="{077BC691-A779-4B97-ADC0-74443AACE796}" userId="S::nathalia.baptista@atlasinovacoes.com.br::3bc76ebc-d119-4982-b7a2-643c9c34aa88"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4" connectionId="5" xr16:uid="{09464A68-F89F-4B3F-8686-CE76F0BFCE71}" autoFormatId="16" applyNumberFormats="0" applyBorderFormats="0" applyFontFormats="0" applyPatternFormats="0" applyAlignmentFormats="0" applyWidthHeightFormats="0">
  <queryTableRefresh nextId="7">
    <queryTableFields count="6">
      <queryTableField id="1" name="Unidade" tableColumnId="1"/>
      <queryTableField id="2" name="Regional UF" tableColumnId="2"/>
      <queryTableField id="3" name="Regional PS" tableColumnId="3"/>
      <queryTableField id="4" name="Regional RS" tableColumnId="4"/>
      <queryTableField id="5" name="Cluster" tableColumnId="5"/>
      <queryTableField id="6" name="Portifólio"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3" connectionId="3" xr16:uid="{41059D05-19C8-4414-9659-BF3E2F80856F}" autoFormatId="16" applyNumberFormats="0" applyBorderFormats="0" applyFontFormats="0" applyPatternFormats="0" applyAlignmentFormats="0" applyWidthHeightFormats="0">
  <queryTableRefresh nextId="5">
    <queryTableFields count="4">
      <queryTableField id="1" name="Cluster" tableColumnId="1"/>
      <queryTableField id="2" name="Categoria" tableColumnId="2"/>
      <queryTableField id="3" name="HC_Min" tableColumnId="3"/>
      <queryTableField id="4" name="HC_Max"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2" connectionId="2" xr16:uid="{E023909D-DF29-4CFB-9F59-5E452C04F0CE}" autoFormatId="16" applyNumberFormats="0" applyBorderFormats="0" applyFontFormats="0" applyPatternFormats="0" applyAlignmentFormats="0" applyWidthHeightFormats="0">
  <queryTableRefresh nextId="12">
    <queryTableFields count="11">
      <queryTableField id="1" name="Fornecedor" tableColumnId="1"/>
      <queryTableField id="2" name="Brigada de Incêndio" tableColumnId="2"/>
      <queryTableField id="3" name="Estacionamento" tableColumnId="3"/>
      <queryTableField id="4" name="Limpeza" tableColumnId="4"/>
      <queryTableField id="5" name="Manutenção" tableColumnId="5"/>
      <queryTableField id="6" name="PMOC" tableColumnId="6"/>
      <queryTableField id="7" name="Portaria" tableColumnId="7"/>
      <queryTableField id="8" name="Vigilância" tableColumnId="8"/>
      <queryTableField id="9" name="Jardinagem" tableColumnId="9"/>
      <queryTableField id="10" name="Ascensorista" tableColumnId="10"/>
      <queryTableField id="11" name="Resíduos"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1" connectionId="1" xr16:uid="{A263DB18-FF71-4143-B69A-09CE57F2FB46}" autoFormatId="16" applyNumberFormats="0" applyBorderFormats="0" applyFontFormats="0" applyPatternFormats="0" applyAlignmentFormats="0" applyWidthHeightFormats="0">
  <queryTableRefresh nextId="2">
    <queryTableFields count="1">
      <queryTableField id="1" name="RJ"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1" connectionId="4" xr16:uid="{41EBFA6D-EEE6-4C24-AD12-7DB4888936FB}" autoFormatId="16" applyNumberFormats="0" applyBorderFormats="0" applyFontFormats="0" applyPatternFormats="0" applyAlignmentFormats="0" applyWidthHeightFormats="0">
  <queryTableRefresh nextId="4">
    <queryTableFields count="3">
      <queryTableField id="1" name="Shopping" tableColumnId="1"/>
      <queryTableField id="2" name="E-mails consolidados" tableColumnId="2"/>
      <queryTableField id="3" name="E-mails test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 xr10:uid="{482F7549-AB68-431F-A6BD-D23C3AB735C1}" sourceName="Categoria">
  <extLst>
    <x:ext xmlns:x15="http://schemas.microsoft.com/office/spreadsheetml/2010/11/main" uri="{2F2917AC-EB37-4324-AD4E-5DD8C200BD13}">
      <x15:tableSlicerCache tableId="4" column="1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ês" xr10:uid="{87966063-F450-4A9B-BCBB-2F7A240CBB49}" sourceName="Mês falta">
  <extLst>
    <x:ext xmlns:x15="http://schemas.microsoft.com/office/spreadsheetml/2010/11/main" uri="{2F2917AC-EB37-4324-AD4E-5DD8C200BD13}">
      <x15:tableSlicerCache tableId="4" column="1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idade" xr10:uid="{3681745A-194B-4812-AD24-748E27C79408}" sourceName="Unidade">
  <extLst>
    <x:ext xmlns:x15="http://schemas.microsoft.com/office/spreadsheetml/2010/11/main" uri="{2F2917AC-EB37-4324-AD4E-5DD8C200BD13}">
      <x15:tableSlicerCache tableId="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Fornecedor" xr10:uid="{CE046A44-417D-40CE-9D8B-683D4B584D20}" sourceName="Fornecedor">
  <extLst>
    <x:ext xmlns:x15="http://schemas.microsoft.com/office/spreadsheetml/2010/11/main" uri="{2F2917AC-EB37-4324-AD4E-5DD8C200BD13}">
      <x15:tableSlicerCache tableId="4" column="20"/>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Fornecedor1" xr10:uid="{70FAB763-F619-4173-BD67-099960D3A639}" sourceName="Fornecedor">
  <extLst>
    <x:ext xmlns:x15="http://schemas.microsoft.com/office/spreadsheetml/2010/11/main" uri="{2F2917AC-EB37-4324-AD4E-5DD8C200BD13}">
      <x15:tableSlicerCache tableId="1" column="9"/>
    </x:ex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1" xr10:uid="{90E242AA-6576-474E-A999-B4A2D47A58D8}" sourceName="Categoria">
  <extLst>
    <x:ext xmlns:x15="http://schemas.microsoft.com/office/spreadsheetml/2010/11/main" uri="{2F2917AC-EB37-4324-AD4E-5DD8C200BD13}">
      <x15:tableSlicerCache tableId="1" column="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Fornecedor2" xr10:uid="{39596A38-B215-4ED8-AF22-57AED149C39E}" sourceName="Fornecedor">
  <extLst>
    <x:ext xmlns:x15="http://schemas.microsoft.com/office/spreadsheetml/2010/11/main" uri="{2F2917AC-EB37-4324-AD4E-5DD8C200BD13}">
      <x15:tableSlicerCache tableId="2"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2" xr10:uid="{416EAF0F-F117-4AFB-983F-8AB780E68E88}" sourceName="Categoria">
  <extLst>
    <x:ext xmlns:x15="http://schemas.microsoft.com/office/spreadsheetml/2010/11/main" uri="{2F2917AC-EB37-4324-AD4E-5DD8C200BD13}">
      <x15:tableSlicerCache tableId="2" column="3"/>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idade2" xr10:uid="{46C283EC-51DD-460C-9350-3C4DDB556AA8}" sourceName="Unidade">
  <extLst>
    <x:ext xmlns:x15="http://schemas.microsoft.com/office/spreadsheetml/2010/11/main" uri="{2F2917AC-EB37-4324-AD4E-5DD8C200BD13}">
      <x15:tableSlicerCache tableId="3" column="3"/>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3" xr10:uid="{3D203F28-256A-4299-9CE1-0190E8637E36}" sourceName="Categoria">
  <extLst>
    <x:ext xmlns:x15="http://schemas.microsoft.com/office/spreadsheetml/2010/11/main" uri="{2F2917AC-EB37-4324-AD4E-5DD8C200BD13}">
      <x15:tableSlicerCache tableId="3" column="4"/>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Fornecedor3" xr10:uid="{BE4CCF59-1F6F-4977-B1CA-B0D52D2D457F}" sourceName="Fornecedor">
  <extLst>
    <x:ext xmlns:x15="http://schemas.microsoft.com/office/spreadsheetml/2010/11/main" uri="{2F2917AC-EB37-4324-AD4E-5DD8C200BD13}">
      <x15:tableSlicerCache tableId="3" column="5"/>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ês_de_referência_para_faturamento" xr10:uid="{931C158E-323D-4933-BEDF-DF401B5613E2}" sourceName="Mês de referência para faturamento">
  <extLst>
    <x:ext xmlns:x15="http://schemas.microsoft.com/office/spreadsheetml/2010/11/main" uri="{2F2917AC-EB37-4324-AD4E-5DD8C200BD13}">
      <x15:tableSlicerCache tableId="3" column="26"/>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idade3" xr10:uid="{AA6D68F5-18A5-4629-8846-5E1962D67F07}" sourceName="Unidade">
  <extLst>
    <x:ext xmlns:x15="http://schemas.microsoft.com/office/spreadsheetml/2010/11/main" uri="{2F2917AC-EB37-4324-AD4E-5DD8C200BD13}">
      <x15:tableSlicerCache tableId="2" column="2"/>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idade1" xr10:uid="{FDE3BAB1-A417-404B-B797-AB534E1D624B}" sourceName="Unidad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dade 2" xr10:uid="{6FB207D3-459D-4455-B799-0CEA8D9C4EE8}" cache="SegmentaçãodeDados_Unidade2" caption="Unidade" startItem="4" rowHeight="241300"/>
  <slicer name="Categoria 3" xr10:uid="{38C08CEC-8395-4AF7-993A-9E3DB924F1D2}" cache="SegmentaçãodeDados_Categoria3" caption="Categoria" rowHeight="241300"/>
  <slicer name="Fornecedor 3" xr10:uid="{2C0AB9D8-C2E8-445E-A065-E7D1B12B8893}" cache="SegmentaçãodeDados_Fornecedor3" caption="Fornecedor" rowHeight="241300"/>
  <slicer name="Mês de referência para faturamento" xr10:uid="{E7F127AC-2B34-4EF5-B14F-9FB5962F9965}" cache="SegmentaçãodeDados_Mês_de_referência_para_faturamento" caption="Mês de referência para faturamento" startItem="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xr10:uid="{9695DCD5-0AF6-4E66-AC89-01A1311185E5}" cache="SegmentaçãodeDados_Categoria" caption="Categoria" rowHeight="241300"/>
  <slicer name="Mês" xr10:uid="{3EE1D6AA-0626-4739-A907-95C84DDD960C}" cache="SegmentaçãodeDados_Mês" caption="Mês falta" startItem="3" rowHeight="241300"/>
  <slicer name="Unidade" xr10:uid="{1408144B-84F6-4CC9-8409-26D58D6928DD}" cache="SegmentaçãodeDados_Unidade" caption="Unidade" rowHeight="241300"/>
  <slicer name="Fornecedor" xr10:uid="{35895FF2-1CF1-47AF-9C14-1074B6E8F9C7}" cache="SegmentaçãodeDados_Fornecedor" caption="Fornecedo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necedor 2" xr10:uid="{B9799724-12DE-40F5-8626-A585C44BFF3B}" cache="SegmentaçãodeDados_Fornecedor2" caption="Fornecedor" startItem="6" rowHeight="241300"/>
  <slicer name="Fornecedor 4" xr10:uid="{CDFC9126-951E-4796-B782-16C29CEC2D7D}" cache="SegmentaçãodeDados_Fornecedor2" caption="Fornecedor" rowHeight="241300"/>
  <slicer name="Categoria 2" xr10:uid="{2BAB861E-965C-4506-9071-6194A6B44749}" cache="SegmentaçãodeDados_Categoria2" caption="Categoria" rowHeight="241300"/>
  <slicer name="Categoria 4" xr10:uid="{F2E43911-6D4F-479D-81FE-58A3E6711BEC}" cache="SegmentaçãodeDados_Categoria2" caption="Categoria" startItem="4" rowHeight="241300"/>
  <slicer name="Unidade 3" xr10:uid="{2082B0FB-E923-4734-AD51-6B0D69A28E6D}" cache="SegmentaçãodeDados_Unidade3" caption="Unidad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necedor 1" xr10:uid="{778BCAE1-4C01-44BA-98D4-058B99CF55FD}" cache="SegmentaçãodeDados_Fornecedor1" caption="Fornecedor" rowHeight="241300"/>
  <slicer name="Categoria 1" xr10:uid="{6C2B4659-8DA4-423C-B554-CD23C84A98F6}" cache="SegmentaçãodeDados_Categoria1" caption="Categoria" rowHeight="241300"/>
  <slicer name="Unidade 1" xr10:uid="{9EC5B053-A7EB-4568-8E8C-F4F1CADB1D7C}" cache="SegmentaçãodeDados_Unidade1" caption="Unidad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41F6977-6856-4F86-8CD1-1D00E5CBF850}" name="Unidade" displayName="Unidade" ref="A1:F12" tableType="queryTable" totalsRowShown="0">
  <autoFilter ref="A1:F12" xr:uid="{941F6977-6856-4F86-8CD1-1D00E5CBF850}"/>
  <tableColumns count="6">
    <tableColumn id="1" xr3:uid="{724E4DE9-22B7-4726-8810-8345BABC9A22}" uniqueName="1" name="Unidade" queryTableFieldId="1" dataDxfId="783"/>
    <tableColumn id="2" xr3:uid="{D0EEBC9A-DA8D-4314-96BF-C5A3C108E1B8}" uniqueName="2" name="Regional UF" queryTableFieldId="2" dataDxfId="782"/>
    <tableColumn id="3" xr3:uid="{E358F624-10A1-474D-90CD-93680C75F4EC}" uniqueName="3" name="Regional PS" queryTableFieldId="3" dataDxfId="781"/>
    <tableColumn id="4" xr3:uid="{A238E6B9-B69F-4570-BA20-265253956C68}" uniqueName="4" name="Regional RS" queryTableFieldId="4" dataDxfId="780"/>
    <tableColumn id="5" xr3:uid="{C17F9BC7-EFB8-43C4-A0F4-441B4FB15B55}" uniqueName="5" name="Cluster" queryTableFieldId="5"/>
    <tableColumn id="6" xr3:uid="{77840C83-F252-4EB4-A64E-387709E1C40B}" uniqueName="6" name="Portifólio" queryTableFieldId="6" dataDxfId="77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841D29-E884-4262-AA27-78D9C6E6E670}" name="HC" displayName="HC" ref="A1:D9" tableType="queryTable" totalsRowShown="0">
  <autoFilter ref="A1:D9" xr:uid="{27841D29-E884-4262-AA27-78D9C6E6E670}"/>
  <tableColumns count="4">
    <tableColumn id="1" xr3:uid="{F3B8BAE2-0502-4B15-BB21-CB798885A286}" uniqueName="1" name="Cluster" queryTableFieldId="1"/>
    <tableColumn id="2" xr3:uid="{A2068441-5853-4C46-BE5E-8484713D7C97}" uniqueName="2" name="Categoria" queryTableFieldId="2" dataDxfId="778"/>
    <tableColumn id="3" xr3:uid="{22CAEF20-7FA8-41C7-99EF-8811CD1EB1ED}" uniqueName="3" name="HC_Min" queryTableFieldId="3"/>
    <tableColumn id="4" xr3:uid="{FF80DB1F-68FC-4B1B-B424-5A3EF9815B85}" uniqueName="4" name="HC_Max"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D958AE-4AD1-4CF8-AD41-30F19B492F62}" name="Fornecedor" displayName="Fornecedor" ref="A1:K91" tableType="queryTable" totalsRowShown="0">
  <autoFilter ref="A1:K91" xr:uid="{89D958AE-4AD1-4CF8-AD41-30F19B492F62}"/>
  <tableColumns count="11">
    <tableColumn id="1" xr3:uid="{42633E65-3D7F-4F8C-85BB-F33494EF19AB}" uniqueName="1" name="Fornecedor" queryTableFieldId="1" dataDxfId="777"/>
    <tableColumn id="2" xr3:uid="{537DEC33-B826-4965-B66E-F35AD2FAA3A5}" uniqueName="2" name="Brigada de Incêndio" queryTableFieldId="2" dataDxfId="776"/>
    <tableColumn id="3" xr3:uid="{591F3161-6ED7-49D8-99DA-C8344AC8FAE7}" uniqueName="3" name="Estacionamento" queryTableFieldId="3" dataDxfId="775"/>
    <tableColumn id="4" xr3:uid="{EED4C152-7672-4E45-8831-8C3058EF2E6D}" uniqueName="4" name="Limpeza" queryTableFieldId="4" dataDxfId="774"/>
    <tableColumn id="5" xr3:uid="{AFF8AA28-DC7F-4317-A8B2-B8262A32AD2F}" uniqueName="5" name="Manutenção" queryTableFieldId="5" dataDxfId="773"/>
    <tableColumn id="6" xr3:uid="{61BFFA6F-C12D-4F76-9A62-B68C1AAF9790}" uniqueName="6" name="PMOC" queryTableFieldId="6" dataDxfId="772"/>
    <tableColumn id="7" xr3:uid="{0E70F070-49A0-4BD1-9CA2-8EB4CA878716}" uniqueName="7" name="Portaria" queryTableFieldId="7" dataDxfId="771"/>
    <tableColumn id="8" xr3:uid="{3DB0443E-0304-41BE-B059-80F9CB6CB481}" uniqueName="8" name="Vigilância" queryTableFieldId="8" dataDxfId="770"/>
    <tableColumn id="9" xr3:uid="{B52FCF51-EB5A-4C57-B3DC-5AE454FB5E68}" uniqueName="9" name="Jardinagem" queryTableFieldId="9" dataDxfId="769"/>
    <tableColumn id="10" xr3:uid="{BC79499B-32B3-489B-8877-DFE08F2750EC}" uniqueName="10" name="Ascensorista" queryTableFieldId="10" dataDxfId="768"/>
    <tableColumn id="11" xr3:uid="{35CE0009-ACE2-4B61-8050-44150E91C244}" uniqueName="11" name="Resíduos" queryTableFieldId="11" dataDxfId="76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0A92F2-ED3A-45C7-BDE6-67F3CEA42BDC}" name="Categoria" displayName="Categoria" ref="A1:A19" tableType="queryTable" totalsRowShown="0">
  <autoFilter ref="A1:A19" xr:uid="{6C0A92F2-ED3A-45C7-BDE6-67F3CEA42BDC}"/>
  <tableColumns count="1">
    <tableColumn id="1" xr3:uid="{8C6D6786-D493-400C-B845-4366AA2C5FE5}" uniqueName="1" name="RJ" queryTableFieldId="1" dataDxfId="76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8A82003-4C03-44DF-84D6-F5F0D381E778}" name="tabShoppingsEmails" displayName="tabShoppingsEmails" ref="A1:C50" tableType="queryTable" totalsRowShown="0">
  <autoFilter ref="A1:C50" xr:uid="{E8A82003-4C03-44DF-84D6-F5F0D381E778}"/>
  <tableColumns count="3">
    <tableColumn id="1" xr3:uid="{758C73A3-7CD0-4BAE-A9EA-007EFBF0D587}" uniqueName="1" name="Shopping" queryTableFieldId="1"/>
    <tableColumn id="2" xr3:uid="{36C676D1-C357-42F8-A73D-D57125A705F6}" uniqueName="2" name="E-mails consolidados" queryTableFieldId="2"/>
    <tableColumn id="3" xr3:uid="{2DC2CAC2-E702-4935-A00B-5BB3432B2D1D}" uniqueName="3" name="E-mails teste"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E88FBF4-A705-4CD2-9455-A41F1E18FD29}" name="Tabela10" displayName="Tabela10" ref="A1:C3" totalsRowShown="0" headerRowDxfId="765" headerRowBorderDxfId="764" tableBorderDxfId="763" totalsRowBorderDxfId="762">
  <autoFilter ref="A1:C3" xr:uid="{CE88FBF4-A705-4CD2-9455-A41F1E18FD29}"/>
  <tableColumns count="3">
    <tableColumn id="1" xr3:uid="{EF3160FF-1012-46CA-94F9-DE3D0894AC70}" name="Shopping"/>
    <tableColumn id="2" xr3:uid="{0426F0F9-1C4B-4BB0-910E-3FBEDAA26D8C}" name="E-mails consolidados"/>
    <tableColumn id="3" xr3:uid="{7FEE1998-008C-4770-BB05-A770078DCA4D}" name="E-mails teste"/>
  </tableColumns>
  <tableStyleInfo name="Estilo de Tabela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DC3A24-8F07-450F-8AA5-98E0C3BD8360}" name="Tab_Faturamento_RJ" displayName="Tab_Faturamento_RJ" ref="B1:AN985" totalsRowShown="0" headerRowDxfId="761" dataDxfId="760" tableBorderDxfId="759" dataCellStyle="Moeda">
  <autoFilter ref="B1:AN985" xr:uid="{B9292D41-52A9-42D8-9F5A-392363E95510}"/>
  <tableColumns count="39">
    <tableColumn id="1" xr3:uid="{B43114CB-AAF2-4E6F-84A5-D93BD1294BD0}" name="Data de Envio" dataDxfId="758" dataCellStyle="Moeda"/>
    <tableColumn id="2" xr3:uid="{09A10581-44E7-45CF-95D0-1E8DE6C1C651}" name="Enviou/Retornou a Medição?" dataDxfId="757" dataCellStyle="Moeda"/>
    <tableColumn id="3" xr3:uid="{C23EFE07-F06B-4321-9E81-CDAECCD468AB}" name="Unidade" dataDxfId="756" dataCellStyle="Moeda"/>
    <tableColumn id="4" xr3:uid="{13899B9E-1502-4E7D-AE7C-99C2C3043C97}" name="Categoria" dataDxfId="755" dataCellStyle="Moeda"/>
    <tableColumn id="5" xr3:uid="{1C7736CF-E577-4203-BCCE-D6C9215494BA}" name="Fornecedor" dataDxfId="754" dataCellStyle="Moeda"/>
    <tableColumn id="6" xr3:uid="{2C50E8B6-A7B4-4C18-876D-930F009917D4}" name="HC Organograma" dataDxfId="753" dataCellStyle="Moeda"/>
    <tableColumn id="7" xr3:uid="{A5B2A3A2-E1B3-4A6A-A924-E999503B5DE1}" name="HC Planilha" dataDxfId="752" dataCellStyle="Moeda"/>
    <tableColumn id="8" xr3:uid="{16C6E61D-D67F-4173-94EF-3B0F146AB620}" name="Dias Faltas" dataDxfId="751" dataCellStyle="Moeda"/>
    <tableColumn id="9" xr3:uid="{27D450B0-6725-45E2-8AA5-AE9CCCE58A25}" name="Horas Atrasos" dataDxfId="750" dataCellStyle="Moeda"/>
    <tableColumn id="10" xr3:uid="{92C5142B-58BE-40F6-95CE-8E03DBC38D8D}" name="Valor Planilha" dataDxfId="749" dataCellStyle="Moeda"/>
    <tableColumn id="11" xr3:uid="{1DD6E4EE-0925-47C3-B122-FEEC381D9DCD}" name="Desconto de faltas solicitado pelo fornecedor" dataDxfId="748" dataCellStyle="Moeda"/>
    <tableColumn id="12" xr3:uid="{841DA7F6-5C66-4496-BCA6-7D24DCA8923E}" name="Desconto Falta Validado Atlas" dataDxfId="747" dataCellStyle="Moeda"/>
    <tableColumn id="13" xr3:uid="{3E4B3C3F-3E6E-4553-9338-3BFFC9B46A77}" name="Desconto de atrasos solicitado pelo fornecedor" dataDxfId="746" dataCellStyle="Moeda"/>
    <tableColumn id="14" xr3:uid="{9B70062A-8132-4E98-8300-62A908A90191}" name="Desconto Atrasos Validado Atlas" dataDxfId="745" dataCellStyle="Moeda"/>
    <tableColumn id="15" xr3:uid="{BE5B52C7-FC60-43C7-809A-EDEFF7D6AD51}" name="Desconto SLA Mês" dataDxfId="744" dataCellStyle="Moeda"/>
    <tableColumn id="16" xr3:uid="{4AFD3076-B54A-4AA1-8F16-5A72233BA68D}" name="Desconto SLA Retroativo" dataDxfId="743" dataCellStyle="Moeda"/>
    <tableColumn id="17" xr3:uid="{6E434446-E9EA-4C62-B766-520C8511E337}" name="Desconto Equipamentos" dataDxfId="742" dataCellStyle="Moeda"/>
    <tableColumn id="18" xr3:uid="{C2D99CB4-FCCC-4E8D-BE10-AEE5F013B0A5}" name="Prêmio Assiduidade" dataDxfId="741" dataCellStyle="Moeda"/>
    <tableColumn id="19" xr3:uid="{0318B1F3-B9A7-4D89-AD67-B3D7D8E96701}" name="Outros descontos" dataDxfId="740" dataCellStyle="Moeda"/>
    <tableColumn id="20" xr3:uid="{78B76ACE-3D1D-450D-AAE1-679AE2B65767}" name="Vai descontar SLA?" dataDxfId="739" dataCellStyle="Moeda"/>
    <tableColumn id="21" xr3:uid="{496F6A76-BFDD-4458-88AB-0C0ABFDCD9CE}" name="Valor mensal final" dataDxfId="738" dataCellStyle="Moeda">
      <calculatedColumnFormula>IFERROR((K2+M2+R2+S2+T2+O2)+IF(U2="Sim",P2+Q2,0),(K2+R2+S2+T2)+IF(U2="Sim",P2+Q2,0))</calculatedColumnFormula>
    </tableColumn>
    <tableColumn id="22" xr3:uid="{ED913281-4EAF-422A-8284-E639DC78A28A}" name="Taxa de prorrogação do prazo pagamento" dataDxfId="737" dataCellStyle="Moeda"/>
    <tableColumn id="23" xr3:uid="{1F807199-762B-4961-9EB0-20F972045F01}" name="Valor mensal com prorrogação do prazo pagamento" dataDxfId="736" dataCellStyle="Moeda"/>
    <tableColumn id="24" xr3:uid="{0D330272-F6B7-488A-9B83-ADA7B5A4525C}" name="Retroativo de dissídio" dataDxfId="735" dataCellStyle="Moeda"/>
    <tableColumn id="25" xr3:uid="{50F9B29B-A099-4748-8CD9-6DE4788A6DA6}" name="Parcela_x000a_(x/x)" dataDxfId="734" dataCellStyle="Moeda"/>
    <tableColumn id="26" xr3:uid="{9E8CFFC4-75EC-4117-A953-DE5F5A573601}" name="Mês de referência para faturamento" dataDxfId="733" dataCellStyle="Moeda"/>
    <tableColumn id="40" xr3:uid="{37DB7830-3CC2-427D-851D-DCE1746B7000}" name="Mês de emissão da NF" dataDxfId="732" dataCellStyle="Moeda">
      <calculatedColumnFormula array="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calculatedColumnFormula>
    </tableColumn>
    <tableColumn id="27" xr3:uid="{DE8E2692-9A92-4540-9054-85A0CC1FB04F}" name="Extras Solicitado pelo fornecedor" dataDxfId="731" dataCellStyle="Moeda"/>
    <tableColumn id="28" xr3:uid="{09DF8BE6-54BC-4841-A62B-6638EF2E4EC3}" name="Valor extras validado Atlas" dataDxfId="730" dataCellStyle="Moeda"/>
    <tableColumn id="29" xr3:uid="{5C7440FB-CE29-4468-9673-C071F0C20BB7}" name="Valor NF Extra" dataDxfId="729" dataCellStyle="Moeda"/>
    <tableColumn id="30" xr3:uid="{5CBC42D0-C147-4C65-99F3-0DBEEB35DF41}" name="NF enviada sistema?" dataDxfId="728" dataCellStyle="Moeda"/>
    <tableColumn id="31" xr3:uid="{F047B250-4DDF-4F1F-9040-9F1C17BDCE95}" name="Valor NF" dataDxfId="727" dataCellStyle="Moeda"/>
    <tableColumn id="32" xr3:uid="{CD499E91-7EF5-4D70-85DC-609A851AA171}" name="NF ok?" dataDxfId="726" dataCellStyle="Moeda"/>
    <tableColumn id="33" xr3:uid="{0DB1D984-2A0A-427D-8FDB-934D2E5E7C9D}" name="SEFIP Enviada Sistema?" dataDxfId="725" dataCellStyle="Moeda"/>
    <tableColumn id="34" xr3:uid="{36728B20-DAF3-4A0E-9428-2C79742937C3}" name="Saving Faltas" dataDxfId="724" dataCellStyle="Moeda">
      <calculatedColumnFormula>IFERROR(L2-M2,0)</calculatedColumnFormula>
    </tableColumn>
    <tableColumn id="35" xr3:uid="{B448B503-E4C7-4351-8815-601E25F1346F}" name="Saving Extras" dataDxfId="723" dataCellStyle="Moeda">
      <calculatedColumnFormula>AC2-AD2</calculatedColumnFormula>
    </tableColumn>
    <tableColumn id="36" xr3:uid="{4699E875-10A9-478F-981B-7A4E3C75C994}" name="Deduções Totais" dataDxfId="722" dataCellStyle="Moeda">
      <calculatedColumnFormula>K2-V2</calculatedColumnFormula>
    </tableColumn>
    <tableColumn id="37" xr3:uid="{B3EB2883-79CD-43B7-91E0-69FB3A7126FB}" name="Observações" dataDxfId="721" dataCellStyle="Moeda"/>
    <tableColumn id="43" xr3:uid="{9DF6BD46-0AE2-4265-BEC8-CE615542DB3B}" name="E-mail" dataDxfId="720" dataCellStyle="Moeda"/>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D244D2-0466-44EB-97FE-E68F82B9D62F}" name="Tabela4" displayName="Tabela4" ref="B1:Y408" totalsRowCount="1" headerRowDxfId="719" dataDxfId="717" totalsRowDxfId="715" headerRowBorderDxfId="718" tableBorderDxfId="716" totalsRowBorderDxfId="714">
  <autoFilter ref="B1:Y407" xr:uid="{3CD244D2-0466-44EB-97FE-E68F82B9D62F}">
    <filterColumn colId="0">
      <filters>
        <filter val="Norte Shopping"/>
      </filters>
    </filterColumn>
    <filterColumn colId="1">
      <filters>
        <filter val="Portaria"/>
      </filters>
    </filterColumn>
    <filterColumn colId="3">
      <filters>
        <dateGroupItem year="2025" month="9" dateTimeGrouping="month"/>
      </filters>
    </filterColumn>
  </autoFilter>
  <tableColumns count="24">
    <tableColumn id="1" xr3:uid="{2FC3459F-EC85-4594-BE81-5BB884BCD8F1}" name="Unidade" totalsRowLabel="Total" dataDxfId="713" totalsRowDxfId="712"/>
    <tableColumn id="13" xr3:uid="{F0DF2F90-65C4-4B1E-BB5B-F5E0CB629099}" name="Categoria" dataDxfId="711" totalsRowDxfId="710"/>
    <tableColumn id="20" xr3:uid="{07EAE029-D32B-4E17-A43B-F964669D91F6}" name="Fornecedor" dataDxfId="709" totalsRowDxfId="708"/>
    <tableColumn id="12" xr3:uid="{9797F5AE-F8FF-4A44-B915-E9D1B403E7B5}" name="Mês falta" dataDxfId="707" totalsRowDxfId="706"/>
    <tableColumn id="11" xr3:uid="{E2D96AD4-FD2C-4D36-8467-7A2810B77FBB}" name="Função" dataDxfId="705" totalsRowDxfId="704"/>
    <tableColumn id="2" xr3:uid="{C228E5EA-3698-42C2-B27D-3970D2F67DE1}" name="Escala" dataDxfId="703" totalsRowDxfId="702" dataCellStyle="Moeda"/>
    <tableColumn id="3" xr3:uid="{1FA8CE85-03C6-4526-9295-54E0A61AC83F}" name="Turno" dataDxfId="701" totalsRowDxfId="700" dataCellStyle="Moeda"/>
    <tableColumn id="4" xr3:uid="{30AF0417-F799-4551-90D3-0FE499261556}" name="Horário fim" dataDxfId="699" totalsRowDxfId="698" dataCellStyle="Moeda"/>
    <tableColumn id="5" xr3:uid="{0E68B33C-2A1C-43FA-9A98-3FD45EEA8298}" name="Quantidade de horas de atraso" totalsRowFunction="sum" dataDxfId="697" totalsRowDxfId="696"/>
    <tableColumn id="6" xr3:uid="{5A8AC0E5-A99E-419F-B85B-BD43E7A41EFD}" name="Valor hora atraso" dataDxfId="695" totalsRowDxfId="694" dataCellStyle="Moeda"/>
    <tableColumn id="7" xr3:uid="{C3AF5658-1FFE-4E4F-B747-167F9FD72A7D}" name="Total atrasos" totalsRowFunction="sum" totalsRowDxfId="693" dataCellStyle="Moeda">
      <calculatedColumnFormula>J2*K2</calculatedColumnFormula>
    </tableColumn>
    <tableColumn id="8" xr3:uid="{65F5CFE8-3437-4B78-BD32-3284928E141B}" name="Qtd de dias de faltas" totalsRowFunction="sum" dataDxfId="692" totalsRowDxfId="691"/>
    <tableColumn id="9" xr3:uid="{21DEFC4C-974C-4BEF-B30A-C4AC43F3AB42}" name="Valor falta" dataDxfId="690" totalsRowDxfId="689" dataCellStyle="Moeda"/>
    <tableColumn id="10" xr3:uid="{40F19F6D-054D-44F6-B9B7-1933A526E25A}" name="Total faltas" totalsRowFunction="sum" dataDxfId="688" totalsRowDxfId="687" dataCellStyle="Moeda">
      <calculatedColumnFormula>M2*N2</calculatedColumnFormula>
    </tableColumn>
    <tableColumn id="14" xr3:uid="{3E09D775-E88C-4D39-B66F-70B1A797FC58}" name="Equipamento " dataDxfId="686" totalsRowDxfId="685"/>
    <tableColumn id="17" xr3:uid="{CB8E57D9-D698-48E0-ABA9-7E481E3CE650}" name="Dias inoperantes" dataDxfId="684" totalsRowDxfId="683"/>
    <tableColumn id="21" xr3:uid="{CE9BFD5B-746B-4F86-BE27-2FE92B5630B6}" name="Valor contrato" dataDxfId="682" totalsRowDxfId="681"/>
    <tableColumn id="25" xr3:uid="{559D86D0-93FA-4EA2-B4FA-1D42365AB7E0}" name="Valor do contrato sem o equipamento" dataDxfId="680" totalsRowDxfId="679"/>
    <tableColumn id="24" xr3:uid="{DB5BD314-BD74-4B8E-88DE-F8436DC48AF7}" name="Valor pro rata dias sem equipamento" dataDxfId="678" totalsRowDxfId="677">
      <calculatedColumnFormula>Tabela4[[#This Row],[Valor do contrato sem o equipamento]]/30.4375*3</calculatedColumnFormula>
    </tableColumn>
    <tableColumn id="22" xr3:uid="{8F4FA3CB-8BF9-4592-8451-89946EA7ED4A}" name="Valor pro rata dias com equipamento" dataDxfId="676" totalsRowDxfId="675">
      <calculatedColumnFormula>Tabela4[[#This Row],[Valor contrato]]*(30.4375-Tabela4[[#This Row],[Dias inoperantes]])/30.4375</calculatedColumnFormula>
    </tableColumn>
    <tableColumn id="15" xr3:uid="{C07045AF-7920-4536-BFF0-50058790445B}" name="Pro rata total" dataDxfId="674" totalsRowDxfId="673"/>
    <tableColumn id="16" xr3:uid="{E3B8A459-6E4B-421E-AC55-31DE40B071F1}" name="Diferença" dataDxfId="672" totalsRowDxfId="671" dataCellStyle="Moeda"/>
    <tableColumn id="23" xr3:uid="{8D561438-C5F5-4919-A9DC-1418B0442756}" name="Quantidade" dataDxfId="670" totalsRowDxfId="669"/>
    <tableColumn id="19" xr3:uid="{AFEFB9A7-E8B2-4C91-BFFE-BF21F3C6D37A}" name="Desconto equipamentos" totalsRowFunction="sum" dataDxfId="668" totalsRowDxfId="667" dataCellStyle="Moeda">
      <calculatedColumnFormula>Tabela4[[#This Row],[Diferença]]*Tabela4[[#This Row],[Quantidade]]</calculatedColumnFormula>
    </tableColumn>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0A323E-E849-48F7-B723-1A8832950648}" name="Reajuste" displayName="Reajuste" ref="B1:T92" headerRowDxfId="666" dataDxfId="664" headerRowBorderDxfId="665" tableBorderDxfId="663" totalsRowBorderDxfId="662">
  <autoFilter ref="B1:T92" xr:uid="{EE3D29A1-E892-4BCF-93DB-A7460063AFB5}">
    <filterColumn colId="1">
      <filters>
        <filter val="Bangu Shopping"/>
      </filters>
    </filterColumn>
  </autoFilter>
  <sortState xmlns:xlrd2="http://schemas.microsoft.com/office/spreadsheetml/2017/richdata2" ref="B51:T54">
    <sortCondition descending="1" ref="I1:I92"/>
  </sortState>
  <tableColumns count="19">
    <tableColumn id="1" xr3:uid="{21024481-7B1F-45D4-A872-4C0E429D9EC8}" name="Fornecedor" totalsRowLabel="Total" dataDxfId="661" totalsRowDxfId="660"/>
    <tableColumn id="2" xr3:uid="{ECDF86A2-5F3B-44DC-AA55-A01ED6427CA7}" name="Unidade" dataDxfId="659" totalsRowDxfId="658"/>
    <tableColumn id="3" xr3:uid="{C32540D3-BEF0-49F2-9F91-6A789A4A7EF3}" name="Categoria" dataDxfId="657" totalsRowDxfId="656"/>
    <tableColumn id="4" xr3:uid="{F51809F9-7042-4539-AEDE-A0F02D3A1191}" name="Mês Referência Relatório - Mês que o reajuste foi validado pelas partes" dataDxfId="655" totalsRowDxfId="654"/>
    <tableColumn id="5" xr3:uid="{8B30C653-1EA3-4F04-AEA5-3DDD26EEDC76}" name="Data _x000a_Reajuste do Contrato" dataDxfId="653" totalsRowDxfId="652"/>
    <tableColumn id="6" xr3:uid="{E9FAE3C7-4FB6-4D07-B7E2-42F7CB38110E}" name="Status" dataDxfId="651" totalsRowDxfId="650"/>
    <tableColumn id="7" xr3:uid="{9E7E85EA-7808-4865-8544-94DEDF4E9D2A}" name="Valor 2024" dataDxfId="649" totalsRowDxfId="648"/>
    <tableColumn id="8" xr3:uid="{5462707D-0C74-4416-B7B0-137891E771C5}" name="Valor 2025" dataDxfId="647" totalsRowDxfId="646"/>
    <tableColumn id="9" xr3:uid="{E75D7690-88DA-4A88-85F3-62A1B1D0878E}" name="Reajuste" dataDxfId="645" totalsRowDxfId="644">
      <calculatedColumnFormula>IFERROR(IF(H2&gt;0,I2-H2,""),"")</calculatedColumnFormula>
    </tableColumn>
    <tableColumn id="10" xr3:uid="{E2700D85-29A6-44FD-9B4F-93D7FCB7DD78}" name="% Reajuste" dataDxfId="643" totalsRowDxfId="642" dataCellStyle="Porcentagem">
      <calculatedColumnFormula>IFERROR(IF(J2&gt;0,J2/H2,""),"")</calculatedColumnFormula>
    </tableColumn>
    <tableColumn id="11" xr3:uid="{9918D6D7-FA9B-4417-96D6-00DA0CC0168A}" name="Retroativo Fornecedor" dataDxfId="641" totalsRowDxfId="640"/>
    <tableColumn id="12" xr3:uid="{2861B62C-C473-4556-9867-13AAB053C16E}" name="Retroativo Atlas" dataDxfId="639" totalsRowDxfId="638"/>
    <tableColumn id="13" xr3:uid="{8C2D83E8-4B08-4827-B44C-DE4BAC7B559D}" name="Diferença" dataDxfId="637" totalsRowDxfId="636">
      <calculatedColumnFormula>L2-M2</calculatedColumnFormula>
    </tableColumn>
    <tableColumn id="14" xr3:uid="{FB07614D-C8DD-4395-B710-22A2A8617BFC}" name="Valor 2025_x000a_Fornecedor" dataDxfId="635" totalsRowDxfId="634"/>
    <tableColumn id="15" xr3:uid="{58359C61-8A10-474B-B41C-DEEEC0C896AE}" name="Valor 2025_x000a_Revisão Atlas" dataDxfId="633" totalsRowDxfId="632"/>
    <tableColumn id="16" xr3:uid="{1414650A-4EA2-4956-AC90-76CDCCED017F}" name="Diferença Atlas-Fornecedor" dataDxfId="631" totalsRowDxfId="630">
      <calculatedColumnFormula>O2-P2</calculatedColumnFormula>
    </tableColumn>
    <tableColumn id="17" xr3:uid="{881826B8-64C3-488E-AA59-731FAF34EE41}" name="Diferença Anual" dataDxfId="629" totalsRowDxfId="628">
      <calculatedColumnFormula>Q2*12</calculatedColumnFormula>
    </tableColumn>
    <tableColumn id="18" xr3:uid="{59756857-981F-4814-9C86-B385F0F52663}" name="CCT Vinculada" dataDxfId="627" totalsRowDxfId="626"/>
    <tableColumn id="19" xr3:uid="{A7B9D209-BE6C-476B-8E20-2261087C8C93}" name="Observação" totalsRowFunction="count" dataDxfId="625" totalsRowDxfId="624"/>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DD713E-F161-4721-967D-4E83B10EEEEA}" name="Tabela1" displayName="Tabela1" ref="B1:M163" totalsRowCount="1" headerRowDxfId="623" totalsRowDxfId="620" headerRowBorderDxfId="622" tableBorderDxfId="621" totalsRowBorderDxfId="619">
  <autoFilter ref="B1:M162" xr:uid="{0BDD713E-F161-4721-967D-4E83B10EEEEA}">
    <filterColumn colId="2">
      <filters>
        <filter val="Caxias Shopping"/>
      </filters>
    </filterColumn>
    <filterColumn colId="3">
      <filters>
        <filter val="Brigada de Incêndio"/>
      </filters>
    </filterColumn>
    <filterColumn colId="5">
      <filters>
        <dateGroupItem year="2025" month="5" dateTimeGrouping="month"/>
      </filters>
    </filterColumn>
  </autoFilter>
  <sortState xmlns:xlrd2="http://schemas.microsoft.com/office/spreadsheetml/2017/richdata2" ref="B159:M159">
    <sortCondition ref="G1:G162"/>
  </sortState>
  <tableColumns count="12">
    <tableColumn id="1" xr3:uid="{19E1BEEA-5C21-436C-9077-58300A4DD5DA}" name="Mês cálculo" dataDxfId="618" totalsRowDxfId="617"/>
    <tableColumn id="9" xr3:uid="{4A8DA7AD-63C5-44D1-B27C-10D5B97661D7}" name="Fornecedor" totalsRowLabel="Total" dataDxfId="616" totalsRowDxfId="615"/>
    <tableColumn id="2" xr3:uid="{374D8DA1-6E5E-4EC2-B59E-7E46416EBB26}" name="Unidade" dataDxfId="614" totalsRowDxfId="613"/>
    <tableColumn id="3" xr3:uid="{BDD830A6-4F33-46B1-8EA2-182D4516F4BA}" name="Categoria" totalsRowLabel="Total" dataDxfId="612" totalsRowDxfId="611"/>
    <tableColumn id="11" xr3:uid="{25CBEEFD-9353-4918-B73D-1A18AB006AFA}" name="Data base CCT" dataDxfId="610" totalsRowDxfId="609"/>
    <tableColumn id="4" xr3:uid="{17416236-0B44-4ED7-AA03-42C16478087C}" name="Mês de competência NF" dataDxfId="608" totalsRowDxfId="607"/>
    <tableColumn id="10" xr3:uid="{F9A0C9EA-3610-49CA-889C-4F1C0D996B44}" name="Mês de emissão da NF" dataDxfId="606" totalsRowDxfId="605"/>
    <tableColumn id="12" xr3:uid="{8841612C-B9DA-44CC-B305-827608C43B9E}" name="NF" dataDxfId="604" totalsRowDxfId="603"/>
    <tableColumn id="5" xr3:uid="{6471C50D-99CF-47F3-9C70-05AC269F0B9A}" name="Valor Faturado" dataDxfId="602" totalsRowDxfId="601" dataCellStyle="Moeda"/>
    <tableColumn id="6" xr3:uid="{CD9C4022-CB67-482E-B0D6-4E6E1E8BD897}" name="% Reajuste" dataDxfId="600" totalsRowDxfId="599" dataCellStyle="Porcentagem"/>
    <tableColumn id="7" xr3:uid="{F88C36EB-9009-4F67-ACC4-80544CE27465}" name="Valor devido" dataDxfId="598" totalsRowDxfId="597" dataCellStyle="Moeda">
      <calculatedColumnFormula>J2*(1+K2)</calculatedColumnFormula>
    </tableColumn>
    <tableColumn id="8" xr3:uid="{DFD301DC-B84F-42DC-B615-DE11110B1BBD}" name="Retroativo" totalsRowFunction="sum" totalsRowDxfId="596">
      <calculatedColumnFormula>L2-J2</calculatedColumnFormula>
    </tableColumn>
  </tableColumns>
  <tableStyleInfo name="Estilo de Tabela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8DB9DC-4DE3-44BC-B1BE-D096761185EB}" name="Tabela11" displayName="Tabela11" ref="C1:H75" totalsRowShown="0" headerRowDxfId="595" headerRowBorderDxfId="594" tableBorderDxfId="593" totalsRowBorderDxfId="592">
  <autoFilter ref="C1:H75" xr:uid="{6C8DB9DC-4DE3-44BC-B1BE-D096761185EB}"/>
  <tableColumns count="6">
    <tableColumn id="1" xr3:uid="{B09E72BD-E00D-4C74-AA26-68648B2EB478}" name="Unidade" dataDxfId="591" dataCellStyle="Moeda"/>
    <tableColumn id="2" xr3:uid="{6C931ED3-845B-4831-9F04-844646E9915A}" name="Categoria" dataDxfId="590" dataCellStyle="Moeda"/>
    <tableColumn id="3" xr3:uid="{3B68D920-2DFA-42FC-8FAD-25F41D20147E}" name="Fornecedor" dataDxfId="589" dataCellStyle="Moeda"/>
    <tableColumn id="4" xr3:uid="{EC4F2A58-72C9-4F01-AAC4-6162DB7C1033}" name="Condição de faturamento" dataDxfId="588" dataCellStyle="Moeda"/>
    <tableColumn id="6" xr3:uid="{733FABC0-8448-44F5-9115-1C092700C816}" name="Data de corte" dataDxfId="587" dataCellStyle="Moeda"/>
    <tableColumn id="5" xr3:uid="{924EE4F6-8E62-4687-809F-FA61D013AAC3}" name="Chave3" dataDxfId="586" dataCellStyle="Moeda">
      <calculatedColumnFormula>Tabela11[[#This Row],[Unidade]]&amp;Tabela11[[#This Row],[Categoria]]&amp;Tabela11[[#This Row],[Fornecedor]]</calculatedColumnFormula>
    </tableColumn>
  </tableColumns>
  <tableStyleInfo name="Estilo de Tabela 8"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8" dT="2025-07-25T18:01:39.69" personId="{4A37CA97-5B9B-4FE7-9E19-B4BED969D72E}" id="{0A060B74-0A68-4F4D-970B-E839A3C0569D}">
    <text>Reajuste 2025</text>
  </threadedComment>
  <threadedComment ref="AD8" dT="2025-08-11T20:42:10.44" personId="{4A37CA97-5B9B-4FE7-9E19-B4BED969D72E}" id="{DC033AA4-4B8B-4D5A-81EF-579914D0FA80}">
    <text>Evento gastronômico 16,17 e18</text>
  </threadedComment>
  <threadedComment ref="K9" dT="2025-07-25T18:01:39.69" personId="{4A37CA97-5B9B-4FE7-9E19-B4BED969D72E}" id="{7346845C-E087-494A-AFB7-DE9E293D67FA}">
    <text>Reajuste 2025</text>
  </threadedComment>
  <threadedComment ref="K10" dT="2025-07-25T18:01:39.69" personId="{4A37CA97-5B9B-4FE7-9E19-B4BED969D72E}" id="{D9D0FDE1-4373-4FDB-A125-978B11DDC91F}">
    <text>Reajuste 2025</text>
  </threadedComment>
  <threadedComment ref="AD10" dT="2025-08-11T20:42:10.44" personId="{4A37CA97-5B9B-4FE7-9E19-B4BED969D72E}" id="{58D0A1D6-AC9F-4E2F-94B7-00AFDCCF2222}">
    <text>Evento gastronômico 16,17 e18</text>
  </threadedComment>
  <threadedComment ref="K11" dT="2025-07-25T18:01:39.69" personId="{4A37CA97-5B9B-4FE7-9E19-B4BED969D72E}" id="{137ABD2B-9B31-4161-A482-83C25A0CE995}">
    <text>Reajuste 2025</text>
  </threadedComment>
  <threadedComment ref="K12" dT="2025-06-02T14:18:02.47" personId="{4A37CA97-5B9B-4FE7-9E19-B4BED969D72E}" id="{88072393-DE4D-475B-997B-B6744769D9F6}">
    <text>Valor 2025</text>
  </threadedComment>
  <threadedComment ref="K12" dT="2025-06-02T14:36:05.63" personId="{4A37CA97-5B9B-4FE7-9E19-B4BED969D72E}" id="{E6390469-8FF5-4A5A-8250-14F400984788}" parentId="{88072393-DE4D-475B-997B-B6744769D9F6}">
    <text>+ Redução de 1 posto de tratamento de piso. Início em 01/06/25.</text>
  </threadedComment>
  <threadedComment ref="E15" dT="2025-04-24T12:40:21.87" personId="{4A37CA97-5B9B-4FE7-9E19-B4BED969D72E}" id="{AF143C08-C773-4C5D-9CEF-024A00C8FAC0}">
    <text>Se tornou orgânico a partir de 10/03.</text>
  </threadedComment>
  <threadedComment ref="K15" dT="2025-03-12T13:05:44.70" personId="{4A37CA97-5B9B-4FE7-9E19-B4BED969D72E}" id="{23E976A9-7F7C-4D4E-9727-78B6EDBBDCD4}">
    <text>9 dias</text>
  </threadedComment>
  <threadedComment ref="AD20" dT="2025-02-24T19:49:27.42" personId="{4A37CA97-5B9B-4FE7-9E19-B4BED969D72E}" id="{3DFD1B62-DB37-4248-9585-804DD660D3F5}">
    <text>6 funcionários dias 01, 02 e 03 de março.</text>
  </threadedComment>
  <threadedComment ref="K23" dT="2025-06-02T14:18:02.47" personId="{4A37CA97-5B9B-4FE7-9E19-B4BED969D72E}" id="{927636D2-BF36-40D6-96D4-1254443BCC4D}">
    <text>Valor 2025</text>
  </threadedComment>
  <threadedComment ref="K23" dT="2025-06-02T14:36:05.63" personId="{4A37CA97-5B9B-4FE7-9E19-B4BED969D72E}" id="{80CF220E-228F-4C24-A037-89F2BF0892B5}" parentId="{927636D2-BF36-40D6-96D4-1254443BCC4D}">
    <text>+ Redução de 1 posto de tratamento de piso. Início em 01/06/25.</text>
  </threadedComment>
  <threadedComment ref="K24" dT="2025-06-02T14:18:02.47" personId="{4A37CA97-5B9B-4FE7-9E19-B4BED969D72E}" id="{547D1557-3251-442B-A8CD-36D3C23F719F}">
    <text>Valor 2025</text>
  </threadedComment>
  <threadedComment ref="K24" dT="2025-06-02T14:36:05.63" personId="{4A37CA97-5B9B-4FE7-9E19-B4BED969D72E}" id="{CB1842FF-B47C-4859-A8F0-CC330BA0455E}" parentId="{547D1557-3251-442B-A8CD-36D3C23F719F}">
    <text>+ Redução de 1 posto de tratamento de piso. Início em 01/06/25.</text>
  </threadedComment>
  <threadedComment ref="K25" dT="2025-07-25T18:38:40.84" personId="{4A37CA97-5B9B-4FE7-9E19-B4BED969D72E}" id="{A2095BCE-1FC3-4512-A560-8CE008C97244}">
    <text>Reajuste 2025</text>
  </threadedComment>
  <threadedComment ref="K26" dT="2025-06-02T14:18:02.47" personId="{4A37CA97-5B9B-4FE7-9E19-B4BED969D72E}" id="{EBF3061F-9FCC-4ABE-BC4F-E51A9AEB1000}">
    <text>Valor 2025</text>
  </threadedComment>
  <threadedComment ref="K26" dT="2025-06-02T14:36:05.63" personId="{4A37CA97-5B9B-4FE7-9E19-B4BED969D72E}" id="{619EF782-7B6D-486C-87BA-E699472986AC}" parentId="{EBF3061F-9FCC-4ABE-BC4F-E51A9AEB1000}">
    <text>+ Redução de 1 posto de tratamento de piso. Início em 01/06/25.</text>
  </threadedComment>
  <threadedComment ref="AE26" dT="2025-08-13T20:03:06.19" personId="{4A37CA97-5B9B-4FE7-9E19-B4BED969D72E}" id="{53B6D09F-EC27-4FE8-8362-8036FC5A1B4A}">
    <text>Rio jet'aime</text>
  </threadedComment>
  <threadedComment ref="K27" dT="2025-06-02T14:18:02.47" personId="{4A37CA97-5B9B-4FE7-9E19-B4BED969D72E}" id="{56BBBA73-9B9B-48E5-B647-05FC8ED54AF5}">
    <text>Valor 2025</text>
  </threadedComment>
  <threadedComment ref="K27" dT="2025-06-02T14:36:05.63" personId="{4A37CA97-5B9B-4FE7-9E19-B4BED969D72E}" id="{3960464D-EF7E-4293-98DE-0C7350D9D3A8}" parentId="{56BBBA73-9B9B-48E5-B647-05FC8ED54AF5}">
    <text>+ Redução de 1 posto de tratamento de piso. Início em 01/06/25.</text>
  </threadedComment>
  <threadedComment ref="K30" dT="2025-03-13T11:10:38.45" personId="{4A37CA97-5B9B-4FE7-9E19-B4BED969D72E}" id="{42A83B03-1F5D-4C34-87DE-45D45E3D1058}">
    <text>Valor 2024 Reoneração FoPag.</text>
  </threadedComment>
  <threadedComment ref="K31" dT="2025-03-13T11:10:38.45" personId="{4A37CA97-5B9B-4FE7-9E19-B4BED969D72E}" id="{69469A74-C9B1-4367-B8EF-3BF4907E49D0}">
    <text>Valor 2024 Reoneração FoPag.</text>
  </threadedComment>
  <threadedComment ref="K32" dT="2025-03-13T11:10:38.45" personId="{4A37CA97-5B9B-4FE7-9E19-B4BED969D72E}" id="{1AF441B4-C8D3-463D-98C4-77DAA42C9CA0}">
    <text>Valor 2024 Reoneração FoPag.</text>
  </threadedComment>
  <threadedComment ref="K33" dT="2025-03-13T11:10:38.45" personId="{4A37CA97-5B9B-4FE7-9E19-B4BED969D72E}" id="{4380E9D4-40A8-429B-90D0-48BD4404507D}">
    <text>Valor 2024 Reoneração FoPag.</text>
  </threadedComment>
  <threadedComment ref="AE33" dT="2025-05-06T17:25:01.75" personId="{4A37CA97-5B9B-4FE7-9E19-B4BED969D72E}" id="{B5537849-5256-46B6-B371-B23F313364E8}">
    <text>Extras realizados em abril.</text>
  </threadedComment>
  <threadedComment ref="K34" dT="2025-03-13T11:10:38.45" personId="{4A37CA97-5B9B-4FE7-9E19-B4BED969D72E}" id="{1D02642D-EE13-4F46-896C-1C8AF2A47BB4}">
    <text>Valor 2024 Reoneração FoPag.</text>
  </threadedComment>
  <threadedComment ref="K35" dT="2025-03-13T11:10:38.45" personId="{4A37CA97-5B9B-4FE7-9E19-B4BED969D72E}" id="{1DF81F0F-1B51-41DB-8E35-43657D50647D}">
    <text>Valor 2024 Reoneração FoPag.</text>
  </threadedComment>
  <threadedComment ref="K36" dT="2025-07-25T18:38:40.84" personId="{4A37CA97-5B9B-4FE7-9E19-B4BED969D72E}" id="{0060726F-D9DF-400E-B062-303FF6DA6D1A}">
    <text>Reajuste 2025</text>
  </threadedComment>
  <threadedComment ref="K37" dT="2025-08-18T19:48:12.31" personId="{4A37CA97-5B9B-4FE7-9E19-B4BED969D72E}" id="{793AFF40-856A-458F-8584-3ADA7CA39A0A}">
    <text>Reajuste 2025</text>
  </threadedComment>
  <threadedComment ref="K38" dT="2025-08-20T14:00:58.24" personId="{4A37CA97-5B9B-4FE7-9E19-B4BED969D72E}" id="{52500A7C-B46E-4F17-B616-E24D88C1B14F}">
    <text>Adequação ao Novo Organograma.</text>
  </threadedComment>
  <threadedComment ref="K38" dT="2025-08-20T14:01:06.06" personId="{4A37CA97-5B9B-4FE7-9E19-B4BED969D72E}" id="{048AFE21-1873-496E-836A-886F5D70465E}" parentId="{52500A7C-B46E-4F17-B616-E24D88C1B14F}">
    <text>Início em 01/09</text>
  </threadedComment>
  <threadedComment ref="K39" dT="2025-08-20T14:00:58.24" personId="{4A37CA97-5B9B-4FE7-9E19-B4BED969D72E}" id="{FCD7B6F3-266E-43CD-ACFE-0F171B39B307}">
    <text>Adequação ao Novo Organograma.</text>
  </threadedComment>
  <threadedComment ref="K39" dT="2025-08-20T14:01:06.06" personId="{4A37CA97-5B9B-4FE7-9E19-B4BED969D72E}" id="{6B31299D-A2D4-423C-8430-EA5FF11D8696}" parentId="{FCD7B6F3-266E-43CD-ACFE-0F171B39B307}">
    <text>Início em 01/09</text>
  </threadedComment>
  <threadedComment ref="K48" dT="2025-08-18T19:48:12.31" personId="{4A37CA97-5B9B-4FE7-9E19-B4BED969D72E}" id="{467855E4-D682-4C5B-957B-FEBC3DCDC3A0}">
    <text>Reajuste 2025</text>
  </threadedComment>
  <threadedComment ref="K49" dT="2025-07-25T18:40:32.83" personId="{4A37CA97-5B9B-4FE7-9E19-B4BED969D72E}" id="{A9B99B61-45F0-487D-BDBC-053D3D75A091}">
    <text>Reajuste 2025.</text>
  </threadedComment>
  <threadedComment ref="K50" dT="2025-08-18T19:48:12.31" personId="{4A37CA97-5B9B-4FE7-9E19-B4BED969D72E}" id="{9AD9E480-EDA0-4A69-8784-838CF22AF472}">
    <text>Reajuste 2025</text>
  </threadedComment>
  <threadedComment ref="K51" dT="2025-08-18T19:48:12.31" personId="{4A37CA97-5B9B-4FE7-9E19-B4BED969D72E}" id="{17A02841-CDDA-4531-B7B8-4911FDF93796}">
    <text>Reajuste 2025</text>
  </threadedComment>
  <threadedComment ref="K61" dT="2025-06-02T14:26:12.51" personId="{4A37CA97-5B9B-4FE7-9E19-B4BED969D72E}" id="{F71947F0-32BA-45D8-92A3-1A440CE32F0E}">
    <text>Valor 2025</text>
  </threadedComment>
  <threadedComment ref="AD62" dT="2025-10-02T16:54:24.44" personId="{DB2BE661-D618-44CE-AE20-17C82EAE22B7}" id="{8238C920-E7C5-4F1E-918A-77384FBAE33D}">
    <text>Evento gastromico</text>
  </threadedComment>
  <threadedComment ref="K66" dT="2025-06-02T14:26:12.51" personId="{4A37CA97-5B9B-4FE7-9E19-B4BED969D72E}" id="{D878C8E6-203D-4DDA-B776-DE790D8D0183}">
    <text>Valor 2025</text>
  </threadedComment>
  <threadedComment ref="K67" dT="2025-06-02T14:18:02.47" personId="{4A37CA97-5B9B-4FE7-9E19-B4BED969D72E}" id="{D3D0781A-9F58-4940-A5E1-6E78FAAFE902}">
    <text>Valor 2025</text>
  </threadedComment>
  <threadedComment ref="K68" dT="2025-06-02T14:26:12.51" personId="{4A37CA97-5B9B-4FE7-9E19-B4BED969D72E}" id="{94308DB5-FF6B-441B-BC6E-E6C83D7F9B83}">
    <text>Valor 2025</text>
  </threadedComment>
  <threadedComment ref="K69" dT="2025-06-02T14:26:12.51" personId="{4A37CA97-5B9B-4FE7-9E19-B4BED969D72E}" id="{646F11CD-D8DB-4989-B69E-23A13BAC4130}">
    <text>Valor 2025</text>
  </threadedComment>
  <threadedComment ref="K70" dT="2025-06-02T14:26:12.51" personId="{4A37CA97-5B9B-4FE7-9E19-B4BED969D72E}" id="{6209FD57-7E28-402F-9BEB-F338F0149812}">
    <text>Valor 2025</text>
  </threadedComment>
  <threadedComment ref="K78" dT="2025-06-02T14:18:02.47" personId="{4A37CA97-5B9B-4FE7-9E19-B4BED969D72E}" id="{62B0FC76-68A8-421E-B5F8-6DFEA27FFCB7}">
    <text>Valor 2025</text>
  </threadedComment>
  <threadedComment ref="K79" dT="2025-04-25T15:08:26.04" personId="{4A37CA97-5B9B-4FE7-9E19-B4BED969D72E}" id="{710A3F4A-5323-4BC6-9FF0-097E49281E7D}">
    <text>Reajuste 2025.</text>
  </threadedComment>
  <threadedComment ref="AC79" dT="2025-05-13T15:44:11.33" personId="{4A37CA97-5B9B-4FE7-9E19-B4BED969D72E}" id="{4F524115-C30A-4356-97FB-E40049EFFC5D}">
    <text>Retroativo de janeiro e fevereiro.</text>
  </threadedComment>
  <threadedComment ref="K80" dT="2025-06-02T14:18:02.47" personId="{4A37CA97-5B9B-4FE7-9E19-B4BED969D72E}" id="{CB9ACB7C-6C46-4CF5-BBD5-455080460CAF}">
    <text>Valor 2025</text>
  </threadedComment>
  <threadedComment ref="K81" dT="2025-06-02T14:18:02.47" personId="{4A37CA97-5B9B-4FE7-9E19-B4BED969D72E}" id="{23C0EFB8-3DDA-4DF4-A658-EC682D99A9F9}">
    <text>Valor 2025</text>
  </threadedComment>
  <threadedComment ref="K82" dT="2025-06-02T14:18:02.47" personId="{4A37CA97-5B9B-4FE7-9E19-B4BED969D72E}" id="{2923D56A-E2F2-4965-A997-00CF1EEB3AAC}">
    <text>Valor 2025</text>
  </threadedComment>
  <threadedComment ref="K87" dT="2025-04-25T15:08:26.04" personId="{4A37CA97-5B9B-4FE7-9E19-B4BED969D72E}" id="{048F4AA0-F124-4EE1-9FFE-575FCCFA53B5}">
    <text>Reajuste 2025.</text>
  </threadedComment>
  <threadedComment ref="K88" dT="2025-04-25T15:08:26.04" personId="{4A37CA97-5B9B-4FE7-9E19-B4BED969D72E}" id="{6937FD8E-FC81-4BA5-86A1-973931D6D166}">
    <text>Reajuste 2025.</text>
  </threadedComment>
  <threadedComment ref="AC89" dT="2025-05-13T15:44:11.33" personId="{4A37CA97-5B9B-4FE7-9E19-B4BED969D72E}" id="{0E56C8D9-03B3-4E78-9985-3ADC61F85DEF}">
    <text>Retroativo de janeiro e fevereiro.</text>
  </threadedComment>
  <threadedComment ref="K90" dT="2025-04-25T15:08:26.04" personId="{4A37CA97-5B9B-4FE7-9E19-B4BED969D72E}" id="{811D2037-7EBE-42DB-ABDE-792D53B01684}">
    <text>Reajuste 2025.</text>
  </threadedComment>
  <threadedComment ref="K91" dT="2025-04-25T15:08:26.04" personId="{4A37CA97-5B9B-4FE7-9E19-B4BED969D72E}" id="{C75F310F-3E60-4C2A-BE70-BF94717F7562}">
    <text>Reajuste 2025.</text>
  </threadedComment>
  <threadedComment ref="K92" dT="2025-05-19T13:13:20.45" personId="{4A37CA97-5B9B-4FE7-9E19-B4BED969D72E}" id="{7D37797D-562E-468A-9B81-B6279DA986D0}">
    <text>Reajuste 2025.</text>
  </threadedComment>
  <threadedComment ref="K101" dT="2025-05-19T13:13:20.45" personId="{4A37CA97-5B9B-4FE7-9E19-B4BED969D72E}" id="{2B46D9A4-31E9-4F06-9658-11E8BE269E5A}">
    <text>Reajuste 2025.</text>
  </threadedComment>
  <threadedComment ref="K101" dT="2025-05-19T13:13:28.05" personId="{4A37CA97-5B9B-4FE7-9E19-B4BED969D72E}" id="{6C4409AB-A78D-4C5D-951E-CDA1724D20B9}" parentId="{2B46D9A4-31E9-4F06-9658-11E8BE269E5A}">
    <text>Aguardando validação.</text>
  </threadedComment>
  <threadedComment ref="K102" dT="2025-05-19T13:13:20.45" personId="{4A37CA97-5B9B-4FE7-9E19-B4BED969D72E}" id="{420A19E7-D4EB-42E9-99FC-4DB503F21354}">
    <text>Reajuste 2025.</text>
  </threadedComment>
  <threadedComment ref="K103" dT="2025-06-26T18:51:22.03" personId="{4A37CA97-5B9B-4FE7-9E19-B4BED969D72E}" id="{C11F7D6F-29C5-4346-B463-BF59E17F09A6}">
    <text>Inclusão do supervisor em 01/07.</text>
  </threadedComment>
  <threadedComment ref="K104" dT="2025-07-25T18:02:05.95" personId="{4A37CA97-5B9B-4FE7-9E19-B4BED969D72E}" id="{4CC96214-BCA4-4B11-99D1-1B13249CC93F}">
    <text>Reajuste 2025</text>
  </threadedComment>
  <threadedComment ref="K104" dT="2025-07-25T18:02:23.16" personId="{4A37CA97-5B9B-4FE7-9E19-B4BED969D72E}" id="{3286B5BF-A176-4BBE-A657-99E6E194F5AD}" parentId="{4CC96214-BCA4-4B11-99D1-1B13249CC93F}">
    <text>Aguardando de acordo</text>
  </threadedComment>
  <threadedComment ref="R104" dT="2025-08-01T15:30:49.99" personId="{4A37CA97-5B9B-4FE7-9E19-B4BED969D72E}" id="{AD4C30F9-D64B-4A55-B9DC-1D91F3A542B5}">
    <text>Desconto referente á revitalização do armário (2/4)</text>
  </threadedComment>
  <threadedComment ref="K110" dT="2025-07-02T14:58:40.90" personId="{4A37CA97-5B9B-4FE7-9E19-B4BED969D72E}" id="{44881FC0-D6D8-4C99-9933-EFDA384CBC21}">
    <text>Reajuste 2025</text>
  </threadedComment>
  <threadedComment ref="K111" dT="2025-07-25T18:02:05.95" personId="{4A37CA97-5B9B-4FE7-9E19-B4BED969D72E}" id="{15EB13D7-003C-47B9-B6EE-B70105571FDA}">
    <text>Reajuste 2025</text>
  </threadedComment>
  <threadedComment ref="K111" dT="2025-07-25T18:02:23.16" personId="{4A37CA97-5B9B-4FE7-9E19-B4BED969D72E}" id="{B2F01152-FDDA-438F-871B-953D39023D38}" parentId="{15EB13D7-003C-47B9-B6EE-B70105571FDA}">
    <text>Aguardando de acordo</text>
  </threadedComment>
  <threadedComment ref="R111" dT="2025-08-01T15:30:49.99" personId="{4A37CA97-5B9B-4FE7-9E19-B4BED969D72E}" id="{C1BA5127-545D-4301-AFC8-1FE433FC2210}">
    <text>Desconto referente á revitalização do armário (3/4)</text>
  </threadedComment>
  <threadedComment ref="AD118" dT="2025-01-08T18:19:22.06" personId="{4A37CA97-5B9B-4FE7-9E19-B4BED969D72E}" id="{57CEF1B9-2EBB-4C38-87B3-63A8F728F509}">
    <text>Evento 17, 18 e 19/01.</text>
  </threadedComment>
  <threadedComment ref="AD121" dT="2025-01-21T21:29:27.24" personId="{4A37CA97-5B9B-4FE7-9E19-B4BED969D72E}" id="{5AC3E4D3-4074-41AC-8C0F-1CC9CE3E395F}">
    <text>25 e 26 de jan.</text>
  </threadedComment>
  <threadedComment ref="AD122" dT="2025-04-16T16:49:55.22" personId="{4A37CA97-5B9B-4FE7-9E19-B4BED969D72E}" id="{D177FF04-2109-42E7-BC2A-54ADC469FF8E}">
    <text>Páscoa.</text>
  </threadedComment>
  <threadedComment ref="AD124" dT="2025-02-18T20:11:19.95" personId="{4A37CA97-5B9B-4FE7-9E19-B4BED969D72E}" id="{A3A1ABBA-1BDF-4764-A091-332949301DE5}">
    <text>01 e 02 de março - Bailinho de Carnaval.</text>
  </threadedComment>
  <threadedComment ref="K125" dT="2025-07-02T14:58:40.90" personId="{4A37CA97-5B9B-4FE7-9E19-B4BED969D72E}" id="{9B335B8C-E4B0-4028-9139-AFBA82B1FDB4}">
    <text>Reajuste 2025</text>
  </threadedComment>
  <threadedComment ref="T125" dT="2025-06-11T17:52:09.99" personId="{4A37CA97-5B9B-4FE7-9E19-B4BED969D72E}" id="{4EEB3A30-0510-4C42-B508-4E9B98492A04}">
    <text>Diferença da emissão de maio</text>
  </threadedComment>
  <threadedComment ref="K126" dT="2025-03-06T15:46:15.90" personId="{4A37CA97-5B9B-4FE7-9E19-B4BED969D72E}" id="{A43B43AC-014B-4979-ADC7-16CDDC9246CE}">
    <text>Reajuste 2025</text>
  </threadedComment>
  <threadedComment ref="K127" dT="2025-07-25T18:02:05.95" personId="{4A37CA97-5B9B-4FE7-9E19-B4BED969D72E}" id="{AADEE789-1D7D-4148-9D2B-25247A439772}">
    <text>Reajuste 2025</text>
  </threadedComment>
  <threadedComment ref="K127" dT="2025-07-25T18:02:23.16" personId="{4A37CA97-5B9B-4FE7-9E19-B4BED969D72E}" id="{468BBB37-9BE2-4F3D-8BCE-D3CE27389A5A}" parentId="{AADEE789-1D7D-4148-9D2B-25247A439772}">
    <text>Aguardando de acordo</text>
  </threadedComment>
  <threadedComment ref="R127" dT="2025-08-01T15:30:49.99" personId="{4A37CA97-5B9B-4FE7-9E19-B4BED969D72E}" id="{539C0693-BABC-4E79-B2DF-FC3A80714747}">
    <text>Desconto referente á revitalização do armário (4/4)</text>
  </threadedComment>
  <threadedComment ref="K128" dT="2025-03-06T15:46:15.90" personId="{4A37CA97-5B9B-4FE7-9E19-B4BED969D72E}" id="{78BD42DB-3B93-4B0E-9DC7-C6D883BF9D5E}">
    <text>Reajuste 2025</text>
  </threadedComment>
  <threadedComment ref="AD128" dT="2025-01-08T18:19:26.53" personId="{4A37CA97-5B9B-4FE7-9E19-B4BED969D72E}" id="{95C578BB-36F3-4C6F-995D-CA00AF8C72F6}">
    <text xml:space="preserve">Evento 17, 18 e 19/01.
</text>
  </threadedComment>
  <threadedComment ref="K129" dT="2025-03-06T15:46:15.90" personId="{4A37CA97-5B9B-4FE7-9E19-B4BED969D72E}" id="{EAACA40E-3C54-4846-B58C-DF99CB1FAD58}">
    <text>Reajuste 2025</text>
  </threadedComment>
  <threadedComment ref="K130" dT="2025-03-06T15:46:15.90" personId="{4A37CA97-5B9B-4FE7-9E19-B4BED969D72E}" id="{C3129F6A-0921-4D1D-ACC5-1AF2659A3681}">
    <text>Reajuste 2025</text>
  </threadedComment>
  <threadedComment ref="K131" dT="2025-03-06T15:46:15.90" personId="{4A37CA97-5B9B-4FE7-9E19-B4BED969D72E}" id="{6DCA2048-2BA6-40DB-AC45-3A55D1E0A8B1}">
    <text>Reajuste 2025</text>
  </threadedComment>
  <threadedComment ref="K132" dT="2025-03-06T15:46:15.90" personId="{4A37CA97-5B9B-4FE7-9E19-B4BED969D72E}" id="{A5A6CECA-22D7-42FF-A1C7-3B6627D9DF01}">
    <text>Reajuste 2025</text>
  </threadedComment>
  <threadedComment ref="K133" dT="2025-05-19T13:13:20.45" personId="{4A37CA97-5B9B-4FE7-9E19-B4BED969D72E}" id="{AC300FE2-F73B-42C2-AE68-ACD544502B97}">
    <text>Reajuste 2025.</text>
  </threadedComment>
  <threadedComment ref="K134" dT="2025-06-26T18:51:22.03" personId="{4A37CA97-5B9B-4FE7-9E19-B4BED969D72E}" id="{BB22F4BD-43E1-4DE4-B2ED-B91D96E16426}">
    <text>Inclusão do supervisor em 01/07.</text>
  </threadedComment>
  <threadedComment ref="K135" dT="2024-12-06T15:32:34.42" personId="{4A37CA97-5B9B-4FE7-9E19-B4BED969D72E}" id="{0DDC889C-920E-46F5-BD1D-818674EA089A}">
    <text>Inclusão de copeira em jan/25</text>
  </threadedComment>
  <threadedComment ref="K135" dT="2024-12-06T15:34:40.88" personId="{4A37CA97-5B9B-4FE7-9E19-B4BED969D72E}" id="{2DA3A55B-1898-4317-97AE-0851CC11549E}" parentId="{0DDC889C-920E-46F5-BD1D-818674EA089A}">
    <text xml:space="preserve">R$ 257.308,28
</text>
  </threadedComment>
  <threadedComment ref="AD135" dT="2025-05-12T12:06:09.13" personId="{4A37CA97-5B9B-4FE7-9E19-B4BED969D72E}" id="{5A1BDF35-D27D-417F-8045-0DB38006885B}">
    <text>Extra dia das mães.</text>
  </threadedComment>
  <threadedComment ref="K137" dT="2024-12-06T15:32:34.42" personId="{4A37CA97-5B9B-4FE7-9E19-B4BED969D72E}" id="{132EC7C6-A7AA-4E0E-8066-4817984AC770}">
    <text>Inclusão de copeira em jan/25</text>
  </threadedComment>
  <threadedComment ref="K137" dT="2024-12-06T15:34:40.88" personId="{4A37CA97-5B9B-4FE7-9E19-B4BED969D72E}" id="{1DA1E342-5380-437E-8B6B-5A3D0B86107E}" parentId="{132EC7C6-A7AA-4E0E-8066-4817984AC770}">
    <text xml:space="preserve">R$ 257.308,28
</text>
  </threadedComment>
  <threadedComment ref="K138" dT="2024-12-06T15:32:34.42" personId="{4A37CA97-5B9B-4FE7-9E19-B4BED969D72E}" id="{E03334B6-CCEA-41AB-94BA-EB9CCC638F4F}">
    <text>Inclusão de copeira em jan/25</text>
  </threadedComment>
  <threadedComment ref="K138" dT="2024-12-06T15:34:40.88" personId="{4A37CA97-5B9B-4FE7-9E19-B4BED969D72E}" id="{5A3C9E12-8309-4E53-90D1-F1DAF82083A2}" parentId="{E03334B6-CCEA-41AB-94BA-EB9CCC638F4F}">
    <text xml:space="preserve">R$ 257.308,28
</text>
  </threadedComment>
  <threadedComment ref="K139" dT="2024-12-06T15:32:34.42" personId="{4A37CA97-5B9B-4FE7-9E19-B4BED969D72E}" id="{52AA1743-7298-4F58-86E4-4125E9825CA4}">
    <text>Inclusão de copeira em jan/25</text>
  </threadedComment>
  <threadedComment ref="K139" dT="2024-12-06T15:34:40.88" personId="{4A37CA97-5B9B-4FE7-9E19-B4BED969D72E}" id="{33A09E73-2281-40E1-BBB8-77D6E8B560DD}" parentId="{52AA1743-7298-4F58-86E4-4125E9825CA4}">
    <text xml:space="preserve">R$ 257.308,28
</text>
  </threadedComment>
  <threadedComment ref="K140" dT="2025-05-19T13:13:20.45" personId="{4A37CA97-5B9B-4FE7-9E19-B4BED969D72E}" id="{19297724-518E-4A41-9CBE-6A0EA415A3DD}">
    <text>Reajuste 2025.</text>
  </threadedComment>
  <threadedComment ref="K141" dT="2025-05-19T13:13:20.45" personId="{4A37CA97-5B9B-4FE7-9E19-B4BED969D72E}" id="{2D598379-2B69-4F1C-9C9E-A8060FE1F126}">
    <text>Reajuste 2025.</text>
  </threadedComment>
  <threadedComment ref="K141" dT="2025-05-19T13:13:28.05" personId="{4A37CA97-5B9B-4FE7-9E19-B4BED969D72E}" id="{CF09DED1-DE12-4CC5-93AF-36D9F4628460}" parentId="{2D598379-2B69-4F1C-9C9E-A8060FE1F126}">
    <text>Aguardando validação.</text>
  </threadedComment>
  <threadedComment ref="R142" dT="2025-08-01T15:30:49.99" personId="{4A37CA97-5B9B-4FE7-9E19-B4BED969D72E}" id="{60C15F4E-97B6-462F-83F5-8F71C4C956A9}">
    <text>Desconto referente á revitalização do armário (¼)</text>
  </threadedComment>
  <threadedComment ref="K143" dT="2025-06-26T18:51:22.03" personId="{4A37CA97-5B9B-4FE7-9E19-B4BED969D72E}" id="{501FF5D4-086A-44C7-A487-1E2B465BC5AC}">
    <text>Inclusão do supervisor em 01/07.</text>
  </threadedComment>
  <threadedComment ref="K144" dT="2025-06-26T18:51:22.03" personId="{4A37CA97-5B9B-4FE7-9E19-B4BED969D72E}" id="{02D75CF5-A5BA-4D8B-8368-5920F571B76B}">
    <text>Inclusão do supervisor em 01/07.</text>
  </threadedComment>
  <threadedComment ref="K145" dT="2025-05-19T13:13:20.45" personId="{4A37CA97-5B9B-4FE7-9E19-B4BED969D72E}" id="{8C646813-4917-4ECE-9D5B-C73757C94237}">
    <text>Reajuste 2025.</text>
  </threadedComment>
  <threadedComment ref="K146" dT="2025-05-19T13:13:20.45" personId="{4A37CA97-5B9B-4FE7-9E19-B4BED969D72E}" id="{E4505859-FE27-4175-AC57-C4B1517D6FC8}">
    <text>Reajuste 2025.</text>
  </threadedComment>
  <threadedComment ref="K147" dT="2025-05-19T13:13:20.45" personId="{4A37CA97-5B9B-4FE7-9E19-B4BED969D72E}" id="{530F4159-DDF7-4A6F-88E5-84BC718524CA}">
    <text>Reajuste 2025.</text>
  </threadedComment>
  <threadedComment ref="K148" dT="2025-07-02T14:58:40.90" personId="{4A37CA97-5B9B-4FE7-9E19-B4BED969D72E}" id="{D701CD2C-24CC-49A1-AD55-D52190644000}">
    <text>Reajuste 2025</text>
  </threadedComment>
  <threadedComment ref="K149" dT="2025-07-02T14:58:40.90" personId="{4A37CA97-5B9B-4FE7-9E19-B4BED969D72E}" id="{F44C070C-521F-4280-B8A6-4ECAFE805341}">
    <text>Reajuste 2025</text>
  </threadedComment>
  <threadedComment ref="K150" dT="2025-07-02T14:58:40.90" personId="{4A37CA97-5B9B-4FE7-9E19-B4BED969D72E}" id="{0738EB8D-84D1-4128-A6C2-B6F9BBFE0A58}">
    <text>Reajuste 2025</text>
  </threadedComment>
  <threadedComment ref="K151" dT="2025-05-19T13:13:20.45" personId="{4A37CA97-5B9B-4FE7-9E19-B4BED969D72E}" id="{6DA19D98-FA48-493E-A13B-6C858CF6FE00}">
    <text>Reajuste 2025.</text>
  </threadedComment>
  <threadedComment ref="K152" dT="2025-05-19T13:13:20.45" personId="{4A37CA97-5B9B-4FE7-9E19-B4BED969D72E}" id="{F004AFB5-CDD0-4573-908A-C23A150134E0}">
    <text>Reajuste 2025.</text>
  </threadedComment>
  <threadedComment ref="K153" dT="2025-05-19T13:13:20.45" personId="{4A37CA97-5B9B-4FE7-9E19-B4BED969D72E}" id="{290143AA-6529-4437-8512-4E045B5F354E}">
    <text>Reajuste 2025.</text>
  </threadedComment>
  <threadedComment ref="K166" dT="2024-09-13T19:31:00.71" personId="{4A37CA97-5B9B-4FE7-9E19-B4BED969D72E}" id="{473A9B31-9535-4CBB-9355-4B8CE5F87F7E}">
    <text>Reajuste 2024 (com folguista)</text>
  </threadedComment>
  <threadedComment ref="K166" dT="2024-09-24T21:33:53.50" personId="{4A37CA97-5B9B-4FE7-9E19-B4BED969D72E}" id="{F018AEE2-4A90-471A-9C5C-D03BFBFE14A4}" parentId="{473A9B31-9535-4CBB-9355-4B8CE5F87F7E}">
    <text>Com taxa de 1,5% para prorrogação do pagamento</text>
  </threadedComment>
  <threadedComment ref="K173" dT="2024-09-13T19:31:00.71" personId="{4A37CA97-5B9B-4FE7-9E19-B4BED969D72E}" id="{278BEAD0-645E-4BE1-BE8F-A406CB2B8A1C}">
    <text>Reajuste 2024 (com folguista)</text>
  </threadedComment>
  <threadedComment ref="K173" dT="2024-09-24T21:33:53.50" personId="{4A37CA97-5B9B-4FE7-9E19-B4BED969D72E}" id="{1EC86FAB-989D-4151-8236-45DC2CEF39CC}" parentId="{278BEAD0-645E-4BE1-BE8F-A406CB2B8A1C}">
    <text>Com taxa de 1,5% para prorrogação do pagamento</text>
  </threadedComment>
  <threadedComment ref="K174" dT="2025-04-04T20:19:26.09" personId="{4A37CA97-5B9B-4FE7-9E19-B4BED969D72E}" id="{255A2DD7-BCAD-4F85-93EE-936818EB0CB9}">
    <text>Floreada iniciou em 07/03.</text>
  </threadedComment>
  <threadedComment ref="K175" dT="2025-07-08T18:38:33.87" personId="{4A37CA97-5B9B-4FE7-9E19-B4BED969D72E}" id="{1A060DAB-32B3-4173-918A-62F36EBD7F5D}">
    <text>Reajuste 2025</text>
  </threadedComment>
  <threadedComment ref="S175" dT="2025-07-02T13:00:29.97" personId="{4A37CA97-5B9B-4FE7-9E19-B4BED969D72E}" id="{AE0406D1-E18D-4C7E-A10E-7C0A8C2D68A6}">
    <text>1 cesta básica</text>
  </threadedComment>
  <threadedComment ref="AD178" dT="2025-06-02T14:13:48.16" personId="{4A37CA97-5B9B-4FE7-9E19-B4BED969D72E}" id="{A69804EE-5279-468E-9254-4AEEC487D0CD}">
    <text>Extra podador.</text>
  </threadedComment>
  <threadedComment ref="K180" dT="2024-09-13T19:31:00.71" personId="{4A37CA97-5B9B-4FE7-9E19-B4BED969D72E}" id="{CE9303E5-EAEC-46F4-B07F-44F150189937}">
    <text>Reajuste 2024 (com folguista)</text>
  </threadedComment>
  <threadedComment ref="K180" dT="2024-09-24T21:33:53.50" personId="{4A37CA97-5B9B-4FE7-9E19-B4BED969D72E}" id="{ED4B4129-123F-4987-B3DF-E0B7FC1F8114}" parentId="{CE9303E5-EAEC-46F4-B07F-44F150189937}">
    <text>Com taxa de 1,5% para prorrogação do pagamento</text>
  </threadedComment>
  <threadedComment ref="K188" dT="2024-05-27T20:03:09.76" personId="{077BC691-A779-4B97-ADC0-74443AACE796}" id="{7D65F247-F516-4753-B27D-498AAFB35E58}">
    <text>Reajuste 2024</text>
  </threadedComment>
  <threadedComment ref="K188" dT="2025-03-18T11:19:24.01" personId="{4A37CA97-5B9B-4FE7-9E19-B4BED969D72E}" id="{EFCFD757-619C-43C7-8DEB-41529131FFCA}" parentId="{7D65F247-F516-4753-B27D-498AAFB35E58}">
    <text>Reoneração da F. P.</text>
  </threadedComment>
  <threadedComment ref="R188" dT="2025-09-19T20:15:52.22" personId="{DB2BE661-D618-44CE-AE20-17C82EAE22B7}" id="{D4A210C3-6550-43DD-8E17-D65E008139B5}">
    <text xml:space="preserve">Desconto Celulares
</text>
  </threadedComment>
  <threadedComment ref="K189" dT="2024-05-27T20:03:09.76" personId="{077BC691-A779-4B97-ADC0-74443AACE796}" id="{168D3812-1C75-41CC-B2BB-4714FE251485}">
    <text>Reajuste 2024</text>
  </threadedComment>
  <threadedComment ref="K189" dT="2025-03-18T11:19:24.01" personId="{4A37CA97-5B9B-4FE7-9E19-B4BED969D72E}" id="{B18C9251-4630-424D-839B-B364340A0F6B}" parentId="{168D3812-1C75-41CC-B2BB-4714FE251485}">
    <text>Reoneração da F. P.</text>
  </threadedComment>
  <threadedComment ref="R189" dT="2025-09-19T20:15:52.22" personId="{DB2BE661-D618-44CE-AE20-17C82EAE22B7}" id="{CD0FD374-647E-4C5B-A6FF-3738ED56F023}">
    <text xml:space="preserve">Desconto Celulares
</text>
  </threadedComment>
  <threadedComment ref="K191" dT="2025-04-10T18:02:21.11" personId="{4A37CA97-5B9B-4FE7-9E19-B4BED969D72E}" id="{CE5F4814-0278-48A7-A01E-36AAA2602EEA}">
    <text>Reoneração FoPag.</text>
  </threadedComment>
  <threadedComment ref="K202" dT="2024-09-13T19:31:00.71" personId="{4A37CA97-5B9B-4FE7-9E19-B4BED969D72E}" id="{6542BF4D-83B5-4AAF-B76E-CBACCAF76232}">
    <text>Reajuste 2024 (com folguista)</text>
  </threadedComment>
  <threadedComment ref="K202" dT="2024-09-24T21:33:53.50" personId="{4A37CA97-5B9B-4FE7-9E19-B4BED969D72E}" id="{F8AA36EA-06EC-4877-AB88-5F4145DF842B}" parentId="{6542BF4D-83B5-4AAF-B76E-CBACCAF76232}">
    <text>Com taxa de 1,5% para prorrogação do pagamento</text>
  </threadedComment>
  <threadedComment ref="K203" dT="2024-09-13T19:31:00.71" personId="{4A37CA97-5B9B-4FE7-9E19-B4BED969D72E}" id="{9A001101-F4F5-48EA-9978-17F39D0385E1}">
    <text>Reajuste 2024 (com folguista)</text>
  </threadedComment>
  <threadedComment ref="K203" dT="2024-09-24T21:33:53.50" personId="{4A37CA97-5B9B-4FE7-9E19-B4BED969D72E}" id="{32A29389-A10B-47DB-8B38-0458DD8FC65D}" parentId="{9A001101-F4F5-48EA-9978-17F39D0385E1}">
    <text>Com taxa de 1,5% para prorrogação do pagamento</text>
  </threadedComment>
  <threadedComment ref="K204" dT="2024-09-13T19:31:00.71" personId="{4A37CA97-5B9B-4FE7-9E19-B4BED969D72E}" id="{D595DA18-7669-4799-A5E5-B4173BB0DBE4}">
    <text>Reajuste 2024 (com folguista)</text>
  </threadedComment>
  <threadedComment ref="K204" dT="2024-09-24T21:33:53.50" personId="{4A37CA97-5B9B-4FE7-9E19-B4BED969D72E}" id="{92CFDB6A-2600-4AE8-8566-A3C3DFA51F82}" parentId="{D595DA18-7669-4799-A5E5-B4173BB0DBE4}">
    <text>Com taxa de 1,5% para prorrogação do pagamento</text>
  </threadedComment>
  <threadedComment ref="K205" dT="2024-09-13T19:31:00.71" personId="{4A37CA97-5B9B-4FE7-9E19-B4BED969D72E}" id="{9F13A140-F09C-4698-9844-88C12CCFF638}">
    <text>Reajuste 2024 (com folguista)</text>
  </threadedComment>
  <threadedComment ref="K205" dT="2024-09-24T21:33:53.50" personId="{4A37CA97-5B9B-4FE7-9E19-B4BED969D72E}" id="{AF3D3B3D-68BD-4A34-995E-8D32705E8E03}" parentId="{9F13A140-F09C-4698-9844-88C12CCFF638}">
    <text>Com taxa de 1,5% para prorrogação do pagamento</text>
  </threadedComment>
  <threadedComment ref="C206" dT="2025-07-04T14:55:38.42" personId="{4A37CA97-5B9B-4FE7-9E19-B4BED969D72E}" id="{716B5C48-728D-43FC-92B0-06390AEBF9E3}">
    <text>Aguardando preenchimento do SLA</text>
  </threadedComment>
  <threadedComment ref="K206" dT="2024-09-13T19:31:00.71" personId="{4A37CA97-5B9B-4FE7-9E19-B4BED969D72E}" id="{9E8DC63F-DE2E-42B6-A52E-9ED01A44F441}">
    <text>Reajuste 2024 (com folguista)</text>
  </threadedComment>
  <threadedComment ref="K206" dT="2024-09-24T21:33:53.50" personId="{4A37CA97-5B9B-4FE7-9E19-B4BED969D72E}" id="{A40A07AB-BDB6-405D-817E-90FD7A5B0248}" parentId="{9E8DC63F-DE2E-42B6-A52E-9ED01A44F441}">
    <text>Com taxa de 1,5% para prorrogação do pagamento</text>
  </threadedComment>
  <threadedComment ref="K207" dT="2024-09-13T19:31:00.71" personId="{4A37CA97-5B9B-4FE7-9E19-B4BED969D72E}" id="{6F122F45-63D4-4F0F-A924-8BBECFD1D607}">
    <text>Reajuste 2024 (com folguista)</text>
  </threadedComment>
  <threadedComment ref="K207" dT="2024-09-24T21:33:53.50" personId="{4A37CA97-5B9B-4FE7-9E19-B4BED969D72E}" id="{E3283007-BDDE-44B8-91EE-51F579F1DBE1}" parentId="{6F122F45-63D4-4F0F-A924-8BBECFD1D607}">
    <text>Com taxa de 1,5% para prorrogação do pagamento</text>
  </threadedComment>
  <threadedComment ref="K210" dT="2025-04-10T18:02:21.11" personId="{4A37CA97-5B9B-4FE7-9E19-B4BED969D72E}" id="{714C22DB-469E-406E-BC35-CF96D8398C82}">
    <text>Reoneração FoPag.</text>
  </threadedComment>
  <threadedComment ref="K212" dT="2025-04-10T18:02:21.11" personId="{4A37CA97-5B9B-4FE7-9E19-B4BED969D72E}" id="{B3789B43-ED5D-4A52-8355-E81047F2BEB6}">
    <text>Reoneração FoPag.</text>
  </threadedComment>
  <threadedComment ref="K213" dT="2025-08-25T15:54:24.31" personId="{4A37CA97-5B9B-4FE7-9E19-B4BED969D72E}" id="{9182E50E-47EA-4B1D-A80E-24F3BAF4D188}">
    <text>Reajuste 2025</text>
  </threadedComment>
  <threadedComment ref="K214" dT="2025-08-25T15:54:11.84" personId="{4A37CA97-5B9B-4FE7-9E19-B4BED969D72E}" id="{1D4EA8C4-A670-4814-87BA-B08F8FFB1FAD}">
    <text>Reajuste 2025</text>
  </threadedComment>
  <threadedComment ref="AD218" dT="2025-02-18T16:51:00.06" personId="{4A37CA97-5B9B-4FE7-9E19-B4BED969D72E}" id="{EB3D2820-F85E-458A-8ACC-87F949B47BBD}">
    <text>Bailinho de Carnaval 01 e 02/03.</text>
  </threadedComment>
  <threadedComment ref="AD221" dT="2025-03-13T15:26:29.83" personId="{4A37CA97-5B9B-4FE7-9E19-B4BED969D72E}" id="{6DDDB0F9-CB40-4C39-AECE-A8436960F57B}">
    <text>Bailinho de Carnaval</text>
  </threadedComment>
  <threadedComment ref="AC225" dT="2025-07-07T14:45:23.49" personId="{4A37CA97-5B9B-4FE7-9E19-B4BED969D72E}" id="{7B8B72E7-269E-45D9-B5FF-9DA4FDD92CD9}">
    <text>Arraiá</text>
  </threadedComment>
  <threadedComment ref="AC225" dT="2025-07-08T14:04:40.26" personId="{4A37CA97-5B9B-4FE7-9E19-B4BED969D72E}" id="{7C836C8D-3C62-4116-B8E5-C319427206E6}" parentId="{7B8B72E7-269E-45D9-B5FF-9DA4FDD92CD9}">
    <text>+ GastroSamba</text>
  </threadedComment>
  <threadedComment ref="AD225" dT="2025-07-07T14:45:23.49" personId="{4A37CA97-5B9B-4FE7-9E19-B4BED969D72E}" id="{68AFE9A2-22E2-4C55-9B85-70A7EF611BB9}">
    <text>Arraiá</text>
  </threadedComment>
  <threadedComment ref="AD225" dT="2025-07-08T14:04:40.26" personId="{4A37CA97-5B9B-4FE7-9E19-B4BED969D72E}" id="{BBD9DE0B-4697-4C34-9465-6589E60FFF45}" parentId="{68AFE9A2-22E2-4C55-9B85-70A7EF611BB9}">
    <text>+ GastroSamba</text>
  </threadedComment>
  <threadedComment ref="K229" dT="2025-04-11T19:15:06.53" personId="{4A37CA97-5B9B-4FE7-9E19-B4BED969D72E}" id="{8A5D21A8-9A1A-46F4-9AE5-28DAF7110D01}">
    <text>Reajuste 2025.</text>
  </threadedComment>
  <threadedComment ref="AC229" dT="2025-04-10T13:31:25.22" personId="{4A37CA97-5B9B-4FE7-9E19-B4BED969D72E}" id="{488D209E-4FFB-4583-8385-8F31FAF0A742}">
    <text>Jan, fev e mar</text>
  </threadedComment>
  <threadedComment ref="K230" dT="2025-04-11T19:15:06.53" personId="{4A37CA97-5B9B-4FE7-9E19-B4BED969D72E}" id="{3D8277BB-4E04-408F-AA16-104A742031F8}">
    <text>Reajuste 2025.</text>
  </threadedComment>
  <threadedComment ref="K231" dT="2025-04-11T19:15:06.53" personId="{4A37CA97-5B9B-4FE7-9E19-B4BED969D72E}" id="{D1E48661-FCC1-4ADA-A83A-D79B795234B8}">
    <text>Reajuste 2025.</text>
  </threadedComment>
  <threadedComment ref="K232" dT="2025-04-11T19:15:06.53" personId="{4A37CA97-5B9B-4FE7-9E19-B4BED969D72E}" id="{7F50CDB6-87CD-410A-B230-2F14EAEE0C6C}">
    <text>Reajuste 2025.</text>
  </threadedComment>
  <threadedComment ref="K234" dT="2025-05-06T15:02:28.63" personId="{4A37CA97-5B9B-4FE7-9E19-B4BED969D72E}" id="{E05819B0-4A53-4BEC-B800-B8038F2B4B1A}">
    <text>Inclusão de containers</text>
  </threadedComment>
  <threadedComment ref="AC234" dT="2025-05-02T17:18:06.00" personId="{4A37CA97-5B9B-4FE7-9E19-B4BED969D72E}" id="{FF699F49-6E0C-4A78-B8BB-A2DA1FF712E4}">
    <text xml:space="preserve">02, 03 e 04 de maio.
</text>
  </threadedComment>
  <threadedComment ref="AC234" dT="2025-05-12T12:09:24.47" personId="{4A37CA97-5B9B-4FE7-9E19-B4BED969D72E}" id="{285A6935-3153-4131-BD7E-4EDBDD525000}" parentId="{FF699F49-6E0C-4A78-B8BB-A2DA1FF712E4}">
    <text>+ Dia das mães</text>
  </threadedComment>
  <threadedComment ref="AD234" dT="2025-05-02T17:18:06.00" personId="{4A37CA97-5B9B-4FE7-9E19-B4BED969D72E}" id="{9DDF7CD1-3BEA-44B9-9C06-8C767D12D76F}">
    <text xml:space="preserve">02, 03 e 04 de maio.
</text>
  </threadedComment>
  <threadedComment ref="AD234" dT="2025-05-12T12:09:24.47" personId="{4A37CA97-5B9B-4FE7-9E19-B4BED969D72E}" id="{85A0DA29-AADC-4B06-BBBD-66227B8903CC}" parentId="{9DDF7CD1-3BEA-44B9-9C06-8C767D12D76F}">
    <text>+ Dia das mães</text>
  </threadedComment>
  <threadedComment ref="K235" dT="2025-05-06T15:02:28.63" personId="{4A37CA97-5B9B-4FE7-9E19-B4BED969D72E}" id="{4603CD63-3554-47C7-A447-247DFBA1B953}">
    <text>Inclusão de containers</text>
  </threadedComment>
  <threadedComment ref="R235" dT="2025-06-04T13:59:47.38" personId="{4A37CA97-5B9B-4FE7-9E19-B4BED969D72E}" id="{244BBBC6-6674-409C-9381-05A783499B61}">
    <text>A500 3 dias inoperante</text>
  </threadedComment>
  <threadedComment ref="AD235" dT="2025-05-02T17:17:12.64" personId="{4A37CA97-5B9B-4FE7-9E19-B4BED969D72E}" id="{3C861B47-DD14-470E-8A84-C1B72EA8DE28}">
    <text>Tratamento de piso: mão de obra + barracuda</text>
  </threadedComment>
  <threadedComment ref="AD235" dT="2025-05-30T18:04:13.67" personId="{4A37CA97-5B9B-4FE7-9E19-B4BED969D72E}" id="{02174D15-7161-4515-B643-3676FFD92116}" parentId="{3C861B47-DD14-470E-8A84-C1B72EA8DE28}">
    <text>Festa Junina: R$ 2374,46</text>
  </threadedComment>
  <threadedComment ref="K236" dT="2025-08-25T15:54:11.84" personId="{4A37CA97-5B9B-4FE7-9E19-B4BED969D72E}" id="{420825F6-AC75-42DE-BD43-584662F3265E}">
    <text>Reajuste 2025</text>
  </threadedComment>
  <threadedComment ref="K237" dT="2025-05-06T15:02:28.63" personId="{4A37CA97-5B9B-4FE7-9E19-B4BED969D72E}" id="{332EC687-8068-4F94-AD50-4B7835F120BC}">
    <text>Reajuste 2025
+ Inclusão de containers
+ Carrinhos</text>
  </threadedComment>
  <threadedComment ref="S237" dT="2025-07-02T13:00:12.31" personId="{4A37CA97-5B9B-4FE7-9E19-B4BED969D72E}" id="{2CA7EF4A-A7F4-40DF-962D-5F9B771D9A91}">
    <text>9 cestas básicas</text>
  </threadedComment>
  <threadedComment ref="I238" dT="2025-08-13T14:13:28.57" personId="{DB2BE661-D618-44CE-AE20-17C82EAE22B7}" id="{D4C3E6BA-CAB8-4596-A022-48F68E3E20B2}">
    <text>20 Faltas de Julho e 21 Faltas em agosto</text>
  </threadedComment>
  <threadedComment ref="K238" dT="2025-05-06T15:02:28.63" personId="{4A37CA97-5B9B-4FE7-9E19-B4BED969D72E}" id="{A8955343-623B-4B71-98FC-ED38025D3CE0}">
    <text>Reajuste 2025
+ Inclusão de containers
+ Carrinhos</text>
  </threadedComment>
  <threadedComment ref="K238" dT="2025-08-13T15:05:59.66" personId="{DB2BE661-D618-44CE-AE20-17C82EAE22B7}" id="{23767039-F170-4A33-BC58-ACED4A43156E}" parentId="{A8955343-623B-4B71-98FC-ED38025D3CE0}">
    <text>Pro-Rata sem considerar cestas básicas</text>
  </threadedComment>
  <threadedComment ref="M238" dT="2025-08-13T14:15:35.02" personId="{DB2BE661-D618-44CE-AE20-17C82EAE22B7}" id="{FCE603B2-7D17-4214-8843-F12BBA99BB41}">
    <text xml:space="preserve">3281,64 de julho + 3617,14 de agosto
</text>
  </threadedComment>
  <threadedComment ref="K239" dT="2025-06-24T19:57:19.62" personId="{4A37CA97-5B9B-4FE7-9E19-B4BED969D72E}" id="{4AA80FCD-EF0E-40DE-AAB6-DDADA291972A}">
    <text>Serval início em 10/08</text>
  </threadedComment>
  <threadedComment ref="V239" dT="2025-10-08T13:59:30.35" personId="{DB2BE661-D618-44CE-AE20-17C82EAE22B7}" id="{17B55D0B-2B13-426F-8AE5-FDD6116799F1}">
    <text>Primeira NF foi bonificada</text>
  </threadedComment>
  <threadedComment ref="K240" dT="2025-06-24T19:57:19.62" personId="{4A37CA97-5B9B-4FE7-9E19-B4BED969D72E}" id="{75914999-E6DC-4C97-BB5C-CCF0540B21C1}">
    <text>Serval início em 10/08</text>
  </threadedComment>
  <threadedComment ref="T240" dT="2025-10-03T20:37:03.57" personId="{DB2BE661-D618-44CE-AE20-17C82EAE22B7}" id="{361222A8-2273-4C76-BE9E-118439230712}">
    <text xml:space="preserve">Diferença de bonificação
 </text>
  </threadedComment>
  <threadedComment ref="AC240" dT="2025-09-09T19:06:03.85" personId="{4A37CA97-5B9B-4FE7-9E19-B4BED969D72E}" id="{CAC857B0-F160-4CAF-8BD9-5775CBCF15B2}">
    <text>Valor com tx de prorrogação de pgmto:  R$11.689,69</text>
  </threadedComment>
  <threadedComment ref="AD240" dT="2025-09-09T19:05:30.61" personId="{4A37CA97-5B9B-4FE7-9E19-B4BED969D72E}" id="{FE3A19F5-9D4C-4B37-8D82-684237D7B4B7}">
    <text>Valor com tx de prorrogação de pgmto:   R$ 10.755,80.</text>
  </threadedComment>
  <threadedComment ref="K241" dT="2025-06-24T19:57:19.62" personId="{4A37CA97-5B9B-4FE7-9E19-B4BED969D72E}" id="{8EA61D64-8856-4838-A2B1-79560A65671B}">
    <text>Serval início em 10/08</text>
  </threadedComment>
  <threadedComment ref="K242" dT="2025-08-25T15:54:11.84" personId="{4A37CA97-5B9B-4FE7-9E19-B4BED969D72E}" id="{159BAA98-0116-4343-81E2-6B5C25FCCD80}">
    <text>Reajuste 2025</text>
  </threadedComment>
  <threadedComment ref="K243" dT="2025-08-25T15:54:11.84" personId="{4A37CA97-5B9B-4FE7-9E19-B4BED969D72E}" id="{9EFA1A50-4080-461C-A5B6-5FBF0ED89237}">
    <text>Reajuste 2025</text>
  </threadedComment>
  <threadedComment ref="K245" dT="2025-08-25T15:54:24.31" personId="{4A37CA97-5B9B-4FE7-9E19-B4BED969D72E}" id="{19D7E278-D1D0-444A-AD27-4F8290F733CD}">
    <text>Reajuste 2025</text>
  </threadedComment>
  <threadedComment ref="K246" dT="2025-08-25T15:54:24.31" personId="{4A37CA97-5B9B-4FE7-9E19-B4BED969D72E}" id="{47FF93F0-01BB-43D7-9510-8AC022D2DD71}">
    <text>Reajuste 2025</text>
  </threadedComment>
  <threadedComment ref="K247" dT="2025-08-25T15:54:24.31" personId="{4A37CA97-5B9B-4FE7-9E19-B4BED969D72E}" id="{FA737732-7F92-45C6-A01F-BBE05CBFD2CD}">
    <text>Reajuste 2025</text>
  </threadedComment>
  <threadedComment ref="K248" dT="2025-07-28T18:54:41.06" personId="{4A37CA97-5B9B-4FE7-9E19-B4BED969D72E}" id="{E65EFA76-AEAD-416A-AC2F-F6A76F9F103A}">
    <text>Reajuste 2025.</text>
  </threadedComment>
  <threadedComment ref="AC248" dT="2025-08-12T16:12:28.69" personId="{4A37CA97-5B9B-4FE7-9E19-B4BED969D72E}" id="{57957BED-898A-4E44-B594-89237ED55357}">
    <text>Abril a junho</text>
  </threadedComment>
  <threadedComment ref="K249" dT="2025-07-28T18:54:41.06" personId="{4A37CA97-5B9B-4FE7-9E19-B4BED969D72E}" id="{F15CF6A0-CD7D-4224-A3F3-8AEF4228EBB1}">
    <text>Reajuste 2025.</text>
  </threadedComment>
  <threadedComment ref="K250" dT="2025-07-28T18:54:41.06" personId="{4A37CA97-5B9B-4FE7-9E19-B4BED969D72E}" id="{02B0E609-3D63-4885-8C10-873801EAE4F6}">
    <text>Reajuste 2025.</text>
  </threadedComment>
  <threadedComment ref="K251" dT="2025-07-08T18:38:33.87" personId="{4A37CA97-5B9B-4FE7-9E19-B4BED969D72E}" id="{D1A4169F-A32C-4468-BFEF-41E96FFE7800}">
    <text>Reajuste 2025</text>
  </threadedComment>
  <threadedComment ref="K252" dT="2025-07-18T17:30:06.06" personId="{4A37CA97-5B9B-4FE7-9E19-B4BED969D72E}" id="{D08FE9E8-5B2C-45E4-ACB5-C512A6174F3F}">
    <text>Serval início em 10/08</text>
  </threadedComment>
  <threadedComment ref="V252" dT="2025-10-08T14:00:38.73" personId="{DB2BE661-D618-44CE-AE20-17C82EAE22B7}" id="{48EBB66B-3D0B-4BB9-A7E3-9307D89FAE9B}">
    <text xml:space="preserve">Primeira NF bonificada
</text>
  </threadedComment>
  <threadedComment ref="K254" dT="2025-07-18T17:30:06.06" personId="{4A37CA97-5B9B-4FE7-9E19-B4BED969D72E}" id="{3FE7FD65-6D23-4C39-A5A9-A8FA12430D4B}">
    <text>Serval início em 10/08</text>
  </threadedComment>
  <threadedComment ref="T254" dT="2025-10-03T20:37:15.94" personId="{DB2BE661-D618-44CE-AE20-17C82EAE22B7}" id="{1B252938-DFE4-4B45-B143-C9F94EF770E1}">
    <text xml:space="preserve">Diferença de bonificação </text>
  </threadedComment>
  <threadedComment ref="K255" dT="2025-07-18T17:30:06.06" personId="{4A37CA97-5B9B-4FE7-9E19-B4BED969D72E}" id="{E7C0648C-683A-449D-8BB1-D84843B9F1FF}">
    <text>Serval início em 10/08</text>
  </threadedComment>
  <threadedComment ref="K256" dT="2025-04-11T19:15:06.53" personId="{4A37CA97-5B9B-4FE7-9E19-B4BED969D72E}" id="{7BE0142D-0529-4B89-AB97-81A53751E246}">
    <text>Reajuste 2025.</text>
  </threadedComment>
  <threadedComment ref="K257" dT="2025-04-11T19:15:06.53" personId="{4A37CA97-5B9B-4FE7-9E19-B4BED969D72E}" id="{FBA9D4AC-15D2-4B8E-A155-38E2C2D29978}">
    <text>Reajuste 2025.</text>
  </threadedComment>
  <threadedComment ref="K269" dT="2025-06-30T14:50:41.11" personId="{4A37CA97-5B9B-4FE7-9E19-B4BED969D72E}" id="{C3FE9878-D861-4AE9-8944-EF1A238B8995}">
    <text>Reajuste 2025</text>
  </threadedComment>
  <threadedComment ref="K269" dT="2025-07-16T17:38:13.56" personId="{4A37CA97-5B9B-4FE7-9E19-B4BED969D72E}" id="{5B8F2998-4F8D-40F6-820A-63F249747F4F}" parentId="{C3FE9878-D861-4AE9-8944-EF1A238B8995}">
    <text>+ Alteração na escala do pintor.</text>
  </threadedComment>
  <threadedComment ref="R269" dT="2025-09-19T20:15:52.22" personId="{DB2BE661-D618-44CE-AE20-17C82EAE22B7}" id="{60E16B48-7F11-494D-BB31-91550AB9A347}">
    <text xml:space="preserve">Desconto Celulares
</text>
  </threadedComment>
  <threadedComment ref="C270" dT="2025-07-25T14:18:08.41" personId="{4A37CA97-5B9B-4FE7-9E19-B4BED969D72E}" id="{07D13D05-1C3C-4584-A3F9-98C869AB9484}">
    <text>Shopping enviou a medição mas estamos aguardando confirmações de faltas e atrasos.</text>
  </threadedComment>
  <threadedComment ref="K270" dT="2025-06-30T14:50:41.11" personId="{4A37CA97-5B9B-4FE7-9E19-B4BED969D72E}" id="{E75430CF-86C8-4A99-B4D0-8FA89FDC57A8}">
    <text>Reajuste 2025</text>
  </threadedComment>
  <threadedComment ref="K270" dT="2025-07-16T17:38:13.56" personId="{4A37CA97-5B9B-4FE7-9E19-B4BED969D72E}" id="{818D9476-1932-4AA5-ADC1-94363EAE3707}" parentId="{E75430CF-86C8-4A99-B4D0-8FA89FDC57A8}">
    <text>+ Alteração na escala do pintor.</text>
  </threadedComment>
  <threadedComment ref="R270" dT="2025-09-19T20:15:52.22" personId="{DB2BE661-D618-44CE-AE20-17C82EAE22B7}" id="{EA21EF15-06FE-4599-BBB6-917B686C5B4E}">
    <text xml:space="preserve">Desconto Celulares
</text>
  </threadedComment>
  <threadedComment ref="K279" dT="2025-03-31T20:09:24.78" personId="{4A37CA97-5B9B-4FE7-9E19-B4BED969D72E}" id="{6787636D-422E-4E29-952A-D8D20CE591A1}">
    <text>Reoneração da F. P.</text>
  </threadedComment>
  <threadedComment ref="K280" dT="2025-03-31T20:09:24.78" personId="{4A37CA97-5B9B-4FE7-9E19-B4BED969D72E}" id="{48E42D67-F31E-4721-8B40-044A96E72A9C}">
    <text>Reoneração da F. P.</text>
  </threadedComment>
  <threadedComment ref="K281" dT="2025-03-31T20:09:24.78" personId="{4A37CA97-5B9B-4FE7-9E19-B4BED969D72E}" id="{C3C745C2-C948-4017-93AA-AB52DF8F2A48}">
    <text>Reoneração da F. P.</text>
  </threadedComment>
  <threadedComment ref="K282" dT="2025-03-31T20:09:24.78" personId="{4A37CA97-5B9B-4FE7-9E19-B4BED969D72E}" id="{2FD25F57-4342-494D-8862-871352C06ABE}">
    <text>Reoneração da F. P.</text>
  </threadedComment>
  <threadedComment ref="K282" dT="2025-07-25T13:47:21.78" personId="{4A37CA97-5B9B-4FE7-9E19-B4BED969D72E}" id="{BD0EE9F0-5B15-4EF5-8C18-2AFF8D16C0DC}" parentId="{2FD25F57-4342-494D-8862-871352C06ABE}">
    <text>+ Reajuste 2025</text>
  </threadedComment>
  <threadedComment ref="K283" dT="2025-03-31T20:09:24.78" personId="{4A37CA97-5B9B-4FE7-9E19-B4BED969D72E}" id="{8F59E296-4FBC-49CC-B21E-8BF484E45BBD}">
    <text>Reoneração da F. P.</text>
  </threadedComment>
  <threadedComment ref="K283" dT="2025-07-25T13:47:21.78" personId="{4A37CA97-5B9B-4FE7-9E19-B4BED969D72E}" id="{C4C5D799-FC27-4367-8ADE-AD9474F09B18}" parentId="{8F59E296-4FBC-49CC-B21E-8BF484E45BBD}">
    <text>+ Reajuste 2025</text>
  </threadedComment>
  <threadedComment ref="K284" dT="2025-03-31T20:09:24.78" personId="{4A37CA97-5B9B-4FE7-9E19-B4BED969D72E}" id="{AB5C152B-CBAE-4418-85C5-C2F0F631F854}">
    <text>Reoneração da F. P.</text>
  </threadedComment>
  <threadedComment ref="K284" dT="2025-07-25T13:47:21.78" personId="{4A37CA97-5B9B-4FE7-9E19-B4BED969D72E}" id="{EA6AF90E-CEC2-4806-B174-71A2C66E0557}" parentId="{AB5C152B-CBAE-4418-85C5-C2F0F631F854}">
    <text>+ Reajuste 2025</text>
  </threadedComment>
  <threadedComment ref="K285" dT="2025-02-24T16:12:16.64" personId="{4A37CA97-5B9B-4FE7-9E19-B4BED969D72E}" id="{63A8725E-4A6E-4A4E-9818-029643B1453E}">
    <text>Reajuste 2025: R$ 75.172,25.</text>
  </threadedComment>
  <threadedComment ref="K285" dT="2025-09-26T17:23:08.34" personId="{DB2BE661-D618-44CE-AE20-17C82EAE22B7}" id="{7071B83D-A907-4DBF-9C52-D0D0840F70C6}" parentId="{63A8725E-4A6E-4A4E-9818-029643B1453E}">
    <text xml:space="preserve">Valor duplicado para setembro para envio automatizado
</text>
  </threadedComment>
  <threadedComment ref="K286" dT="2025-02-14T20:03:25.27" personId="{4A37CA97-5B9B-4FE7-9E19-B4BED969D72E}" id="{97A8F0D9-53A8-4182-8505-E1CED41C5DAF}">
    <text>Reajuste 2025</text>
  </threadedComment>
  <threadedComment ref="K287" dT="2025-02-14T20:03:25.27" personId="{4A37CA97-5B9B-4FE7-9E19-B4BED969D72E}" id="{EB1976BB-BEF2-4DA4-A643-53E44739E7A3}">
    <text>Reajuste 2025</text>
  </threadedComment>
  <threadedComment ref="B288" dT="2025-05-15T18:37:04.87" personId="{4A37CA97-5B9B-4FE7-9E19-B4BED969D72E}" id="{EBE66F10-416D-43E0-8C73-8CFDC4B8DC95}">
    <text xml:space="preserve">Medição de março enviada em 15/05. </text>
  </threadedComment>
  <threadedComment ref="K288" dT="2025-02-14T20:03:25.27" personId="{4A37CA97-5B9B-4FE7-9E19-B4BED969D72E}" id="{14326B9D-31F9-4745-AEC5-E8D3F00A2E18}">
    <text>Reajuste 2025</text>
  </threadedComment>
  <threadedComment ref="K289" dT="2025-02-14T20:03:15.47" personId="{4A37CA97-5B9B-4FE7-9E19-B4BED969D72E}" id="{211D84C8-5603-4ACA-A351-9713EDFF10F8}">
    <text>Reajuste 2025</text>
  </threadedComment>
  <threadedComment ref="K290" dT="2025-02-14T20:03:15.47" personId="{4A37CA97-5B9B-4FE7-9E19-B4BED969D72E}" id="{C863AC2B-4EF3-4AF5-A386-677F7EB10761}">
    <text>Reajuste 2025</text>
  </threadedComment>
  <threadedComment ref="B291" dT="2025-05-15T18:37:37.94" personId="{4A37CA97-5B9B-4FE7-9E19-B4BED969D72E}" id="{4F6579CA-F997-44E1-A895-D0480D7CE090}">
    <text xml:space="preserve">Medição de março enviada em 15/05. </text>
  </threadedComment>
  <threadedComment ref="K291" dT="2025-02-14T20:03:15.47" personId="{4A37CA97-5B9B-4FE7-9E19-B4BED969D72E}" id="{5E3098B9-6DF3-4E3E-ACFB-9CFABC16516B}">
    <text>Reajuste 2025</text>
  </threadedComment>
  <threadedComment ref="Q291" dT="2025-09-19T19:09:43.08" personId="{DB2BE661-D618-44CE-AE20-17C82EAE22B7}" id="{2BB2B2C3-ADAE-4357-AFEC-948BD3D2F4B4}">
    <text xml:space="preserve">SLA de janeiro e fevereiro </text>
  </threadedComment>
  <threadedComment ref="K292" dT="2025-02-14T20:03:15.47" personId="{4A37CA97-5B9B-4FE7-9E19-B4BED969D72E}" id="{D96005D3-A9C6-4D9F-A8C7-D4C7083C77D8}">
    <text>Reajuste 2025</text>
  </threadedComment>
  <threadedComment ref="K293" dT="2025-02-14T20:03:15.47" personId="{4A37CA97-5B9B-4FE7-9E19-B4BED969D72E}" id="{1074D987-37BE-4366-8B0E-1D0E3496B6FC}">
    <text>Reajuste 2025</text>
  </threadedComment>
  <threadedComment ref="AC293" dT="2025-06-17T11:47:28.30" personId="{4A37CA97-5B9B-4FE7-9E19-B4BED969D72E}" id="{FE009283-8C51-4400-B4A6-0D5DD293B10D}">
    <text>1 porteiro de 02 a 15/05.</text>
  </threadedComment>
  <threadedComment ref="K294" dT="2025-02-24T16:12:16.64" personId="{4A37CA97-5B9B-4FE7-9E19-B4BED969D72E}" id="{C1271826-3C93-4AA5-B03A-CE1CF09F7E79}">
    <text>Reajuste 2025: R$ 75.172,25.</text>
  </threadedComment>
  <threadedComment ref="K294" dT="2025-02-24T16:12:25.08" personId="{4A37CA97-5B9B-4FE7-9E19-B4BED969D72E}" id="{BB48901B-F9DB-4BB1-A3BD-4B959FD05775}" parentId="{C1271826-3C93-4AA5-B03A-CE1CF09F7E79}">
    <text>Aguardando de acordo</text>
  </threadedComment>
  <threadedComment ref="K295" dT="2025-02-14T20:03:15.47" personId="{4A37CA97-5B9B-4FE7-9E19-B4BED969D72E}" id="{CFE809A9-6DC7-4B66-B781-A5AE8AAB45B3}">
    <text>Reajuste 2025</text>
  </threadedComment>
  <threadedComment ref="K296" dT="2025-02-14T20:03:15.47" personId="{4A37CA97-5B9B-4FE7-9E19-B4BED969D72E}" id="{2B3296FA-FAEB-4C47-8746-1E8478314580}">
    <text>Reajuste 2025</text>
  </threadedComment>
  <threadedComment ref="K297" dT="2025-02-24T16:12:16.64" personId="{4A37CA97-5B9B-4FE7-9E19-B4BED969D72E}" id="{D2D0715E-4CEE-4C32-B8D5-DA0EEBFFB7C2}">
    <text>Reajuste 2025: R$ 75.172,25.</text>
  </threadedComment>
  <threadedComment ref="K298" dT="2025-02-24T16:12:16.64" personId="{4A37CA97-5B9B-4FE7-9E19-B4BED969D72E}" id="{B158EFA9-EE85-4BB8-B4F9-E1C554272225}">
    <text>Reajuste 2025: R$ 75.172,25.</text>
  </threadedComment>
  <threadedComment ref="K299" dT="2025-02-14T20:03:25.27" personId="{4A37CA97-5B9B-4FE7-9E19-B4BED969D72E}" id="{3E471C97-6343-4B89-B8AC-38FA7D49A697}">
    <text>Reajuste 2025</text>
  </threadedComment>
  <threadedComment ref="K300" dT="2025-02-14T20:03:25.27" personId="{4A37CA97-5B9B-4FE7-9E19-B4BED969D72E}" id="{33DC16FE-E92B-4E92-AAEE-9B51DE56FD70}">
    <text>Reajuste 2025</text>
  </threadedComment>
  <threadedComment ref="K301" dT="2025-02-14T20:03:25.27" personId="{4A37CA97-5B9B-4FE7-9E19-B4BED969D72E}" id="{D52B53F2-6710-4C22-BCE8-6BABB9680755}">
    <text>Reajuste 2025</text>
  </threadedComment>
  <threadedComment ref="K302" dT="2025-02-14T20:03:25.27" personId="{4A37CA97-5B9B-4FE7-9E19-B4BED969D72E}" id="{ABBA8D3E-5956-461C-A7DB-3D9C0DBCAE75}">
    <text>Reajuste 2025</text>
  </threadedComment>
  <threadedComment ref="K303" dT="2025-02-24T16:12:16.64" personId="{4A37CA97-5B9B-4FE7-9E19-B4BED969D72E}" id="{EE0FE876-3B48-4423-9F6E-110625D9A890}">
    <text>Reajuste 2025: R$ 75.172,25.</text>
  </threadedComment>
  <threadedComment ref="K303" dT="2025-02-24T16:12:25.08" personId="{4A37CA97-5B9B-4FE7-9E19-B4BED969D72E}" id="{8E56A12D-C3DE-4547-AD39-013F08DED83D}" parentId="{EE0FE876-3B48-4423-9F6E-110625D9A890}">
    <text>Aguardando de acordo</text>
  </threadedComment>
  <threadedComment ref="K304" dT="2025-02-24T16:12:16.64" personId="{4A37CA97-5B9B-4FE7-9E19-B4BED969D72E}" id="{7A29399D-762B-4106-98F1-0008B8413BE4}">
    <text>Reajuste 2025: R$ 75.172,25.</text>
  </threadedComment>
  <threadedComment ref="K304" dT="2025-02-24T16:12:25.08" personId="{4A37CA97-5B9B-4FE7-9E19-B4BED969D72E}" id="{37F31DAA-1C59-474A-9032-81F7B6CEE2A0}" parentId="{7A29399D-762B-4106-98F1-0008B8413BE4}">
    <text>Aguardando de acordo</text>
  </threadedComment>
  <threadedComment ref="K305" dT="2025-02-24T16:12:16.64" personId="{4A37CA97-5B9B-4FE7-9E19-B4BED969D72E}" id="{FFDD00EC-32E9-4E67-9BF2-63AD73FE1228}">
    <text>Reajuste 2025: R$ 75.172,25.</text>
  </threadedComment>
  <threadedComment ref="K305" dT="2025-02-24T16:12:25.08" personId="{4A37CA97-5B9B-4FE7-9E19-B4BED969D72E}" id="{18208E79-C9D8-41B6-8572-8BB03E61B8E8}" parentId="{FFDD00EC-32E9-4E67-9BF2-63AD73FE1228}">
    <text>Aguardando de acordo</text>
  </threadedComment>
  <threadedComment ref="K306" dT="2025-02-24T16:12:16.64" personId="{4A37CA97-5B9B-4FE7-9E19-B4BED969D72E}" id="{4AEF2AD4-63B8-4C6B-B668-1C5C2DFCC1DD}">
    <text>Reajuste 2025: R$ 75.172,25.</text>
  </threadedComment>
  <threadedComment ref="K306" dT="2025-02-24T16:12:25.08" personId="{4A37CA97-5B9B-4FE7-9E19-B4BED969D72E}" id="{41FA6489-72B6-4A38-ABE8-CA26F49B8E62}" parentId="{4AEF2AD4-63B8-4C6B-B668-1C5C2DFCC1DD}">
    <text>Aguardando de acordo</text>
  </threadedComment>
  <threadedComment ref="K307" dT="2025-02-24T16:12:16.64" personId="{4A37CA97-5B9B-4FE7-9E19-B4BED969D72E}" id="{B98CBCA0-3E05-4EF6-9DA9-8E841DE545E2}">
    <text>Reajuste 2025: R$ 75.172,25.</text>
  </threadedComment>
  <threadedComment ref="K308" dT="2025-02-24T16:12:16.64" personId="{4A37CA97-5B9B-4FE7-9E19-B4BED969D72E}" id="{4FF332F0-D84A-4C74-9A30-BC069EF3AAF1}">
    <text>Reajuste 2025: R$ 75.172,25.</text>
  </threadedComment>
  <threadedComment ref="K309" dT="2025-02-24T16:12:57.56" personId="{4A37CA97-5B9B-4FE7-9E19-B4BED969D72E}" id="{7A848FCD-E6CC-4AB2-9084-D0C1DC21FE43}">
    <text>Reajuste 2025: R$ 146.128,90.</text>
  </threadedComment>
  <threadedComment ref="T309" dT="2025-09-10T13:33:39.02" personId="{DB2BE661-D618-44CE-AE20-17C82EAE22B7}" id="{377978E6-62FC-4AC2-A71D-486E7939BD90}">
    <text xml:space="preserve">Dano ocasionado á um lojista(tapete)
1/2
</text>
  </threadedComment>
  <threadedComment ref="K310" dT="2024-05-27T20:03:09.76" personId="{077BC691-A779-4B97-ADC0-74443AACE796}" id="{1AACF935-E0DB-4C56-9FCC-16B4EDF6076C}">
    <text>Reajuste 2024</text>
  </threadedComment>
  <threadedComment ref="K310" dT="2025-03-18T11:19:24.01" personId="{4A37CA97-5B9B-4FE7-9E19-B4BED969D72E}" id="{183B5953-BEC9-4A07-954E-566D27D45FDE}" parentId="{1AACF935-E0DB-4C56-9FCC-16B4EDF6076C}">
    <text>Reoneração da F. P.</text>
  </threadedComment>
  <threadedComment ref="K311" dT="2024-05-27T20:03:09.76" personId="{077BC691-A779-4B97-ADC0-74443AACE796}" id="{60CEE8AE-1740-466E-ACF1-15A7E0BCEC03}">
    <text>Reajuste 2024</text>
  </threadedComment>
  <threadedComment ref="K311" dT="2025-03-18T11:19:24.01" personId="{4A37CA97-5B9B-4FE7-9E19-B4BED969D72E}" id="{27B2A9F6-DB91-489D-AF7C-1EFE1E5E619E}" parentId="{60CEE8AE-1740-466E-ACF1-15A7E0BCEC03}">
    <text>Reoneração da F. P.</text>
  </threadedComment>
  <threadedComment ref="K312" dT="2025-06-30T17:45:00.20" personId="{4A37CA97-5B9B-4FE7-9E19-B4BED969D72E}" id="{4F371407-5581-42AE-93F2-4A745D2D3BE2}">
    <text>Reajuste 2025</text>
  </threadedComment>
  <threadedComment ref="K312" dT="2025-06-30T17:45:11.54" personId="{4A37CA97-5B9B-4FE7-9E19-B4BED969D72E}" id="{4D97F3C0-250E-42EA-B5CD-DB4D0F314915}" parentId="{4F371407-5581-42AE-93F2-4A745D2D3BE2}">
    <text>Redução de 12 para 8 celulares</text>
  </threadedComment>
  <threadedComment ref="K313" dT="2025-02-24T16:12:57.56" personId="{4A37CA97-5B9B-4FE7-9E19-B4BED969D72E}" id="{672C9EAB-C807-4589-8E2C-DE778579F114}">
    <text>Reajuste 2025: R$ 146.128,90.</text>
  </threadedComment>
  <threadedComment ref="T313" dT="2025-09-10T13:33:39.02" personId="{DB2BE661-D618-44CE-AE20-17C82EAE22B7}" id="{46263AE9-19B6-40DF-8A08-69FC9C5B40AC}">
    <text xml:space="preserve">Dano ocasionado á um lojista(tapete)
2/2
</text>
  </threadedComment>
  <threadedComment ref="K314" dT="2025-02-24T16:12:57.56" personId="{4A37CA97-5B9B-4FE7-9E19-B4BED969D72E}" id="{782DB846-1B6D-4C0E-A245-27A457CD5F83}">
    <text>Reajuste 2025: R$ 146.128,90.</text>
  </threadedComment>
  <threadedComment ref="K314" dT="2025-02-24T16:13:06.07" personId="{4A37CA97-5B9B-4FE7-9E19-B4BED969D72E}" id="{1A568EBA-788C-4349-B3D5-6E3E2317A872}" parentId="{782DB846-1B6D-4C0E-A245-27A457CD5F83}">
    <text>Aguardando de acordo</text>
  </threadedComment>
  <threadedComment ref="T314" dT="2025-01-17T19:24:23.43" personId="{4A37CA97-5B9B-4FE7-9E19-B4BED969D72E}" id="{4D22C8A0-9A58-43EF-B829-FB006FD2DDA2}">
    <text>Diferença referente à tx de prorrogação de pgto: R$ 2.762,08</text>
  </threadedComment>
  <threadedComment ref="T314" dT="2025-01-17T19:25:18.52" personId="{4A37CA97-5B9B-4FE7-9E19-B4BED969D72E}" id="{277DEF5C-68F3-4146-B4E7-3486923C8A0B}" parentId="{4D22C8A0-9A58-43EF-B829-FB006FD2DDA2}">
    <text>Confirmar se a NF anterior foi emitida com D+30 ou D+90.</text>
  </threadedComment>
  <threadedComment ref="AB314" dT="2025-02-14T11:24:53.25" personId="{4A37CA97-5B9B-4FE7-9E19-B4BED969D72E}" id="{F524F818-306D-4802-A88B-75FADFA78AF1}">
    <text>Valor para pgmto em 90 dias.</text>
  </threadedComment>
  <threadedComment ref="K315" dT="2025-02-24T16:12:57.56" personId="{4A37CA97-5B9B-4FE7-9E19-B4BED969D72E}" id="{57F711A5-DB8B-492F-99F8-20EAF17861BC}">
    <text>Reajuste 2025: R$ 146.128,90.</text>
  </threadedComment>
  <threadedComment ref="K316" dT="2025-02-24T16:12:57.56" personId="{4A37CA97-5B9B-4FE7-9E19-B4BED969D72E}" id="{AD20DB1B-4B35-4FCA-B2D4-E7064DE472A3}">
    <text>Reajuste 2025: R$ 146.128,90.</text>
  </threadedComment>
  <threadedComment ref="AD316" dT="2025-04-15T16:29:00.83" personId="{4A37CA97-5B9B-4FE7-9E19-B4BED969D72E}" id="{96B97054-2FAE-448A-810F-7549B7546E79}">
    <text>27 dias HE.</text>
  </threadedComment>
  <threadedComment ref="K317" dT="2025-02-24T16:12:57.56" personId="{4A37CA97-5B9B-4FE7-9E19-B4BED969D72E}" id="{2E6BF8EC-B7BB-4BDE-A402-A3C636E109AB}">
    <text>Reajuste 2025: R$ 146.128,90.</text>
  </threadedComment>
  <threadedComment ref="AD317" dT="2025-03-24T13:13:37.88" personId="{4A37CA97-5B9B-4FE7-9E19-B4BED969D72E}" id="{E56B9892-9DB6-42AE-A1B9-68AD8240A6E9}">
    <text>Tratamento de piso 45 dias. 
Inicio em 21/04: R$ 38.872,90.</text>
  </threadedComment>
  <threadedComment ref="AD317" dT="2025-05-14T14:09:06.43" personId="{4A37CA97-5B9B-4FE7-9E19-B4BED969D72E}" id="{5900EF0E-D87B-460B-B113-92C6DEEBFBDD}" parentId="{E56B9892-9DB6-42AE-A1B9-68AD8240A6E9}">
    <text>+ Extras do mês.</text>
  </threadedComment>
  <threadedComment ref="K318" dT="2025-02-24T16:12:57.56" personId="{4A37CA97-5B9B-4FE7-9E19-B4BED969D72E}" id="{4E88C188-FE9F-4D1B-89CE-BE45ED8B81EA}">
    <text>Reajuste 2025: R$ 146.128,90.</text>
  </threadedComment>
  <threadedComment ref="K319" dT="2025-02-24T16:12:57.56" personId="{4A37CA97-5B9B-4FE7-9E19-B4BED969D72E}" id="{20A9171B-0F0E-4EC2-B493-DF313357B24A}">
    <text>Reajuste 2025: R$ 146.128,90.</text>
  </threadedComment>
  <threadedComment ref="AD319" dT="2025-05-14T13:05:32.27" personId="{4A37CA97-5B9B-4FE7-9E19-B4BED969D72E}" id="{D89B0488-F8B2-4727-96C2-BC911F8E6705}">
    <text xml:space="preserve">Tratamento de piso 45 dias. 
Inicio em 21/04: R$ 38.872,90.
</text>
  </threadedComment>
  <threadedComment ref="AD319" dT="2025-07-15T19:32:29.72" personId="{4A37CA97-5B9B-4FE7-9E19-B4BED969D72E}" id="{9D731BF2-E853-4163-82F8-2A1C29A45EAD}" parentId="{D89B0488-F8B2-4727-96C2-BC911F8E6705}">
    <text>R$ 6.794,61 extras de limpeza no mês de junho</text>
  </threadedComment>
  <threadedComment ref="K320" dT="2025-02-24T16:12:57.56" personId="{4A37CA97-5B9B-4FE7-9E19-B4BED969D72E}" id="{F15801BE-8D51-40E2-A219-68B8F9773440}">
    <text>Reajuste 2025: R$ 146.128,90.</text>
  </threadedComment>
  <threadedComment ref="K321" dT="2025-02-24T16:12:57.56" personId="{4A37CA97-5B9B-4FE7-9E19-B4BED969D72E}" id="{80509702-38E1-47B0-9047-434DA9D6AE5C}">
    <text>Reajuste 2025: R$ 146.128,90.</text>
  </threadedComment>
  <threadedComment ref="K322" dT="2025-06-30T17:45:00.20" personId="{4A37CA97-5B9B-4FE7-9E19-B4BED969D72E}" id="{B9BA317D-B74B-43D9-8390-72EDC50E0C8A}">
    <text>Reajuste 2025</text>
  </threadedComment>
  <threadedComment ref="K322" dT="2025-06-30T17:45:11.54" personId="{4A37CA97-5B9B-4FE7-9E19-B4BED969D72E}" id="{A3FA3B03-D2B2-4340-9038-B67591989B26}" parentId="{B9BA317D-B74B-43D9-8390-72EDC50E0C8A}">
    <text>Redução de 12 para 8 celulares</text>
  </threadedComment>
  <threadedComment ref="K323" dT="2025-06-30T17:45:00.20" personId="{4A37CA97-5B9B-4FE7-9E19-B4BED969D72E}" id="{A17A42C1-0729-488E-A912-4D7A02CB5FCF}">
    <text>Reajuste 2025</text>
  </threadedComment>
  <threadedComment ref="K323" dT="2025-06-30T17:45:11.54" personId="{4A37CA97-5B9B-4FE7-9E19-B4BED969D72E}" id="{1CF4731E-1685-4B4B-A75E-61868CD44FB1}" parentId="{A17A42C1-0729-488E-A912-4D7A02CB5FCF}">
    <text>Redução de 12 para 8 celulares</text>
  </threadedComment>
  <threadedComment ref="R323" dT="2025-10-08T14:59:57.68" personId="{DB2BE661-D618-44CE-AE20-17C82EAE22B7}" id="{92A7FDE4-631B-4B10-999A-354074E1390A}">
    <text>Desconto fones = 8*R$34</text>
  </threadedComment>
  <threadedComment ref="K324" dT="2025-06-30T17:45:00.20" personId="{4A37CA97-5B9B-4FE7-9E19-B4BED969D72E}" id="{12DE642B-3447-4F2A-9943-0F2DE69FFA14}">
    <text>Reajuste 2025</text>
  </threadedComment>
  <threadedComment ref="K324" dT="2025-06-30T17:45:11.54" personId="{4A37CA97-5B9B-4FE7-9E19-B4BED969D72E}" id="{8C5C938A-7D11-40BF-A48B-E3EBDFBAA74B}" parentId="{12DE642B-3447-4F2A-9943-0F2DE69FFA14}">
    <text>Redução de 12 para 8 celulares</text>
  </threadedComment>
  <threadedComment ref="K325" dT="2025-03-31T20:09:24.78" personId="{4A37CA97-5B9B-4FE7-9E19-B4BED969D72E}" id="{CA08F936-E69B-426A-B806-D0242243E013}">
    <text>Reoneração da F. P.</text>
  </threadedComment>
  <threadedComment ref="K325" dT="2025-07-25T13:47:21.78" personId="{4A37CA97-5B9B-4FE7-9E19-B4BED969D72E}" id="{6E9A9CDF-C5F9-49A1-A175-019F418E3F77}" parentId="{CA08F936-E69B-426A-B806-D0242243E013}">
    <text>+ Reajuste 2025</text>
  </threadedComment>
  <threadedComment ref="K326" dT="2025-03-31T20:09:24.78" personId="{4A37CA97-5B9B-4FE7-9E19-B4BED969D72E}" id="{D8B5F0E3-934D-46A6-83DA-5FE3D4E1D7BC}">
    <text>Reoneração da F. P.</text>
  </threadedComment>
  <threadedComment ref="K326" dT="2025-07-25T13:47:21.78" personId="{4A37CA97-5B9B-4FE7-9E19-B4BED969D72E}" id="{76D2F988-C7CF-4741-A85E-A08427B93AC1}" parentId="{D8B5F0E3-934D-46A6-83DA-5FE3D4E1D7BC}">
    <text>+ Reajuste 2025</text>
  </threadedComment>
  <threadedComment ref="R326" dT="2025-10-08T15:03:13.64" personId="{DB2BE661-D618-44CE-AE20-17C82EAE22B7}" id="{DAEC1A5E-077A-461A-845C-A244AF6DD1F9}">
    <text>Desconto fones = 2*R$34</text>
  </threadedComment>
  <threadedComment ref="K327" dT="2025-03-31T20:09:24.78" personId="{4A37CA97-5B9B-4FE7-9E19-B4BED969D72E}" id="{95573BD8-0A6F-404B-8CCB-9AB193931986}">
    <text>Reoneração da F. P.</text>
  </threadedComment>
  <threadedComment ref="K327" dT="2025-07-25T13:47:21.78" personId="{4A37CA97-5B9B-4FE7-9E19-B4BED969D72E}" id="{FC2A10C8-41FD-40DC-967B-69BD3A08E75B}" parentId="{95573BD8-0A6F-404B-8CCB-9AB193931986}">
    <text>+ Reajuste 2025</text>
  </threadedComment>
  <threadedComment ref="K328" dT="2025-02-14T20:03:15.47" personId="{4A37CA97-5B9B-4FE7-9E19-B4BED969D72E}" id="{2EC79F64-8522-4849-9654-1D36C3AFB23A}">
    <text>Reajuste 2025</text>
  </threadedComment>
  <threadedComment ref="K329" dT="2025-02-14T20:03:15.47" personId="{4A37CA97-5B9B-4FE7-9E19-B4BED969D72E}" id="{D94E5C37-55B8-4B93-994C-074BF3236CA4}">
    <text>Reajuste 2025</text>
  </threadedComment>
  <threadedComment ref="K330" dT="2025-02-14T20:03:15.47" personId="{4A37CA97-5B9B-4FE7-9E19-B4BED969D72E}" id="{1AE73D0D-47AA-40B2-BEE3-3D041EB33435}">
    <text>Reajuste 2025</text>
  </threadedComment>
  <threadedComment ref="K331" dT="2025-02-14T20:03:25.27" personId="{4A37CA97-5B9B-4FE7-9E19-B4BED969D72E}" id="{6AC35AF0-92A5-4120-868B-6F05655E95F1}">
    <text>Reajuste 2025</text>
  </threadedComment>
  <threadedComment ref="K332" dT="2025-02-14T20:03:25.27" personId="{4A37CA97-5B9B-4FE7-9E19-B4BED969D72E}" id="{0EEFE28C-C011-475F-A916-07FEAFCD6B43}">
    <text>Reajuste 2025</text>
  </threadedComment>
  <threadedComment ref="K333" dT="2025-02-14T20:03:25.27" personId="{4A37CA97-5B9B-4FE7-9E19-B4BED969D72E}" id="{B2FF3FEB-E4ED-4E42-91EC-F5E127603206}">
    <text>Reajuste 2025</text>
  </threadedComment>
  <threadedComment ref="K351" dT="2025-07-25T14:33:05.08" personId="{4A37CA97-5B9B-4FE7-9E19-B4BED969D72E}" id="{37156F84-CF17-4BA9-990C-D737F81E3EBD}">
    <text>Reajuste 2025</text>
  </threadedComment>
  <threadedComment ref="K352" dT="2025-07-25T14:33:05.08" personId="{4A37CA97-5B9B-4FE7-9E19-B4BED969D72E}" id="{A64DC098-4CA0-4156-98B6-B07D7FBE346C}">
    <text>Reajuste 2025</text>
  </threadedComment>
  <threadedComment ref="K354" dT="2025-05-06T20:52:09.93" personId="{4A37CA97-5B9B-4FE7-9E19-B4BED969D72E}" id="{45DB38F4-8A6C-412B-A796-4143529D1C5F}">
    <text>Se tornou orgânico em fev.</text>
  </threadedComment>
  <threadedComment ref="K355" dT="2025-02-27T14:31:14.38" personId="{4A37CA97-5B9B-4FE7-9E19-B4BED969D72E}" id="{2EBE0631-39CD-4646-8F12-E6240CBBD42B}">
    <text>Inicio em 15/03.</text>
  </threadedComment>
  <threadedComment ref="K356" dT="2025-02-27T14:31:14.38" personId="{4A37CA97-5B9B-4FE7-9E19-B4BED969D72E}" id="{4505865E-D497-4083-B880-901442830B37}">
    <text>Inicio em 15/03.</text>
  </threadedComment>
  <threadedComment ref="K357" dT="2025-02-27T14:31:14.38" personId="{4A37CA97-5B9B-4FE7-9E19-B4BED969D72E}" id="{8B8C6126-F7A9-4857-BE79-8618BED1E909}">
    <text>Inicio em 15/03.</text>
  </threadedComment>
  <threadedComment ref="K358" dT="2025-02-27T14:31:14.38" personId="{4A37CA97-5B9B-4FE7-9E19-B4BED969D72E}" id="{5360AC1B-AB38-4FBF-9C9F-A829EB95ABBD}">
    <text>Inicio em 15/03.</text>
  </threadedComment>
  <threadedComment ref="K359" dT="2025-02-27T14:31:14.38" personId="{4A37CA97-5B9B-4FE7-9E19-B4BED969D72E}" id="{5A257BE3-A90C-44FD-AA50-C0A1312F3B04}">
    <text>Inicio em 15/03.</text>
  </threadedComment>
  <threadedComment ref="K363" dT="2025-06-05T14:13:25.78" personId="{4A37CA97-5B9B-4FE7-9E19-B4BED969D72E}" id="{207CD9FF-E287-4D82-B45F-AD482D8F8D80}">
    <text>Reajuste 2025 aprovado em 01/06.</text>
  </threadedComment>
  <threadedComment ref="K364" dT="2025-06-25T20:16:54.89" personId="{4A37CA97-5B9B-4FE7-9E19-B4BED969D72E}" id="{F15E9517-CC29-420C-8AFD-A7BB945B6DD8}">
    <text xml:space="preserve">Reajuste 2025 </text>
  </threadedComment>
  <threadedComment ref="K364" dT="2025-06-25T20:17:11.32" personId="{4A37CA97-5B9B-4FE7-9E19-B4BED969D72E}" id="{651B9799-2229-4F38-B95C-4A17C89AD037}" parentId="{F15E9517-CC29-420C-8AFD-A7BB945B6DD8}">
    <text>Inclusão de AGS Líder em 16/05.
Verificar a dif retroativa a maio.</text>
  </threadedComment>
  <threadedComment ref="K366" dT="2025-06-25T20:16:54.89" personId="{4A37CA97-5B9B-4FE7-9E19-B4BED969D72E}" id="{EAEAADF7-32E4-4052-8AA8-179D8CC10896}">
    <text xml:space="preserve">Reajuste 2025 </text>
  </threadedComment>
  <threadedComment ref="K366" dT="2025-06-25T20:17:11.32" personId="{4A37CA97-5B9B-4FE7-9E19-B4BED969D72E}" id="{37C701F9-F08E-4312-89B9-03F8D5A1FD2B}" parentId="{EAEAADF7-32E4-4052-8AA8-179D8CC10896}">
    <text>Inclusão de AGS Líder em 16/05.
Verificar a dif retroativa a maio.</text>
  </threadedComment>
  <threadedComment ref="K373" dT="2025-06-05T14:13:48.88" personId="{4A37CA97-5B9B-4FE7-9E19-B4BED969D72E}" id="{E4171B57-73FF-4316-92E3-0C8279C238C1}">
    <text>Reajuste 2025 aprovado em 01/06</text>
  </threadedComment>
  <threadedComment ref="K374" dT="2025-06-05T14:13:48.88" personId="{4A37CA97-5B9B-4FE7-9E19-B4BED969D72E}" id="{60D8D3A8-397C-426A-A6D1-CB5A64115F9F}">
    <text>Reajuste 2025 aprovado em 01/06</text>
  </threadedComment>
  <threadedComment ref="K375" dT="2025-07-25T14:33:05.08" personId="{4A37CA97-5B9B-4FE7-9E19-B4BED969D72E}" id="{4061F93E-B59D-4DB5-945D-E75DFE37A6FE}">
    <text>Reajuste 2025</text>
  </threadedComment>
  <threadedComment ref="K376" dT="2025-06-05T14:13:48.88" personId="{4A37CA97-5B9B-4FE7-9E19-B4BED969D72E}" id="{A9C5BDA6-E0C4-49AA-8BA8-DFC02C841AA9}">
    <text>Reajuste 2025 aprovado em 01/06</text>
  </threadedComment>
  <threadedComment ref="AD377" dT="2025-01-28T17:32:00.43" personId="{4A37CA97-5B9B-4FE7-9E19-B4BED969D72E}" id="{00071D11-4BF1-41B9-9530-E9785D54A62A}">
    <text>11, 12, 19, 20, 25 e 26/01 - Supervisor de 10h às 22h.</text>
  </threadedComment>
  <threadedComment ref="K382" dT="2025-07-25T14:33:05.08" personId="{4A37CA97-5B9B-4FE7-9E19-B4BED969D72E}" id="{41B9F637-197C-4154-B8D7-E2FAC0003593}">
    <text>Reajuste 2025</text>
  </threadedComment>
  <threadedComment ref="K383" dT="2025-07-25T14:33:05.08" personId="{4A37CA97-5B9B-4FE7-9E19-B4BED969D72E}" id="{295C3FD1-DBD2-4C0C-9F89-58D8BE2B4907}">
    <text>Reajuste 2025</text>
  </threadedComment>
  <threadedComment ref="K384" dT="2025-07-25T14:33:05.08" personId="{4A37CA97-5B9B-4FE7-9E19-B4BED969D72E}" id="{C0575DB0-5F30-4688-AB4B-053D0949BA74}">
    <text>Reajuste 2025</text>
  </threadedComment>
  <threadedComment ref="Q388" dT="2025-04-28T19:47:51.24" personId="{4A37CA97-5B9B-4FE7-9E19-B4BED969D72E}" id="{B0708EBB-2FFA-4D31-9C0E-799E4D7462ED}">
    <text>Desconto mês de março.</text>
  </threadedComment>
  <threadedComment ref="K389" dT="2025-06-05T16:54:03.89" personId="{4A37CA97-5B9B-4FE7-9E19-B4BED969D72E}" id="{7A51D502-E5E1-47AC-92A4-C2A49019F7C2}">
    <text>Reajuste 2025</text>
  </threadedComment>
  <threadedComment ref="AD389" dT="2025-06-13T13:54:07.74" personId="{4A37CA97-5B9B-4FE7-9E19-B4BED969D72E}" id="{2A5161C8-1654-4B80-9E61-B2744A9D9CEC}">
    <text>Retroativo de março e abril.</text>
  </threadedComment>
  <threadedComment ref="AD389" dT="2025-06-13T13:54:11.60" personId="{4A37CA97-5B9B-4FE7-9E19-B4BED969D72E}" id="{94009E29-5092-430E-824C-A55AFAF1CADC}" parentId="{2A5161C8-1654-4B80-9E61-B2744A9D9CEC}">
    <text>Aguardando informação sobre forma de pgmto,</text>
  </threadedComment>
  <threadedComment ref="K390" dT="2025-06-05T16:54:03.89" personId="{4A37CA97-5B9B-4FE7-9E19-B4BED969D72E}" id="{E586EB25-0DB8-49D0-B55E-BF96C694FFB0}">
    <text>Reajuste 2025</text>
  </threadedComment>
  <threadedComment ref="K391" dT="2025-06-05T16:54:03.89" personId="{4A37CA97-5B9B-4FE7-9E19-B4BED969D72E}" id="{E1199E18-B38F-4507-88EF-9B9D043B59D3}">
    <text>Reajuste 2025</text>
  </threadedComment>
  <threadedComment ref="K392" dT="2025-07-25T14:33:05.08" personId="{4A37CA97-5B9B-4FE7-9E19-B4BED969D72E}" id="{E4F3FB55-3BD5-4ABF-A737-A0416BD9B728}">
    <text>Reajuste 2025</text>
  </threadedComment>
  <threadedComment ref="K394" dT="2025-04-04T10:54:20.66" personId="{4A37CA97-5B9B-4FE7-9E19-B4BED969D72E}" id="{D3712C9C-7567-458F-8F4D-9611E6E2A354}">
    <text xml:space="preserve">Inclusão 2 Aux Manut </text>
  </threadedComment>
  <threadedComment ref="K395" dT="2025-04-04T10:54:20.66" personId="{4A37CA97-5B9B-4FE7-9E19-B4BED969D72E}" id="{D3EFDE27-6693-447D-89B7-E4C951DEF056}">
    <text xml:space="preserve">Inclusão 2 Aux Manut </text>
  </threadedComment>
  <threadedComment ref="K396" dT="2025-04-04T10:54:20.66" personId="{4A37CA97-5B9B-4FE7-9E19-B4BED969D72E}" id="{EF6E05C7-53C2-49F2-B783-83B3047017B9}">
    <text xml:space="preserve">Inclusão 2 Aux Manut </text>
  </threadedComment>
  <threadedComment ref="K397" dT="2025-04-04T10:54:20.66" personId="{4A37CA97-5B9B-4FE7-9E19-B4BED969D72E}" id="{EC1F51EE-EBC7-459C-B259-ABCE6C2D768B}">
    <text xml:space="preserve">Inclusão 2 Aux Manut </text>
  </threadedComment>
  <threadedComment ref="K398" dT="2025-07-25T14:33:05.08" personId="{4A37CA97-5B9B-4FE7-9E19-B4BED969D72E}" id="{F58B7DC3-5CEE-477C-ACE0-47C2AFCD7C7E}">
    <text>Reajuste 2025</text>
  </threadedComment>
  <threadedComment ref="K399" dT="2025-07-25T14:33:05.08" personId="{4A37CA97-5B9B-4FE7-9E19-B4BED969D72E}" id="{61580619-6A33-4939-BC32-FABA87B74740}">
    <text>Reajuste 2025</text>
  </threadedComment>
  <threadedComment ref="K400" dT="2025-02-27T14:31:14.38" personId="{4A37CA97-5B9B-4FE7-9E19-B4BED969D72E}" id="{B83B66CC-7EFD-4711-8338-E049CB30F2BA}">
    <text>Inicio em 15/03.</text>
  </threadedComment>
  <threadedComment ref="K408" dT="2025-02-27T14:31:14.38" personId="{4A37CA97-5B9B-4FE7-9E19-B4BED969D72E}" id="{94D4F477-79B9-4C38-B222-F44F27EDD69D}">
    <text>Inicio em 15/03.</text>
  </threadedComment>
  <threadedComment ref="K409" dT="2025-02-27T14:37:48.27" personId="{4A37CA97-5B9B-4FE7-9E19-B4BED969D72E}" id="{66D07D63-5704-4501-A020-5F05CDE55AE4}">
    <text>Valor 2025: R$ 542.723,86</text>
  </threadedComment>
  <threadedComment ref="K410" dT="2025-02-27T14:37:48.27" personId="{4A37CA97-5B9B-4FE7-9E19-B4BED969D72E}" id="{451136E2-981C-4691-A629-594BB5E4A9F5}">
    <text>Valor 2025: R$ 542.723,86</text>
  </threadedComment>
  <threadedComment ref="K411" dT="2025-04-01T19:43:32.26" personId="{4A37CA97-5B9B-4FE7-9E19-B4BED969D72E}" id="{21F32078-AC0D-4495-B425-52AC05EAE7AD}">
    <text>Ajuste de equipamentos Final.
início em 01/03.</text>
  </threadedComment>
  <threadedComment ref="K412" dT="2025-04-01T19:43:32.26" personId="{4A37CA97-5B9B-4FE7-9E19-B4BED969D72E}" id="{7BF20B70-5B71-41CF-A4E5-A1D48878BD55}">
    <text>Ajuste de equipamentos Final.
início em 01/03.</text>
  </threadedComment>
  <threadedComment ref="K413" dT="2025-04-01T19:43:32.26" personId="{4A37CA97-5B9B-4FE7-9E19-B4BED969D72E}" id="{A44C4728-293D-437A-89C8-CB2B9EFBDA12}">
    <text>Ajuste de equipamentos Final.
início em 01/03.</text>
  </threadedComment>
  <threadedComment ref="K414" dT="2025-04-01T19:43:32.26" personId="{4A37CA97-5B9B-4FE7-9E19-B4BED969D72E}" id="{D3719F5A-6D8F-4835-9F9A-01A7C0246790}">
    <text>Ajuste de equipamentos Final.
início em 01/03.</text>
  </threadedComment>
  <threadedComment ref="K415" dT="2025-04-01T19:43:32.26" personId="{4A37CA97-5B9B-4FE7-9E19-B4BED969D72E}" id="{C59FA140-3403-4AF7-9387-F1CBAAE5E8A2}">
    <text>Ajuste de equipamentos Final.
início em 01/03.</text>
  </threadedComment>
  <threadedComment ref="K416" dT="2025-02-27T14:31:14.38" personId="{4A37CA97-5B9B-4FE7-9E19-B4BED969D72E}" id="{75113F33-533E-49BB-B494-6FBDAF962876}">
    <text>Inicio em 15/03.</text>
  </threadedComment>
  <threadedComment ref="K421" dT="2025-06-05T14:12:33.33" personId="{4A37CA97-5B9B-4FE7-9E19-B4BED969D72E}" id="{ADEE0CD9-D7BA-411B-A19D-7C5FFC591065}">
    <text>Reajuste 2025 aprovado em 01/06.</text>
  </threadedComment>
  <threadedComment ref="K422" dT="2025-07-08T15:00:50.49" personId="{4A37CA97-5B9B-4FE7-9E19-B4BED969D72E}" id="{D08CF24E-62DC-420A-8874-81D23695FB53}">
    <text>Banheiristas noturno inicio em 01/05.</text>
  </threadedComment>
  <threadedComment ref="K423" dT="2025-07-08T15:10:38.57" personId="{4A37CA97-5B9B-4FE7-9E19-B4BED969D72E}" id="{0B2A706A-FC4B-4AD6-9790-8F2346940802}">
    <text xml:space="preserve">Reajuste 2025
</text>
  </threadedComment>
  <threadedComment ref="K423" dT="2025-07-08T15:29:17.96" personId="{4A37CA97-5B9B-4FE7-9E19-B4BED969D72E}" id="{872B7F89-C737-4FBC-BAF8-8C0D06455764}" parentId="{0B2A706A-FC4B-4AD6-9790-8F2346940802}">
    <text>Inclusão de Barracuda em 08/07</text>
  </threadedComment>
  <threadedComment ref="K424" dT="2025-07-08T15:10:38.57" personId="{4A37CA97-5B9B-4FE7-9E19-B4BED969D72E}" id="{AFE535E1-8D3F-4735-A84D-382A9C8C16FA}">
    <text xml:space="preserve">Reajuste 2025
</text>
  </threadedComment>
  <threadedComment ref="K424" dT="2025-07-08T15:29:17.96" personId="{4A37CA97-5B9B-4FE7-9E19-B4BED969D72E}" id="{8CD193FB-51BF-4F98-A3B1-C51E4B12094F}" parentId="{AFE535E1-8D3F-4735-A84D-382A9C8C16FA}">
    <text>Inclusão de Barracuda em 08/07</text>
  </threadedComment>
  <threadedComment ref="K425" dT="2025-09-10T19:21:20.18" personId="{DB2BE661-D618-44CE-AE20-17C82EAE22B7}" id="{EA8B9A53-57E4-4D16-8056-22F6FCBF364D}">
    <text xml:space="preserve">Reajuste 2025
Inclusão de Barracuda em 08/07
Inclusão de Coletor 01/09
</text>
  </threadedComment>
  <threadedComment ref="K426" dT="2025-09-10T19:21:20.18" personId="{DB2BE661-D618-44CE-AE20-17C82EAE22B7}" id="{B29488C1-7F3F-4761-92FA-BC19D1EC264A}">
    <text xml:space="preserve">Reajuste 2025
Inclusão de Barracuda em 08/07
Inclusão de Coletor 01/09
</text>
  </threadedComment>
  <threadedComment ref="K427" dT="2025-07-25T14:33:05.08" personId="{4A37CA97-5B9B-4FE7-9E19-B4BED969D72E}" id="{749BE45A-67C3-451C-957E-3C099762E6CB}">
    <text>Reajuste 2025</text>
  </threadedComment>
  <threadedComment ref="K428" dT="2025-07-25T14:33:05.08" personId="{4A37CA97-5B9B-4FE7-9E19-B4BED969D72E}" id="{D827476A-8703-45D0-BF6E-83BFB0E83312}">
    <text>Reajuste 2025</text>
  </threadedComment>
  <threadedComment ref="K429" dT="2025-07-25T14:33:05.08" personId="{4A37CA97-5B9B-4FE7-9E19-B4BED969D72E}" id="{3FC5B964-342F-44FF-85D6-91B3611457A9}">
    <text>Reajuste 2025</text>
  </threadedComment>
  <threadedComment ref="K430" dT="2025-07-25T14:33:05.08" personId="{4A37CA97-5B9B-4FE7-9E19-B4BED969D72E}" id="{21A77D32-FE2B-4BFA-884F-CD79BFD58577}">
    <text>Reajuste 2025</text>
  </threadedComment>
  <threadedComment ref="K431" dT="2025-07-25T14:33:05.08" personId="{4A37CA97-5B9B-4FE7-9E19-B4BED969D72E}" id="{6227705B-B368-421D-BE7E-FD9F75048112}">
    <text>Reajuste 2025</text>
  </threadedComment>
  <threadedComment ref="K432" dT="2025-07-25T14:33:05.08" personId="{4A37CA97-5B9B-4FE7-9E19-B4BED969D72E}" id="{EBE542E3-95E0-419E-B013-19410214E268}">
    <text>Reajuste 2025</text>
  </threadedComment>
  <threadedComment ref="K433" dT="2025-06-05T16:54:03.89" personId="{4A37CA97-5B9B-4FE7-9E19-B4BED969D72E}" id="{EB5F54D7-ACF8-4B59-903A-7F470FE80198}">
    <text>Reajuste 2025</text>
  </threadedComment>
  <threadedComment ref="K434" dT="2025-06-05T16:54:03.89" personId="{4A37CA97-5B9B-4FE7-9E19-B4BED969D72E}" id="{F7F762B7-422A-4238-B023-2D4F84B4F0A4}">
    <text>Reajuste 2025</text>
  </threadedComment>
  <threadedComment ref="K435" dT="2025-06-05T16:54:03.89" personId="{4A37CA97-5B9B-4FE7-9E19-B4BED969D72E}" id="{ED0E5375-EDF7-45FA-BF9C-5D8DCC4A3A5D}">
    <text>Reajuste 2025</text>
  </threadedComment>
  <threadedComment ref="K436" dT="2025-06-25T20:16:54.89" personId="{4A37CA97-5B9B-4FE7-9E19-B4BED969D72E}" id="{D36B7F89-0BE4-48A7-9564-18E1B3CA0585}">
    <text xml:space="preserve">Reajuste 2025 </text>
  </threadedComment>
  <threadedComment ref="K436" dT="2025-06-25T20:17:11.32" personId="{4A37CA97-5B9B-4FE7-9E19-B4BED969D72E}" id="{DE6D7433-ABC8-43D2-BE17-99E35697617D}" parentId="{D36B7F89-0BE4-48A7-9564-18E1B3CA0585}">
    <text>Inclusão de AGS Líder em 16/05.
Verificar a dif retroativa a maio.</text>
  </threadedComment>
  <threadedComment ref="K439" dT="2025-06-05T14:13:48.88" personId="{4A37CA97-5B9B-4FE7-9E19-B4BED969D72E}" id="{AF760235-FE93-45BF-B414-2EA4C09CAB3D}">
    <text>Reajuste 2025 aprovado em 01/06</text>
  </threadedComment>
  <threadedComment ref="K440" dT="2025-06-05T14:13:48.88" personId="{4A37CA97-5B9B-4FE7-9E19-B4BED969D72E}" id="{7F73F250-A344-438E-9CEF-6B46EE822B19}">
    <text>Reajuste 2025 aprovado em 01/06</text>
  </threadedComment>
  <threadedComment ref="K441" dT="2025-06-05T14:13:48.88" personId="{4A37CA97-5B9B-4FE7-9E19-B4BED969D72E}" id="{D8EFCCBF-E1F9-44D7-8719-650157419052}">
    <text>Reajuste 2025 aprovado em 01/06</text>
  </threadedComment>
  <threadedComment ref="K442" dT="2025-04-01T19:43:32.26" personId="{4A37CA97-5B9B-4FE7-9E19-B4BED969D72E}" id="{68FCA3A9-DB1D-4DD3-8991-ED24B7F82F00}">
    <text>Ajuste de equipamentos Final.
início em 01/03.</text>
  </threadedComment>
  <threadedComment ref="K443" dT="2025-04-01T19:43:32.26" personId="{4A37CA97-5B9B-4FE7-9E19-B4BED969D72E}" id="{74230D2C-5B76-4BBB-9D45-81D29EFAFC70}">
    <text>Ajuste de equipamentos Final.
início em 01/03.</text>
  </threadedComment>
  <threadedComment ref="K444" dT="2025-04-01T19:43:32.26" personId="{4A37CA97-5B9B-4FE7-9E19-B4BED969D72E}" id="{6C5E5290-B5A9-43C6-B069-C2ED8E16C365}">
    <text>Ajuste de equipamentos Final.
início em 01/03.</text>
  </threadedComment>
  <threadedComment ref="Q467" dT="2025-03-24T17:07:11.50" personId="{4A37CA97-5B9B-4FE7-9E19-B4BED969D72E}" id="{8643DD6F-1F4F-4E56-BDEA-C584B5A5CD66}">
    <text>Desconto fev</text>
  </threadedComment>
  <threadedComment ref="K472" dT="2025-07-04T19:51:04.48" personId="{4A37CA97-5B9B-4FE7-9E19-B4BED969D72E}" id="{0653DDB4-C676-4274-A202-0F38B0EC028E}">
    <text>Reajuste 2025</text>
  </threadedComment>
  <threadedComment ref="K473" dT="2025-04-28T16:42:43.72" personId="{4A37CA97-5B9B-4FE7-9E19-B4BED969D72E}" id="{537E5793-9AF1-44B2-A342-54D443ED0897}">
    <text>Reajuste 2025.</text>
  </threadedComment>
  <threadedComment ref="K474" dT="2025-04-28T16:42:43.72" personId="{4A37CA97-5B9B-4FE7-9E19-B4BED969D72E}" id="{DF2087DD-9ED5-45D8-9540-B86D1467375D}">
    <text>Reajuste 2025.</text>
  </threadedComment>
  <threadedComment ref="K475" dT="2025-04-28T16:42:43.72" personId="{4A37CA97-5B9B-4FE7-9E19-B4BED969D72E}" id="{3BB3F964-F2ED-4422-B1D6-96442AFF0713}">
    <text>Reajuste 2025.</text>
  </threadedComment>
  <threadedComment ref="K476" dT="2025-04-28T16:42:43.72" personId="{4A37CA97-5B9B-4FE7-9E19-B4BED969D72E}" id="{845B67CB-F4DB-4BB7-86EA-F5D0EC175A39}">
    <text>Reajuste 2025.</text>
  </threadedComment>
  <threadedComment ref="K477" dT="2025-04-28T16:42:43.72" personId="{4A37CA97-5B9B-4FE7-9E19-B4BED969D72E}" id="{4088B1D0-CA07-416D-A3DC-27E35D865571}">
    <text>Reajuste 2025.</text>
  </threadedComment>
  <threadedComment ref="K478" dT="2025-04-28T16:42:43.72" personId="{4A37CA97-5B9B-4FE7-9E19-B4BED969D72E}" id="{10C56F63-0123-4D24-839A-E98C6A36A99D}">
    <text>Reajuste 2025.</text>
  </threadedComment>
  <threadedComment ref="K479" dT="2025-04-28T16:42:43.72" personId="{4A37CA97-5B9B-4FE7-9E19-B4BED969D72E}" id="{9D9F6362-41EC-4F41-B475-66363C69CE50}">
    <text>Reajuste 2025.</text>
  </threadedComment>
  <threadedComment ref="K480" dT="2025-07-04T19:51:04.48" personId="{4A37CA97-5B9B-4FE7-9E19-B4BED969D72E}" id="{E6D45726-92A0-4EB4-AD8B-AD37E26060FF}">
    <text>Reajuste 2025</text>
  </threadedComment>
  <threadedComment ref="K486" dT="2025-06-03T19:25:10.20" personId="{4A37CA97-5B9B-4FE7-9E19-B4BED969D72E}" id="{5BDF11DE-F085-4E91-8BB2-E21A7B407ACA}">
    <text>Reajuste 2025</text>
  </threadedComment>
  <threadedComment ref="K487" dT="2025-06-03T19:25:10.20" personId="{4A37CA97-5B9B-4FE7-9E19-B4BED969D72E}" id="{69403072-E9F3-447C-AA6F-6DFFD96048FD}">
    <text>Reajuste 2025</text>
  </threadedComment>
  <threadedComment ref="K488" dT="2025-06-03T19:25:10.20" personId="{4A37CA97-5B9B-4FE7-9E19-B4BED969D72E}" id="{B28F7D43-9EFB-4DDE-91CF-683754F9DF7C}">
    <text>Reajuste 2025</text>
  </threadedComment>
  <threadedComment ref="K494" dT="2025-07-04T19:51:04.48" personId="{4A37CA97-5B9B-4FE7-9E19-B4BED969D72E}" id="{7B4001CD-8579-4E87-A23A-36F00C349DC9}">
    <text>Reajuste 2025</text>
  </threadedComment>
  <threadedComment ref="K495" dT="2025-07-04T19:51:04.48" personId="{4A37CA97-5B9B-4FE7-9E19-B4BED969D72E}" id="{4F402B07-35F4-4AE9-A542-1D080A1F2387}">
    <text>Reajuste 2025</text>
  </threadedComment>
  <threadedComment ref="K496" dT="2025-06-03T19:24:55.77" personId="{4A37CA97-5B9B-4FE7-9E19-B4BED969D72E}" id="{F1A93EC5-722E-44D1-BAAD-EA33A9AEAB48}">
    <text>Reajuste 2025</text>
  </threadedComment>
  <threadedComment ref="K498" dT="2025-06-03T19:24:55.77" personId="{4A37CA97-5B9B-4FE7-9E19-B4BED969D72E}" id="{F17C248F-81FD-4592-9BAF-DE7DB1873359}">
    <text>Reajuste 2025</text>
  </threadedComment>
  <threadedComment ref="Q498" dT="2025-07-04T19:55:18.87" personId="{4A37CA97-5B9B-4FE7-9E19-B4BED969D72E}" id="{E86C7667-8B2E-4C49-897B-427684685714}">
    <text>Desconto de junho</text>
  </threadedComment>
  <threadedComment ref="K502" dT="2025-07-04T19:54:12.89" personId="{4A37CA97-5B9B-4FE7-9E19-B4BED969D72E}" id="{2454952C-945E-4CB7-8BA8-46FEF247DDC2}">
    <text>Reajuste 2025</text>
  </threadedComment>
  <threadedComment ref="K503" dT="2025-06-03T19:24:55.77" personId="{4A37CA97-5B9B-4FE7-9E19-B4BED969D72E}" id="{FB97F1AC-2626-4487-A6CC-B6CE512426E3}">
    <text>Reajuste 2025</text>
  </threadedComment>
  <threadedComment ref="K504" dT="2025-06-03T19:24:55.77" personId="{4A37CA97-5B9B-4FE7-9E19-B4BED969D72E}" id="{0635045D-B8A7-4E37-A400-38FBB31D4928}">
    <text>Reajuste 2025</text>
  </threadedComment>
  <threadedComment ref="K505" dT="2025-06-03T19:24:55.77" personId="{4A37CA97-5B9B-4FE7-9E19-B4BED969D72E}" id="{4F57E618-CE37-4A48-B75D-0EE5ECAE1F99}">
    <text>Reajuste 2025</text>
  </threadedComment>
  <threadedComment ref="K506" dT="2025-03-25T20:46:11.36" personId="{4A37CA97-5B9B-4FE7-9E19-B4BED969D72E}" id="{80566A13-DB78-4007-AAC9-AF6943F858E3}">
    <text>Sem planejador/almoxarife</text>
  </threadedComment>
  <threadedComment ref="K507" dT="2025-03-25T20:46:11.36" personId="{4A37CA97-5B9B-4FE7-9E19-B4BED969D72E}" id="{E6262076-9910-4832-96CE-1BD945D8DF7C}">
    <text>Sem planejador/almoxarife</text>
  </threadedComment>
  <threadedComment ref="K508" dT="2025-07-04T19:54:12.89" personId="{4A37CA97-5B9B-4FE7-9E19-B4BED969D72E}" id="{A2AA45E2-3CD0-43EA-B7C1-0F884CF1E886}">
    <text>Reajuste 2025</text>
  </threadedComment>
  <threadedComment ref="K510" dT="2025-06-03T19:24:55.77" personId="{4A37CA97-5B9B-4FE7-9E19-B4BED969D72E}" id="{5DE590A2-69E6-46E2-AE66-F32808A4A9E9}">
    <text>Reajuste 2025</text>
  </threadedComment>
  <threadedComment ref="T511" dT="2025-03-25T20:52:17.29" personId="{4A37CA97-5B9B-4FE7-9E19-B4BED969D72E}" id="{4301A13E-AA8F-40F6-9B56-500A3D687FB7}">
    <text>Diferença referente às NFs de jan e fev com reoneração indevida.</text>
  </threadedComment>
  <threadedComment ref="K514" dT="2025-07-04T19:54:12.89" personId="{4A37CA97-5B9B-4FE7-9E19-B4BED969D72E}" id="{F1AECEAB-2710-4F30-A797-25C94BC45291}">
    <text>Reajuste 2025</text>
  </threadedComment>
  <threadedComment ref="K515" dT="2025-07-04T19:54:12.89" personId="{4A37CA97-5B9B-4FE7-9E19-B4BED969D72E}" id="{185CE4A1-CEFE-4CA7-8288-DC999C50268A}">
    <text>Reajuste 2025</text>
  </threadedComment>
  <threadedComment ref="K516" dT="2025-07-04T19:54:12.89" personId="{4A37CA97-5B9B-4FE7-9E19-B4BED969D72E}" id="{8B070A78-AE47-4D25-B77A-3F204E972884}">
    <text>Reajuste 2025</text>
  </threadedComment>
  <threadedComment ref="K520" dT="2025-06-03T19:25:10.20" personId="{4A37CA97-5B9B-4FE7-9E19-B4BED969D72E}" id="{6265460B-1C9F-4285-A0C0-4460F0D928CC}">
    <text>Reajuste 2025</text>
  </threadedComment>
  <threadedComment ref="P520" dT="2025-06-03T19:24:55.77" personId="{4A37CA97-5B9B-4FE7-9E19-B4BED969D72E}" id="{B0AFB1FE-FB1C-462A-940F-4CBD54F661D4}">
    <text>Reajuste 2025</text>
  </threadedComment>
  <threadedComment ref="K521" dT="2025-06-03T19:25:10.20" personId="{4A37CA97-5B9B-4FE7-9E19-B4BED969D72E}" id="{B26497C6-E7B3-4795-940D-9445485611C6}">
    <text>Reajuste 2025</text>
  </threadedComment>
  <threadedComment ref="K522" dT="2025-06-03T19:25:10.20" personId="{4A37CA97-5B9B-4FE7-9E19-B4BED969D72E}" id="{9F3BA6B1-70E2-408B-8B7B-268803AD8796}">
    <text>Reajuste 2025</text>
  </threadedComment>
  <threadedComment ref="K523" dT="2025-04-28T16:42:43.72" personId="{4A37CA97-5B9B-4FE7-9E19-B4BED969D72E}" id="{29FAA485-F820-44DA-BF34-1C7140BCDD2A}">
    <text>Reajuste 2025.</text>
  </threadedComment>
  <threadedComment ref="K524" dT="2025-04-28T16:42:43.72" personId="{4A37CA97-5B9B-4FE7-9E19-B4BED969D72E}" id="{D257A8DE-F73C-4E08-96C9-C525E9CA6C52}">
    <text>Reajuste 2025.</text>
  </threadedComment>
  <threadedComment ref="K525" dT="2025-04-28T16:42:43.72" personId="{4A37CA97-5B9B-4FE7-9E19-B4BED969D72E}" id="{C2A7D104-F18C-4644-A511-41A428A4140E}">
    <text>Reajuste 2025.</text>
  </threadedComment>
  <threadedComment ref="K544" dT="2025-07-25T16:30:04.27" personId="{4A37CA97-5B9B-4FE7-9E19-B4BED969D72E}" id="{C9DB8B36-92C7-4B3B-88BE-3654F370B9EB}">
    <text>Reajuste 2025</text>
  </threadedComment>
  <threadedComment ref="K545" dT="2025-04-29T18:44:35.62" personId="{4A37CA97-5B9B-4FE7-9E19-B4BED969D72E}" id="{43A32047-EF70-4080-952E-007141994816}">
    <text>Redução de HC para 14.</text>
  </threadedComment>
  <threadedComment ref="K553" dT="2025-09-10T20:57:54.60" personId="{4A37CA97-5B9B-4FE7-9E19-B4BED969D72E}" id="{07B041D8-AF31-44D9-8B47-CBA085C327E3}">
    <text>Reajuste 2025</text>
  </threadedComment>
  <threadedComment ref="AD553" dT="2025-09-10T20:57:28.20" personId="{4A37CA97-5B9B-4FE7-9E19-B4BED969D72E}" id="{99AABF26-C69B-444F-B81D-AF8D6B37F58A}">
    <text>Aguardando confirmação da forma de pagamento</text>
  </threadedComment>
  <threadedComment ref="O557" dT="2025-05-14T15:16:21.67" personId="{4A37CA97-5B9B-4FE7-9E19-B4BED969D72E}" id="{3C57EB4D-AB9D-4EEC-A51F-065729ECC4F7}">
    <text>Faltas referente ao mês de fevereiro.</text>
  </threadedComment>
  <threadedComment ref="K560" dT="2025-07-25T16:09:57.63" personId="{4A37CA97-5B9B-4FE7-9E19-B4BED969D72E}" id="{651CDF06-6828-4FF7-B1E2-24BDF6C85BAC}">
    <text>Reajuste 2025</text>
  </threadedComment>
  <threadedComment ref="K561" dT="2025-05-02T14:54:25.68" personId="{4A37CA97-5B9B-4FE7-9E19-B4BED969D72E}" id="{1B5F6731-39E0-4714-9AFF-25D5E7810239}">
    <text xml:space="preserve">Serval CCT24. Início em 07/04.
</text>
  </threadedComment>
  <threadedComment ref="K569" dT="2025-07-25T16:09:57.63" personId="{4A37CA97-5B9B-4FE7-9E19-B4BED969D72E}" id="{304D7F23-5150-4848-A767-B5302F78F9F8}">
    <text>Reajuste 2025</text>
  </threadedComment>
  <threadedComment ref="K570" dT="2025-07-25T16:09:57.63" personId="{4A37CA97-5B9B-4FE7-9E19-B4BED969D72E}" id="{0F560FFE-970E-4C28-97FB-F304BA91E93D}">
    <text>Reajuste 2025</text>
  </threadedComment>
  <threadedComment ref="K571" dT="2025-07-25T16:09:57.63" personId="{4A37CA97-5B9B-4FE7-9E19-B4BED969D72E}" id="{BD8B1CDD-6B62-4C0B-810B-010A8EC8A715}">
    <text>Reajuste 2025</text>
  </threadedComment>
  <threadedComment ref="K572" dT="2025-03-06T15:46:15.90" personId="{4A37CA97-5B9B-4FE7-9E19-B4BED969D72E}" id="{87FFFAC4-CF59-45FA-B3E1-CE4A165E1D9A}">
    <text>Reajuste 2025</text>
  </threadedComment>
  <threadedComment ref="K573" dT="2025-07-25T16:09:57.63" personId="{4A37CA97-5B9B-4FE7-9E19-B4BED969D72E}" id="{8F05F646-4E73-4340-AE2F-4DE2D256D284}">
    <text>Reajuste 2025</text>
  </threadedComment>
  <threadedComment ref="K574" dT="2025-07-25T16:09:38.29" personId="{4A37CA97-5B9B-4FE7-9E19-B4BED969D72E}" id="{9F591515-CA28-4F2F-87C5-3BCE8AAA8A97}">
    <text>Reajuste 2025.</text>
  </threadedComment>
  <threadedComment ref="K575" dT="2025-07-25T16:09:38.29" personId="{4A37CA97-5B9B-4FE7-9E19-B4BED969D72E}" id="{9362E503-CE8F-4168-991F-0E69A8CFBAEA}">
    <text>Reajuste 2025.</text>
  </threadedComment>
  <threadedComment ref="K576" dT="2025-04-29T18:44:35.62" personId="{4A37CA97-5B9B-4FE7-9E19-B4BED969D72E}" id="{CADF48ED-9578-4124-9B07-61ABCB3E8C34}">
    <text>Redução de HC para 14.</text>
  </threadedComment>
  <threadedComment ref="K577" dT="2025-04-29T18:44:35.62" personId="{4A37CA97-5B9B-4FE7-9E19-B4BED969D72E}" id="{2DB52EE7-0862-4BA9-B895-2355D8927444}">
    <text>Redução de HC para 14.</text>
  </threadedComment>
  <threadedComment ref="K578" dT="2025-06-26T17:24:52.62" personId="{4A37CA97-5B9B-4FE7-9E19-B4BED969D72E}" id="{8E3A4EE8-B2B2-473E-A3FE-1C23137DE345}">
    <text>Nova SC negociada no BID.
Início em 01/07.</text>
  </threadedComment>
  <threadedComment ref="K578" dT="2025-07-18T13:49:43.83" personId="{4A37CA97-5B9B-4FE7-9E19-B4BED969D72E}" id="{679D4F7B-FDA6-42E2-BA53-E93629E4A618}" parentId="{8E3A4EE8-B2B2-473E-A3FE-1C23137DE345}">
    <text>Valor reajuste 2025</text>
  </threadedComment>
  <threadedComment ref="K579" dT="2025-09-10T20:57:54.60" personId="{4A37CA97-5B9B-4FE7-9E19-B4BED969D72E}" id="{3E1477E7-C636-4E8D-85F7-205A4BA7CA73}">
    <text>Reajuste 2025</text>
  </threadedComment>
  <threadedComment ref="K580" dT="2025-07-25T16:30:04.27" personId="{4A37CA97-5B9B-4FE7-9E19-B4BED969D72E}" id="{D8B4AFA5-2078-4544-8C77-62CD9C4B4B43}">
    <text>Reajuste 2025</text>
  </threadedComment>
  <threadedComment ref="K587" dT="2025-03-14T18:24:50.28" personId="{4A37CA97-5B9B-4FE7-9E19-B4BED969D72E}" id="{4A51EC80-1733-4066-A9E0-76D8CF5E0356}">
    <text>Renoneração FoPag.</text>
  </threadedComment>
  <threadedComment ref="K588" dT="2025-03-14T18:24:50.28" personId="{4A37CA97-5B9B-4FE7-9E19-B4BED969D72E}" id="{11FFF353-F2B6-4187-B6B1-C2C52DEDCE98}">
    <text>Renoneração FoPag.</text>
  </threadedComment>
  <threadedComment ref="T588" dT="2025-03-14T18:26:25.93" personId="{4A37CA97-5B9B-4FE7-9E19-B4BED969D72E}" id="{335A88C6-827A-4563-A5EC-3FF1DCCF06B5}">
    <text>Descontos de falta e SLA do mês anterior.
GPS emitiu NF sem descontos.</text>
  </threadedComment>
  <threadedComment ref="T588" dT="2025-04-07T19:38:54.38" personId="{4A37CA97-5B9B-4FE7-9E19-B4BED969D72E}" id="{799F7AA6-5F45-4276-BA87-F6A7FFDE7BA9}" parentId="{335A88C6-827A-4563-A5EC-3FF1DCCF06B5}">
    <text>Shopping pediu para desconsiderar</text>
  </threadedComment>
  <threadedComment ref="K589" dT="2025-03-14T18:24:50.28" personId="{4A37CA97-5B9B-4FE7-9E19-B4BED969D72E}" id="{B69208F8-24A5-462A-8566-6D00A63D300D}">
    <text>Renoneração FoPag.</text>
  </threadedComment>
  <threadedComment ref="K590" dT="2025-03-14T18:24:50.28" personId="{4A37CA97-5B9B-4FE7-9E19-B4BED969D72E}" id="{CE6400E3-9B63-4E17-AD76-CFDA6168A573}">
    <text>Renoneração FoPag.</text>
  </threadedComment>
  <threadedComment ref="K591" dT="2025-07-01T14:46:17.08" personId="{4A37CA97-5B9B-4FE7-9E19-B4BED969D72E}" id="{E6094861-FF59-4F69-840F-993D30BB5393}">
    <text>Implantação parcial.</text>
  </threadedComment>
  <threadedComment ref="K591" dT="2025-07-18T13:49:28.01" personId="{4A37CA97-5B9B-4FE7-9E19-B4BED969D72E}" id="{DA521536-1945-4BDE-9807-928EF95731E9}" parentId="{E6094861-FF59-4F69-840F-993D30BB5393}">
    <text>Pró rata considerando valor 2025.</text>
  </threadedComment>
  <threadedComment ref="K592" dT="2025-06-04T19:45:41.38" personId="{4A37CA97-5B9B-4FE7-9E19-B4BED969D72E}" id="{7C492A0D-D551-467D-B0DE-E4A6EB921EE6}">
    <text>De 07/05 a 31/05</text>
  </threadedComment>
  <threadedComment ref="P592" dT="2025-06-04T11:15:59.46" personId="{4A37CA97-5B9B-4FE7-9E19-B4BED969D72E}" id="{C5BC60E5-BACC-4C5D-B60D-EB710AB28BE3}">
    <text>Recreio decidiu não descontar o SLA.</text>
  </threadedComment>
  <threadedComment ref="T593" dT="2025-05-16T17:31:09.87" personId="{4A37CA97-5B9B-4FE7-9E19-B4BED969D72E}" id="{DD49990E-0B17-4B13-B44D-788970F9DE61}">
    <text>Desconto operadores de prensa.</text>
  </threadedComment>
  <threadedComment ref="K595" dT="2025-07-25T16:21:21.89" personId="{4A37CA97-5B9B-4FE7-9E19-B4BED969D72E}" id="{D885CA94-EFEA-4E59-9159-7ED122E29B46}">
    <text>Mudança na escala dos coletores</text>
  </threadedComment>
  <threadedComment ref="T595" dT="2025-07-25T16:41:18.85" personId="{4A37CA97-5B9B-4FE7-9E19-B4BED969D72E}" id="{FFFF5AA8-A511-453C-943F-1285061F425F}">
    <text>Referente à diferença da implantação do novo horário dos coletores. Início em 01/06. 
Valor faturado em julho (referente à junho) não considerou esse ajuste.</text>
  </threadedComment>
  <threadedComment ref="K596" dT="2025-07-25T16:30:04.27" personId="{4A37CA97-5B9B-4FE7-9E19-B4BED969D72E}" id="{3F3CC720-AA40-4BBD-8CA8-6900FFB275E9}">
    <text>Reajuste 2025</text>
  </threadedComment>
  <threadedComment ref="K598" dT="2025-07-25T16:30:04.27" personId="{4A37CA97-5B9B-4FE7-9E19-B4BED969D72E}" id="{393CC7F0-A351-49EA-BF6B-26550C2B05B2}">
    <text>Reajuste 2025</text>
  </threadedComment>
  <threadedComment ref="K599" dT="2025-05-02T14:54:16.94" personId="{4A37CA97-5B9B-4FE7-9E19-B4BED969D72E}" id="{96E01624-93C1-4033-8F6A-5235D6582D0B}">
    <text>Serval CCT24. Início em 07/04.</text>
  </threadedComment>
  <threadedComment ref="P600" dT="2025-07-09T16:58:21.53" personId="{4A37CA97-5B9B-4FE7-9E19-B4BED969D72E}" id="{7C8C932F-E8B7-4CE1-A22B-19E3E1301069}">
    <text xml:space="preserve">Recreio decidiu não descontar o SLA.
</text>
  </threadedComment>
  <threadedComment ref="K601" dT="2025-07-25T16:21:21.89" personId="{4A37CA97-5B9B-4FE7-9E19-B4BED969D72E}" id="{EB0D1AB4-C846-4C64-86D8-EA042EA577F4}">
    <text>Mudança na escala dos coletores</text>
  </threadedComment>
  <threadedComment ref="K602" dT="2025-07-25T16:21:21.89" personId="{4A37CA97-5B9B-4FE7-9E19-B4BED969D72E}" id="{B7C727AE-6C5E-4F7E-A2D0-2F86FD1EF2D3}">
    <text>Mudança na escala dos coletores</text>
  </threadedComment>
  <threadedComment ref="K603" dT="2025-10-21T17:31:46.02" personId="{DB2BE661-D618-44CE-AE20-17C82EAE22B7}" id="{ED204829-9326-487F-805E-7AA42A505387}">
    <text xml:space="preserve">Reajuste 2025
</text>
  </threadedComment>
  <threadedComment ref="K607" dT="2025-06-26T17:24:52.62" personId="{4A37CA97-5B9B-4FE7-9E19-B4BED969D72E}" id="{14E19697-5EEA-4B52-86D0-5F6BF2927972}">
    <text>Nova SC negociada no BID.
Início em 01/07.</text>
  </threadedComment>
  <threadedComment ref="K607" dT="2025-07-18T13:49:43.83" personId="{4A37CA97-5B9B-4FE7-9E19-B4BED969D72E}" id="{DBDE9E21-CEAC-4E0D-92BA-939D7F3AF903}" parentId="{14E19697-5EEA-4B52-86D0-5F6BF2927972}">
    <text>Valor reajuste 2025</text>
  </threadedComment>
  <threadedComment ref="K608" dT="2025-06-26T17:24:52.62" personId="{4A37CA97-5B9B-4FE7-9E19-B4BED969D72E}" id="{AAA6F321-0A89-4522-8B6A-41495629F210}">
    <text>Nova SC negociada no BID.
Início em 01/07.</text>
  </threadedComment>
  <threadedComment ref="K608" dT="2025-07-18T13:49:43.83" personId="{4A37CA97-5B9B-4FE7-9E19-B4BED969D72E}" id="{8F0EE9FC-4EEF-4548-A05F-552129F1CE5E}" parentId="{AAA6F321-0A89-4522-8B6A-41495629F210}">
    <text>Valor reajuste 2025</text>
  </threadedComment>
  <threadedComment ref="K609" dT="2025-06-26T17:24:52.62" personId="{4A37CA97-5B9B-4FE7-9E19-B4BED969D72E}" id="{A06009D1-077A-4F2B-9FAA-01988B99911C}">
    <text>Nova SC negociada no BID.
Início em 01/07.</text>
  </threadedComment>
  <threadedComment ref="K609" dT="2025-07-18T13:49:43.83" personId="{4A37CA97-5B9B-4FE7-9E19-B4BED969D72E}" id="{2690AAA8-201F-4957-A64A-2545ECB42D37}" parentId="{A06009D1-077A-4F2B-9FAA-01988B99911C}">
    <text>Valor reajuste 2025</text>
  </threadedComment>
  <threadedComment ref="K613" dT="2025-07-25T16:09:38.29" personId="{4A37CA97-5B9B-4FE7-9E19-B4BED969D72E}" id="{1D4608BA-134E-4C99-B63C-EFE731AC33CF}">
    <text>Reajuste 2025.</text>
  </threadedComment>
  <threadedComment ref="K614" dT="2025-07-25T16:09:38.29" personId="{4A37CA97-5B9B-4FE7-9E19-B4BED969D72E}" id="{717ED829-3DFB-4B45-BF1A-9F1A2774C474}">
    <text>Reajuste 2025.</text>
  </threadedComment>
  <threadedComment ref="K615" dT="2025-07-25T16:09:38.29" personId="{4A37CA97-5B9B-4FE7-9E19-B4BED969D72E}" id="{6A746A26-602D-4B4E-9E90-1ACCA9D6C6A6}">
    <text>Reajuste 2025.</text>
  </threadedComment>
  <threadedComment ref="K616" dT="2025-07-25T16:09:57.63" personId="{4A37CA97-5B9B-4FE7-9E19-B4BED969D72E}" id="{F417EA40-2190-4A84-A62A-60120EFE5105}">
    <text>Reajuste 2025</text>
  </threadedComment>
  <threadedComment ref="K617" dT="2025-07-25T16:09:57.63" personId="{4A37CA97-5B9B-4FE7-9E19-B4BED969D72E}" id="{714478B8-4785-46D1-8D70-A8E01665090D}">
    <text>Reajuste 2025</text>
  </threadedComment>
  <threadedComment ref="K618" dT="2025-07-25T16:09:57.63" personId="{4A37CA97-5B9B-4FE7-9E19-B4BED969D72E}" id="{642C6EDF-10C2-4128-98D2-A632D72B9FAC}">
    <text>Reajuste 2025</text>
  </threadedComment>
  <threadedComment ref="K648" dT="2025-07-25T20:37:31.75" personId="{4A37CA97-5B9B-4FE7-9E19-B4BED969D72E}" id="{82EE1A24-713B-40E4-97AC-DD27FB4FFD84}">
    <text>Reajuste 2025</text>
  </threadedComment>
  <threadedComment ref="K655" dT="2025-07-03T14:36:15.97" personId="{4A37CA97-5B9B-4FE7-9E19-B4BED969D72E}" id="{E8F65DC4-C920-49CA-B7BC-E915A53BA1A6}">
    <text>Reajuste 2025</text>
  </threadedComment>
  <threadedComment ref="K655" dT="2025-07-03T14:36:24.38" personId="{4A37CA97-5B9B-4FE7-9E19-B4BED969D72E}" id="{8C76D889-3E16-491D-9E67-8AC2B51948D2}" parentId="{E8F65DC4-C920-49CA-B7BC-E915A53BA1A6}">
    <text>Redução de 1 ASG noturno.</text>
  </threadedComment>
  <threadedComment ref="K661" dT="2025-06-16T20:06:56.25" personId="{4A37CA97-5B9B-4FE7-9E19-B4BED969D72E}" id="{19683000-AC62-4FAA-B5D7-D4F55370072E}">
    <text>Reajuste 2025</text>
  </threadedComment>
  <threadedComment ref="K662" dT="2025-07-03T14:33:01.35" personId="{4A37CA97-5B9B-4FE7-9E19-B4BED969D72E}" id="{C2717AA8-6661-481E-931F-F2532E611CDA}">
    <text>Reajuste 2025</text>
  </threadedComment>
  <threadedComment ref="K663" dT="2025-07-25T20:37:31.75" personId="{4A37CA97-5B9B-4FE7-9E19-B4BED969D72E}" id="{1A8EE49A-6968-453A-B558-959447AB936E}">
    <text>Reajuste 2025</text>
  </threadedComment>
  <threadedComment ref="K664" dT="2025-03-06T15:46:15.90" personId="{4A37CA97-5B9B-4FE7-9E19-B4BED969D72E}" id="{853CA7FE-2389-47B7-8DDD-A4FE8A803DB3}">
    <text>Reajuste 2025</text>
  </threadedComment>
  <threadedComment ref="K665" dT="2025-07-25T20:37:31.75" personId="{4A37CA97-5B9B-4FE7-9E19-B4BED969D72E}" id="{691590EF-FFCA-4154-B5F6-CB7C822146FE}">
    <text>Reajuste 2025</text>
  </threadedComment>
  <threadedComment ref="K666" dT="2025-07-25T20:37:31.75" personId="{4A37CA97-5B9B-4FE7-9E19-B4BED969D72E}" id="{7E1D0777-6805-4CF8-9759-B3F7201C75A4}">
    <text>Reajuste 2025</text>
  </threadedComment>
  <threadedComment ref="K674" dT="2025-07-03T14:36:15.97" personId="{4A37CA97-5B9B-4FE7-9E19-B4BED969D72E}" id="{BBA95F93-13A5-46E6-BE22-9519D9E434E5}">
    <text>Reajuste 2025</text>
  </threadedComment>
  <threadedComment ref="K674" dT="2025-07-03T14:36:24.38" personId="{4A37CA97-5B9B-4FE7-9E19-B4BED969D72E}" id="{02614783-50FD-4E1B-9D3D-B1861AB13969}" parentId="{BBA95F93-13A5-46E6-BE22-9519D9E434E5}">
    <text>Redução de 1 ASG noturno.</text>
  </threadedComment>
  <threadedComment ref="K675" dT="2025-07-03T14:36:15.97" personId="{4A37CA97-5B9B-4FE7-9E19-B4BED969D72E}" id="{BA426E3E-4788-4C36-9D88-44D4D22B3644}">
    <text>Reajuste 2025</text>
  </threadedComment>
  <threadedComment ref="K675" dT="2025-07-03T14:36:24.38" personId="{4A37CA97-5B9B-4FE7-9E19-B4BED969D72E}" id="{8B0137B7-C6C2-4739-8065-2A43568A00F3}" parentId="{BA426E3E-4788-4C36-9D88-44D4D22B3644}">
    <text>Redução de 1 ASG noturno.</text>
  </threadedComment>
  <threadedComment ref="K676" dT="2025-07-03T14:36:15.97" personId="{4A37CA97-5B9B-4FE7-9E19-B4BED969D72E}" id="{81A33483-A3BA-4FC4-AEAC-605356022B50}">
    <text>Reajuste 2025</text>
  </threadedComment>
  <threadedComment ref="K676" dT="2025-07-03T14:36:24.38" personId="{4A37CA97-5B9B-4FE7-9E19-B4BED969D72E}" id="{4807FDD4-004D-4646-AD22-ECDD9063E2A5}" parentId="{81A33483-A3BA-4FC4-AEAC-605356022B50}">
    <text>Redução de 1 ASG noturno.</text>
  </threadedComment>
  <threadedComment ref="K689" dT="2025-06-16T20:06:56.25" personId="{4A37CA97-5B9B-4FE7-9E19-B4BED969D72E}" id="{8A4D34B1-09E7-466F-BBDC-1CEC81076CB6}">
    <text>Reajuste 2025</text>
  </threadedComment>
  <threadedComment ref="K691" dT="2025-02-03T12:34:21.51" personId="{4A37CA97-5B9B-4FE7-9E19-B4BED969D72E}" id="{FB712270-0380-4CEB-AB4E-3AD9FD8F9DE5}">
    <text>Ajuste salário mínimo.</text>
  </threadedComment>
  <threadedComment ref="K692" dT="2025-01-30T18:38:24.56" personId="{077BC691-A779-4B97-ADC0-74443AACE796}" id="{CD9B31F5-DA0A-432B-BF3F-22B06527D166}">
    <text>Implantação Verzani 01/02</text>
  </threadedComment>
  <threadedComment ref="K693" dT="2025-01-30T18:38:24.56" personId="{077BC691-A779-4B97-ADC0-74443AACE796}" id="{C143CEAB-6ABD-46B1-9E26-BEA36ECA6403}">
    <text>Implantação Verzani 01/02</text>
  </threadedComment>
  <threadedComment ref="K694" dT="2025-01-30T18:38:24.56" personId="{077BC691-A779-4B97-ADC0-74443AACE796}" id="{A533299C-5A12-4AF3-A60E-40A8CF6BD420}">
    <text>Implantação Verzani 01/02</text>
  </threadedComment>
  <threadedComment ref="K695" dT="2025-01-30T18:38:24.56" personId="{077BC691-A779-4B97-ADC0-74443AACE796}" id="{2A6080B3-36AE-4787-8AC9-9C73E1E7CC3A}">
    <text>Implantação Verzani 01/02</text>
  </threadedComment>
  <threadedComment ref="AD695" dT="2025-06-09T19:36:57.02" personId="{7D7E4F64-2BF5-4ABD-8876-30B8E5D43312}" id="{52068B94-1B61-477E-9F25-86087A21CA7A}">
    <text>Extra dias: 06, 14, 18, 20, 21, 27 e 28/6.</text>
  </threadedComment>
  <threadedComment ref="AD695" dT="2025-06-09T20:19:44.03" personId="{7D7E4F64-2BF5-4ABD-8876-30B8E5D43312}" id="{7F6800E0-8E35-4C00-822A-2DB9F9FD05D9}" parentId="{52068B94-1B61-477E-9F25-86087A21CA7A}">
    <text>Extra dias: 04, 05, 11 e 26/7</text>
  </threadedComment>
  <threadedComment ref="K696" dT="2025-01-30T18:38:24.56" personId="{077BC691-A779-4B97-ADC0-74443AACE796}" id="{1CBF4644-4FB2-4692-B8BC-4A7A7DF727D1}">
    <text>Implantação Verzani 01/02</text>
  </threadedComment>
  <threadedComment ref="K697" dT="2025-07-25T13:17:07.12" personId="{4A37CA97-5B9B-4FE7-9E19-B4BED969D72E}" id="{AA8D33AE-2FA1-4189-BF60-E2C6DBC0AAB7}">
    <text>Reajuste 2025</text>
  </threadedComment>
  <threadedComment ref="K698" dT="2025-01-10T19:19:39.92" personId="{4A37CA97-5B9B-4FE7-9E19-B4BED969D72E}" id="{37F215D7-522A-4D4A-B715-774C881232AD}">
    <text>JLR início em 01/02.</text>
  </threadedComment>
  <threadedComment ref="K698" dT="2025-07-01T20:55:39.99" personId="{4A37CA97-5B9B-4FE7-9E19-B4BED969D72E}" id="{3AC7AEBE-F3CF-4CFC-9431-F7307673E970}" parentId="{37F215D7-522A-4D4A-B715-774C881232AD}">
    <text>Reajuste 2025</text>
  </threadedComment>
  <threadedComment ref="K699" dT="2024-08-07T13:57:41.70" personId="{4A37CA97-5B9B-4FE7-9E19-B4BED969D72E}" id="{8225FBFC-1DC0-4644-B73D-2CE04EDCEA3D}">
    <text>Planilha Simulação + celulares</text>
  </threadedComment>
  <threadedComment ref="K699" dT="2024-11-27T12:19:46.59" personId="{4A37CA97-5B9B-4FE7-9E19-B4BED969D72E}" id="{8D822EC5-2B0A-46EA-A40C-9C4D8A39C91E}" parentId="{8225FBFC-1DC0-4644-B73D-2CE04EDCEA3D}">
    <text>Ajuste salário Rodrigo</text>
  </threadedComment>
  <threadedComment ref="K700" dT="2024-08-07T13:57:41.70" personId="{4A37CA97-5B9B-4FE7-9E19-B4BED969D72E}" id="{D4B84B04-6D9F-4837-9266-408A42BEDC23}">
    <text>Planilha Simulação + celulares</text>
  </threadedComment>
  <threadedComment ref="K700" dT="2024-11-27T12:19:46.59" personId="{4A37CA97-5B9B-4FE7-9E19-B4BED969D72E}" id="{91053E02-E3B1-4546-BA15-1E3A6876E33D}" parentId="{D4B84B04-6D9F-4837-9266-408A42BEDC23}">
    <text>Ajuste salário Rodrigo</text>
  </threadedComment>
  <threadedComment ref="K701" dT="2024-08-07T13:57:41.70" personId="{4A37CA97-5B9B-4FE7-9E19-B4BED969D72E}" id="{6556C5FD-E244-4052-B125-EC4E1ED09901}">
    <text>Planilha Simulação + celulares</text>
  </threadedComment>
  <threadedComment ref="K701" dT="2024-11-27T12:19:46.59" personId="{4A37CA97-5B9B-4FE7-9E19-B4BED969D72E}" id="{05A25E89-A7C7-428F-886C-DFC7DA4DAE94}" parentId="{6556C5FD-E244-4052-B125-EC4E1ED09901}">
    <text>Ajuste salário Rodrigo</text>
  </threadedComment>
  <threadedComment ref="K702" dT="2024-08-07T13:57:41.70" personId="{4A37CA97-5B9B-4FE7-9E19-B4BED969D72E}" id="{593C01AF-4DFB-4757-8458-B0A5483D475B}">
    <text>Planilha Simulação + celulares</text>
  </threadedComment>
  <threadedComment ref="K702" dT="2024-11-27T12:19:46.59" personId="{4A37CA97-5B9B-4FE7-9E19-B4BED969D72E}" id="{AAF9D383-5DE5-4C85-97FB-A32EDCAB26CB}" parentId="{593C01AF-4DFB-4757-8458-B0A5483D475B}">
    <text>Ajuste salário Rodrigo</text>
  </threadedComment>
  <threadedComment ref="K703" dT="2024-08-07T13:57:41.70" personId="{4A37CA97-5B9B-4FE7-9E19-B4BED969D72E}" id="{F37F08ED-824F-451A-A326-B9C767024FD7}">
    <text>Planilha Simulação + celulares</text>
  </threadedComment>
  <threadedComment ref="K703" dT="2024-11-27T12:19:46.59" personId="{4A37CA97-5B9B-4FE7-9E19-B4BED969D72E}" id="{06823242-ED64-4C85-ADF8-120EE6F3907C}" parentId="{F37F08ED-824F-451A-A326-B9C767024FD7}">
    <text>Ajuste salário Rodrigo</text>
  </threadedComment>
  <threadedComment ref="K703" dT="2025-06-16T20:06:36.62" personId="{4A37CA97-5B9B-4FE7-9E19-B4BED969D72E}" id="{25317CCC-282C-4A5A-8AED-F9B9A17D1FA0}" parentId="{F37F08ED-824F-451A-A326-B9C767024FD7}">
    <text>Reajuste 2025</text>
  </threadedComment>
  <threadedComment ref="K704" dT="2025-07-25T13:17:07.12" personId="{4A37CA97-5B9B-4FE7-9E19-B4BED969D72E}" id="{BAA99CD1-EA52-4F3D-B0D8-E08E281361A7}">
    <text>Reajuste 2025</text>
  </threadedComment>
  <threadedComment ref="K712" dT="2025-01-10T19:19:39.92" personId="{4A37CA97-5B9B-4FE7-9E19-B4BED969D72E}" id="{D11BA802-4257-40F9-9DC4-A98EF796CD3F}">
    <text>JLR início em 01/02.</text>
  </threadedComment>
  <threadedComment ref="K712" dT="2025-07-01T20:55:39.99" personId="{4A37CA97-5B9B-4FE7-9E19-B4BED969D72E}" id="{D4EA7DA4-098A-470B-A3BE-BF73D5DB9973}" parentId="{D11BA802-4257-40F9-9DC4-A98EF796CD3F}">
    <text>Reajuste 2025</text>
  </threadedComment>
  <threadedComment ref="K714" dT="2025-01-10T19:19:39.92" personId="{4A37CA97-5B9B-4FE7-9E19-B4BED969D72E}" id="{D076A569-B3FB-46A9-A258-6E2DA5D9F007}">
    <text>JLR início em 01/02.</text>
  </threadedComment>
  <threadedComment ref="K715" dT="2025-01-10T19:19:39.92" personId="{4A37CA97-5B9B-4FE7-9E19-B4BED969D72E}" id="{DDB7D8A4-F9AC-4379-8C93-CF918B8BEFA1}">
    <text>JLR início em 01/02.</text>
  </threadedComment>
  <threadedComment ref="K716" dT="2025-01-10T19:19:39.92" personId="{4A37CA97-5B9B-4FE7-9E19-B4BED969D72E}" id="{2AC97FE1-120C-4E3A-9966-E969CEEFF550}">
    <text>JLR início em 01/02.</text>
  </threadedComment>
  <threadedComment ref="K717" dT="2025-01-10T19:19:39.92" personId="{4A37CA97-5B9B-4FE7-9E19-B4BED969D72E}" id="{B7AB1611-500C-4302-B2F5-8A144F6D7996}">
    <text>JLR início em 01/02.</text>
  </threadedComment>
  <threadedComment ref="K718" dT="2025-01-10T19:19:39.92" personId="{4A37CA97-5B9B-4FE7-9E19-B4BED969D72E}" id="{05B17B4F-6837-4D94-954E-26E43BA9B08B}">
    <text>JLR início em 01/02.</text>
  </threadedComment>
  <threadedComment ref="K718" dT="2025-07-01T20:55:39.99" personId="{4A37CA97-5B9B-4FE7-9E19-B4BED969D72E}" id="{CAAC27E7-905C-49A5-AE37-A054745B21C8}" parentId="{05B17B4F-6837-4D94-954E-26E43BA9B08B}">
    <text>Reajuste 2025</text>
  </threadedComment>
  <threadedComment ref="AC718" dT="2025-07-01T19:19:19.81" personId="{4A37CA97-5B9B-4FE7-9E19-B4BED969D72E}" id="{804304AE-304D-4B47-832C-D556A5F2F224}">
    <text>Referente a março, abril e maio.</text>
  </threadedComment>
  <threadedComment ref="K719" dT="2025-02-18T12:08:12.23" personId="{4A37CA97-5B9B-4FE7-9E19-B4BED969D72E}" id="{6545108A-54A1-4904-934F-F3E6D50E5630}">
    <text>Reajuste 2025.</text>
  </threadedComment>
  <threadedComment ref="K719" dT="2025-02-18T12:08:33.37" personId="{4A37CA97-5B9B-4FE7-9E19-B4BED969D72E}" id="{8835300D-A153-4B59-8DB0-97550300AA1C}" parentId="{6545108A-54A1-4904-934F-F3E6D50E5630}">
    <text>Aguardando de acordo.</text>
  </threadedComment>
  <threadedComment ref="K720" dT="2025-01-10T19:19:39.92" personId="{4A37CA97-5B9B-4FE7-9E19-B4BED969D72E}" id="{FBA59D83-BF00-4630-B796-4ECAE6EBDDA9}">
    <text>JLR início em 01/02.</text>
  </threadedComment>
  <threadedComment ref="K720" dT="2025-07-01T20:55:39.99" personId="{4A37CA97-5B9B-4FE7-9E19-B4BED969D72E}" id="{2B00E208-F370-4E86-B9CB-7013A6BD0479}" parentId="{FBA59D83-BF00-4630-B796-4ECAE6EBDDA9}">
    <text>Reajuste 2025</text>
  </threadedComment>
  <threadedComment ref="K722" dT="2024-12-23T13:12:36.02" personId="{4A37CA97-5B9B-4FE7-9E19-B4BED969D72E}" id="{B48AAC2D-FED1-4248-BF88-6F982AA60BB3}">
    <text>Alteração no horário do condutor</text>
  </threadedComment>
  <threadedComment ref="AD722" dT="2025-02-12T20:45:42.57" personId="{4A37CA97-5B9B-4FE7-9E19-B4BED969D72E}" id="{9B7164B1-A3F8-4642-8ED7-94479CD7213E}">
    <text>15 e 16/02.</text>
  </threadedComment>
  <threadedComment ref="K723" dT="2024-12-23T13:12:36.02" personId="{4A37CA97-5B9B-4FE7-9E19-B4BED969D72E}" id="{781BEC19-3D9F-46DB-86FD-1773020DCA23}">
    <text>Alteração no horário do condutor</text>
  </threadedComment>
  <threadedComment ref="AC723" dT="2025-02-26T20:23:49.59" personId="{4A37CA97-5B9B-4FE7-9E19-B4BED969D72E}" id="{1C5503CC-4CC4-416A-BBA6-E46C15B40C98}">
    <text>Bailinho de carnaval.</text>
  </threadedComment>
  <threadedComment ref="AD723" dT="2025-02-26T20:23:49.59" personId="{4A37CA97-5B9B-4FE7-9E19-B4BED969D72E}" id="{BF3FE5CE-3B34-421B-B95D-6F84C3F5C433}">
    <text>Bailinho de carnaval.</text>
  </threadedComment>
  <threadedComment ref="K725" dT="2025-01-21T19:35:59.66" personId="{4A37CA97-5B9B-4FE7-9E19-B4BED969D72E}" id="{B2FFEC61-FD75-46CA-98ED-FA20EAF7AC11}">
    <text>P30 Supervisores. Início em 01/02.</text>
  </threadedComment>
  <threadedComment ref="K726" dT="2025-01-21T19:35:59.66" personId="{4A37CA97-5B9B-4FE7-9E19-B4BED969D72E}" id="{EBF63758-49D9-4C23-9C3F-1BCF96910644}">
    <text>P30 Supervisores. Início em 01/02.</text>
  </threadedComment>
  <threadedComment ref="K727" dT="2025-01-21T19:35:59.66" personId="{4A37CA97-5B9B-4FE7-9E19-B4BED969D72E}" id="{7E52676C-7BE8-4EEF-9F98-A1D862C3C275}">
    <text>P30 Supervisores. Início em 01/02.</text>
  </threadedComment>
  <threadedComment ref="K728" dT="2025-01-21T19:35:59.66" personId="{4A37CA97-5B9B-4FE7-9E19-B4BED969D72E}" id="{610D1354-DC7B-420E-825C-5E46174A3063}">
    <text>P30 Supervisores. Início em 01/02.</text>
  </threadedComment>
  <threadedComment ref="K729" dT="2025-02-18T12:08:12.23" personId="{4A37CA97-5B9B-4FE7-9E19-B4BED969D72E}" id="{55972AD2-B294-4B53-8CD2-A0C892C1AD5E}">
    <text>Reajuste 2025.</text>
  </threadedComment>
  <threadedComment ref="K729" dT="2025-02-18T12:08:33.37" personId="{4A37CA97-5B9B-4FE7-9E19-B4BED969D72E}" id="{0A3000E4-87FA-4F48-86E5-B8EE89619390}" parentId="{55972AD2-B294-4B53-8CD2-A0C892C1AD5E}">
    <text>Aguardando de acordo.</text>
  </threadedComment>
  <threadedComment ref="AC729" dT="2025-04-22T13:36:38.49" personId="{4A37CA97-5B9B-4FE7-9E19-B4BED969D72E}" id="{F1233251-0FBE-408B-AD3F-970E390C0325}">
    <text>Jan a Abr</text>
  </threadedComment>
  <threadedComment ref="AD729" dT="2025-04-22T13:37:44.98" personId="{4A37CA97-5B9B-4FE7-9E19-B4BED969D72E}" id="{16FA56D5-7084-4283-B647-AA51E42D3310}">
    <text>Aguardando infos sobre forma de pgmto.</text>
  </threadedComment>
  <threadedComment ref="AD729" dT="2025-04-22T15:04:42.71" personId="{4A37CA97-5B9B-4FE7-9E19-B4BED969D72E}" id="{A3847C8D-9AF1-48A7-9312-8792A0BF9107}" parentId="{16FA56D5-7084-4283-B647-AA51E42D3310}">
    <text>Faturamento em 01/05</text>
  </threadedComment>
  <threadedComment ref="K730" dT="2025-02-18T12:08:12.23" personId="{4A37CA97-5B9B-4FE7-9E19-B4BED969D72E}" id="{1CCA8F37-23AA-407A-8161-337116897555}">
    <text>Reajuste 2025.</text>
  </threadedComment>
  <threadedComment ref="K730" dT="2025-02-18T12:08:33.37" personId="{4A37CA97-5B9B-4FE7-9E19-B4BED969D72E}" id="{2970CBC2-293F-4F72-8799-019F84342B31}" parentId="{1CCA8F37-23AA-407A-8161-337116897555}">
    <text>Aguardando de acordo.</text>
  </threadedComment>
  <threadedComment ref="AD730" dT="2025-04-28T18:51:47.24" personId="{4A37CA97-5B9B-4FE7-9E19-B4BED969D72E}" id="{65D63112-B46F-4B50-833C-097602B0F19E}">
    <text>Dia das mães.</text>
  </threadedComment>
  <threadedComment ref="AD730" dT="2025-06-09T19:37:43.73" personId="{7D7E4F64-2BF5-4ABD-8876-30B8E5D43312}" id="{4079800D-C26E-4A30-AA7B-27D927C73E36}" parentId="{65D63112-B46F-4B50-833C-097602B0F19E}">
    <text>Extra dias: 06, 14, 18, 20, 21, 27 e 28/6.</text>
  </threadedComment>
  <threadedComment ref="AD730" dT="2025-06-09T20:04:08.88" personId="{7D7E4F64-2BF5-4ABD-8876-30B8E5D43312}" id="{5D479F1E-E2DB-4752-BA97-E0080301646D}" parentId="{65D63112-B46F-4B50-833C-097602B0F19E}">
    <text>Extra dias: 04, 05, 11 e 26/6</text>
  </threadedComment>
  <threadedComment ref="K731" dT="2025-02-18T12:08:12.23" personId="{4A37CA97-5B9B-4FE7-9E19-B4BED969D72E}" id="{083885FD-A024-4490-B115-847389D66A24}">
    <text>Reajuste 2025.</text>
  </threadedComment>
  <threadedComment ref="K731" dT="2025-02-18T12:08:33.37" personId="{4A37CA97-5B9B-4FE7-9E19-B4BED969D72E}" id="{89AA068C-F3A8-41B5-B890-8DB4A8F12E56}" parentId="{083885FD-A024-4490-B115-847389D66A24}">
    <text>Aguardando de acordo.</text>
  </threadedComment>
  <threadedComment ref="AC731" dT="2025-06-27T16:57:40.60" personId="{4A37CA97-5B9B-4FE7-9E19-B4BED969D72E}" id="{18606141-9DF2-426A-9451-217E027D3F12}">
    <text>05 e 06 de julho</text>
  </threadedComment>
  <threadedComment ref="AD731" dT="2025-06-27T16:57:40.60" personId="{4A37CA97-5B9B-4FE7-9E19-B4BED969D72E}" id="{4D6549D6-D9DC-4116-9AB4-8279FFA95ABD}">
    <text>05 e 06 de julho</text>
  </threadedComment>
  <threadedComment ref="K732" dT="2025-06-16T19:53:20.14" personId="{4A37CA97-5B9B-4FE7-9E19-B4BED969D72E}" id="{C5FF1E4C-4C65-4810-AB62-A094B07D2CF1}">
    <text>Reajuste 2025</text>
  </threadedComment>
  <threadedComment ref="K732" dT="2025-06-16T19:53:35.14" personId="{4A37CA97-5B9B-4FE7-9E19-B4BED969D72E}" id="{9012B366-1EF4-4809-B143-501C578A8AA2}" parentId="{C5FF1E4C-4C65-4810-AB62-A094B07D2CF1}">
    <text>+ Programador</text>
  </threadedComment>
  <threadedComment ref="K733" dT="2025-01-10T19:19:39.92" personId="{4A37CA97-5B9B-4FE7-9E19-B4BED969D72E}" id="{00DFE497-833E-4426-87F2-5E07F81946E7}">
    <text>JLR início em 01/02.</text>
  </threadedComment>
  <threadedComment ref="K733" dT="2025-07-01T20:55:39.99" personId="{4A37CA97-5B9B-4FE7-9E19-B4BED969D72E}" id="{C3C21F08-20AC-432C-8039-7067898BA8FF}" parentId="{00DFE497-833E-4426-87F2-5E07F81946E7}">
    <text>Reajuste 2025</text>
  </threadedComment>
  <threadedComment ref="K734" dT="2024-12-23T13:13:00.40" personId="{4A37CA97-5B9B-4FE7-9E19-B4BED969D72E}" id="{D7C0C96E-3952-43F8-BBB9-4D954C90ADF3}">
    <text>Inclusão de 1 posto de porteiro</text>
  </threadedComment>
  <threadedComment ref="K735" dT="2024-12-23T13:13:00.40" personId="{4A37CA97-5B9B-4FE7-9E19-B4BED969D72E}" id="{F59A3D55-79C3-421B-BA6D-401427D5C415}">
    <text>Inclusão de 1 posto de porteiro</text>
  </threadedComment>
  <threadedComment ref="K736" dT="2024-12-23T13:13:00.40" personId="{4A37CA97-5B9B-4FE7-9E19-B4BED969D72E}" id="{93044ECF-8B1D-4CC5-866C-E0D625C62780}">
    <text>Inclusão de 1 posto de porteiro</text>
  </threadedComment>
  <threadedComment ref="K737" dT="2024-12-23T13:13:00.40" personId="{4A37CA97-5B9B-4FE7-9E19-B4BED969D72E}" id="{F5A7C150-4640-4551-882D-E653BAF8DB73}">
    <text>Inclusão de 1 posto de porteiro</text>
  </threadedComment>
  <threadedComment ref="K738" dT="2024-12-23T13:13:00.40" personId="{4A37CA97-5B9B-4FE7-9E19-B4BED969D72E}" id="{C4CE9EDB-D3E2-4786-A3E6-B7CD0D574C1E}">
    <text>Inclusão de 1 posto de porteiro</text>
  </threadedComment>
  <threadedComment ref="AD738" dT="2025-06-09T19:37:15.27" personId="{7D7E4F64-2BF5-4ABD-8876-30B8E5D43312}" id="{425A79D5-1229-4EB5-AFC7-BC94CD600CDE}">
    <text>Extra dias: 06, 14, 18, 20, 21, 27 e 28/6.</text>
  </threadedComment>
  <threadedComment ref="K739" dT="2024-12-23T13:13:00.40" personId="{4A37CA97-5B9B-4FE7-9E19-B4BED969D72E}" id="{608EEE7A-85AE-4CDA-9D8D-98B6942B08EE}">
    <text>Inclusão de 1 posto de porteiro</text>
  </threadedComment>
  <threadedComment ref="AD739" dT="2025-06-04T12:46:14.83" personId="{4A37CA97-5B9B-4FE7-9E19-B4BED969D72E}" id="{4341C287-0848-4F0D-844D-46D16CBB2C7F}">
    <text>Dia dos namorados</text>
  </threadedComment>
  <threadedComment ref="K740" dT="2025-06-16T19:53:20.14" personId="{4A37CA97-5B9B-4FE7-9E19-B4BED969D72E}" id="{326D5905-66C3-4A23-8D57-6EE3B751BDAD}">
    <text>Reajuste 2025</text>
  </threadedComment>
  <threadedComment ref="K740" dT="2025-06-16T19:53:35.14" personId="{4A37CA97-5B9B-4FE7-9E19-B4BED969D72E}" id="{381AF134-3185-435D-BD70-A9E6170325AF}" parentId="{326D5905-66C3-4A23-8D57-6EE3B751BDAD}">
    <text>+ Programador</text>
  </threadedComment>
  <threadedComment ref="K741" dT="2025-08-05T18:34:57.28" personId="{DB2BE661-D618-44CE-AE20-17C82EAE22B7}" id="{A0A11B6E-4754-44BC-AF85-39C4E8CB5125}">
    <text xml:space="preserve">Reajuste 2025
</text>
  </threadedComment>
  <threadedComment ref="AC741" dT="2025-07-08T21:19:23.19" personId="{4A37CA97-5B9B-4FE7-9E19-B4BED969D72E}" id="{0B3A23A1-1B1C-4BBD-A28E-E4640FA0BEE8}">
    <text>Referente a abril, maio e junho</text>
  </threadedComment>
  <threadedComment ref="AD742" dT="2025-07-04T14:53:13.78" personId="{4A37CA97-5B9B-4FE7-9E19-B4BED969D72E}" id="{C7BD5175-9FF3-4494-AA38-AEC54B2CB9AB}">
    <text>Festa Junina</text>
  </threadedComment>
  <threadedComment ref="AD744" dT="2025-02-26T19:16:20.30" personId="{7D7E4F64-2BF5-4ABD-8876-30B8E5D43312}" id="{8C237B6A-5A84-4F90-B0B7-A4A53FFA9492}">
    <text>Extra Carnaval dias: 01 á 04/03</text>
  </threadedComment>
  <threadedComment ref="K745" dT="2025-01-15T17:22:17.21" personId="{4A37CA97-5B9B-4FE7-9E19-B4BED969D72E}" id="{2995C01E-3989-4A82-8EC0-94804375BC80}">
    <text>1 posto de atendente 6x1</text>
  </threadedComment>
  <threadedComment ref="K747" dT="2025-03-06T15:46:15.90" personId="{4A37CA97-5B9B-4FE7-9E19-B4BED969D72E}" id="{CAAA0C1A-9E6E-4E63-AFDA-164DB9E2F3F2}">
    <text>Reajuste 2025</text>
  </threadedComment>
  <threadedComment ref="AD749" dT="2025-05-06T18:11:23.14" personId="{4A37CA97-5B9B-4FE7-9E19-B4BED969D72E}" id="{D8971182-3A43-437F-9319-B7892D56D972}">
    <text>18, 21 e 23 de abril</text>
  </threadedComment>
  <threadedComment ref="AD751" dT="2025-06-04T14:19:14.99" personId="{4A37CA97-5B9B-4FE7-9E19-B4BED969D72E}" id="{A0F91DDC-C699-47B8-A1C6-F4720BC07C2E}">
    <text>Dia dos namorados</text>
  </threadedComment>
  <threadedComment ref="K757" dT="2025-06-16T19:53:20.14" personId="{4A37CA97-5B9B-4FE7-9E19-B4BED969D72E}" id="{B277E68C-13B1-4E4A-99B0-A37478E2360C}">
    <text>Reajuste 2025</text>
  </threadedComment>
  <threadedComment ref="K757" dT="2025-06-16T19:53:35.14" personId="{4A37CA97-5B9B-4FE7-9E19-B4BED969D72E}" id="{9FA0DC1C-432B-4010-8BFE-DE3510C666C0}" parentId="{B277E68C-13B1-4E4A-99B0-A37478E2360C}">
    <text>+ Programador</text>
  </threadedComment>
  <threadedComment ref="K758" dT="2025-06-16T19:53:20.14" personId="{4A37CA97-5B9B-4FE7-9E19-B4BED969D72E}" id="{AB8F2F7E-8BC2-406C-BDE2-518D021CFE3F}">
    <text>Reajuste 2025</text>
  </threadedComment>
  <threadedComment ref="K758" dT="2025-06-16T19:53:35.14" personId="{4A37CA97-5B9B-4FE7-9E19-B4BED969D72E}" id="{43BD8763-0821-4234-A5E7-1540C3F8EF35}" parentId="{AB8F2F7E-8BC2-406C-BDE2-518D021CFE3F}">
    <text>+ Programador</text>
  </threadedComment>
  <threadedComment ref="K759" dT="2025-06-16T19:53:20.14" personId="{4A37CA97-5B9B-4FE7-9E19-B4BED969D72E}" id="{B8B5FCE5-8E16-485F-AC1F-416C94594BE0}">
    <text>Reajuste 2025</text>
  </threadedComment>
  <threadedComment ref="K759" dT="2025-06-16T19:53:35.14" personId="{4A37CA97-5B9B-4FE7-9E19-B4BED969D72E}" id="{9E7343B2-2582-4812-B311-5704C44F19A0}" parentId="{B8B5FCE5-8E16-485F-AC1F-416C94594BE0}">
    <text>+ Programador</text>
  </threadedComment>
  <threadedComment ref="K760" dT="2025-06-16T20:06:56.25" personId="{4A37CA97-5B9B-4FE7-9E19-B4BED969D72E}" id="{BC056B5C-3412-47B0-8DDD-7BAEA46AB758}">
    <text>Reajuste 2025</text>
  </threadedComment>
  <threadedComment ref="K761" dT="2025-06-16T20:06:56.25" personId="{4A37CA97-5B9B-4FE7-9E19-B4BED969D72E}" id="{74ED8D92-E67B-4D56-B9F6-A988D58EB436}">
    <text>Reajuste 2025</text>
  </threadedComment>
  <threadedComment ref="K762" dT="2025-06-16T20:06:56.25" personId="{4A37CA97-5B9B-4FE7-9E19-B4BED969D72E}" id="{2975AB63-95C1-480F-AB4C-BBCCFE698C4C}">
    <text>Reajuste 2025</text>
  </threadedComment>
  <threadedComment ref="K763" dT="2025-07-25T13:17:07.12" personId="{4A37CA97-5B9B-4FE7-9E19-B4BED969D72E}" id="{BC20406B-FE2C-43D2-8153-F216C80F2BDC}">
    <text>Reajuste 2025</text>
  </threadedComment>
  <threadedComment ref="K764" dT="2025-07-25T13:17:07.12" personId="{4A37CA97-5B9B-4FE7-9E19-B4BED969D72E}" id="{4C5FF15F-211B-497E-8FDE-81528B6E37A0}">
    <text>Reajuste 2025</text>
  </threadedComment>
  <threadedComment ref="K765" dT="2025-07-25T13:17:07.12" personId="{4A37CA97-5B9B-4FE7-9E19-B4BED969D72E}" id="{7B7BE963-F0D6-4D24-B0A1-15A7E5166029}">
    <text>Reajuste 2025</text>
  </threadedComment>
  <threadedComment ref="K766" dT="2025-08-05T18:34:57.28" personId="{DB2BE661-D618-44CE-AE20-17C82EAE22B7}" id="{28DE24FA-F5A8-41DD-9FBB-A250321DBD45}">
    <text xml:space="preserve">Reajuste 2025
</text>
  </threadedComment>
  <threadedComment ref="K767" dT="2025-08-05T18:34:57.28" personId="{DB2BE661-D618-44CE-AE20-17C82EAE22B7}" id="{3F8D9910-5D2D-4D89-89CC-7FA9413BA221}">
    <text xml:space="preserve">Reajuste 2025
</text>
  </threadedComment>
  <threadedComment ref="K768" dT="2025-08-05T18:34:57.28" personId="{DB2BE661-D618-44CE-AE20-17C82EAE22B7}" id="{74F48475-A52D-4926-AFE1-BD28742BC124}">
    <text xml:space="preserve">Reajuste 2025
</text>
  </threadedComment>
  <threadedComment ref="K772" dT="2025-02-18T12:08:12.23" personId="{4A37CA97-5B9B-4FE7-9E19-B4BED969D72E}" id="{A45FE303-23D0-4687-94F4-8C481B3F29DF}">
    <text>Reajuste 2025.</text>
  </threadedComment>
  <threadedComment ref="K772" dT="2025-02-18T12:08:33.37" personId="{4A37CA97-5B9B-4FE7-9E19-B4BED969D72E}" id="{9D45F65C-E512-4E80-923E-7EB7207787B4}" parentId="{A45FE303-23D0-4687-94F4-8C481B3F29DF}">
    <text>Aguardando de acordo.</text>
  </threadedComment>
  <threadedComment ref="K773" dT="2025-02-18T12:08:12.23" personId="{4A37CA97-5B9B-4FE7-9E19-B4BED969D72E}" id="{1BEEB9A5-A555-4F3B-9543-51B86F909DDB}">
    <text>Reajuste 2025.</text>
  </threadedComment>
  <threadedComment ref="K773" dT="2025-02-18T12:08:33.37" personId="{4A37CA97-5B9B-4FE7-9E19-B4BED969D72E}" id="{E2745A71-0107-4359-B426-92BA4BB2E75E}" parentId="{1BEEB9A5-A555-4F3B-9543-51B86F909DDB}">
    <text>Aguardando de acordo.</text>
  </threadedComment>
  <threadedComment ref="K774" dT="2025-02-18T12:08:12.23" personId="{4A37CA97-5B9B-4FE7-9E19-B4BED969D72E}" id="{091E17DE-5FF5-4674-925C-4F6BAE8DD910}">
    <text>Reajuste 2025.</text>
  </threadedComment>
  <threadedComment ref="K774" dT="2025-02-18T12:08:33.37" personId="{4A37CA97-5B9B-4FE7-9E19-B4BED969D72E}" id="{87460F6A-3B21-4D3D-A995-EEC2E1CEA5F7}" parentId="{091E17DE-5FF5-4674-925C-4F6BAE8DD910}">
    <text>Aguardando de acordo.</text>
  </threadedComment>
  <threadedComment ref="K793" dT="2025-01-15T17:22:17.21" personId="{4A37CA97-5B9B-4FE7-9E19-B4BED969D72E}" id="{FD09DA73-A1CF-4CDE-8CCD-2B8AE55CD653}">
    <text>1 posto de atendente 6x1</text>
  </threadedComment>
  <threadedComment ref="K794" dT="2025-01-15T17:22:17.21" personId="{4A37CA97-5B9B-4FE7-9E19-B4BED969D72E}" id="{C7C04BC1-2640-4121-ACA6-16D66EC3BEFF}">
    <text>1 posto de atendente 6x1</text>
  </threadedComment>
  <threadedComment ref="K795" dT="2025-01-15T17:22:17.21" personId="{4A37CA97-5B9B-4FE7-9E19-B4BED969D72E}" id="{084EFD57-2543-4BF5-8F03-3A6F852D7D56}">
    <text>1 posto de atendente 6x1</text>
  </threadedComment>
  <threadedComment ref="K796" dT="2025-01-15T17:22:17.21" personId="{4A37CA97-5B9B-4FE7-9E19-B4BED969D72E}" id="{15DA1A53-ED0D-4033-8EA3-D73326A3538D}">
    <text>1 posto de atendente 6x1</text>
  </threadedComment>
  <threadedComment ref="K797" dT="2025-01-15T17:22:17.21" personId="{4A37CA97-5B9B-4FE7-9E19-B4BED969D72E}" id="{2C21E4D9-166E-41D0-807E-DA67CB9E0B27}">
    <text>1 posto de atendente 6x1</text>
  </threadedComment>
  <threadedComment ref="K798" dT="2025-01-15T17:22:17.21" personId="{4A37CA97-5B9B-4FE7-9E19-B4BED969D72E}" id="{BCAC99CE-750E-4AA4-8B8F-9E7710039DDE}">
    <text>1 posto de atendente 6x1</text>
  </threadedComment>
  <threadedComment ref="K800" dT="2025-07-25T18:28:38.08" personId="{4A37CA97-5B9B-4FE7-9E19-B4BED969D72E}" id="{630B31E4-A8BB-44F5-A5FD-F7132A64F702}">
    <text>Reajuste 2025</text>
  </threadedComment>
  <threadedComment ref="K800" dT="2025-07-25T18:28:44.80" personId="{4A37CA97-5B9B-4FE7-9E19-B4BED969D72E}" id="{60F9A3D0-4987-4E8C-AC5A-D48B1C6130B5}" parentId="{630B31E4-A8BB-44F5-A5FD-F7132A64F702}">
    <text>Aguardando de acordo</text>
  </threadedComment>
  <threadedComment ref="C805" dT="2025-06-04T11:41:16.31" personId="{4A37CA97-5B9B-4FE7-9E19-B4BED969D72E}" id="{1CC62B28-E1DC-4D01-A0C4-BB4B4D88C4D3}">
    <text>Enviou somente a NF em 04/06.</text>
  </threadedComment>
  <threadedComment ref="K807" dT="2025-02-18T13:04:56.80" personId="{4A37CA97-5B9B-4FE7-9E19-B4BED969D72E}" id="{23DBFBB4-03E1-4BA8-9C3E-1AF793E135AE}">
    <text>Valor 2024/2025.</text>
  </threadedComment>
  <threadedComment ref="K808" dT="2025-07-25T18:28:38.08" personId="{4A37CA97-5B9B-4FE7-9E19-B4BED969D72E}" id="{B90F327F-F5BE-4903-9C32-1606C122B87F}">
    <text>Reajuste 2025</text>
  </threadedComment>
  <threadedComment ref="K808" dT="2025-07-25T18:28:44.80" personId="{4A37CA97-5B9B-4FE7-9E19-B4BED969D72E}" id="{4B61405C-3120-475B-BC9A-3617436F7EA1}" parentId="{B90F327F-F5BE-4903-9C32-1606C122B87F}">
    <text>Aguardando de acordo</text>
  </threadedComment>
  <threadedComment ref="K809" dT="2025-02-18T13:05:03.95" personId="{4A37CA97-5B9B-4FE7-9E19-B4BED969D72E}" id="{633B0275-4C3F-4B08-9D7E-C82A921A39B8}">
    <text>Valor 2024.</text>
  </threadedComment>
  <threadedComment ref="K810" dT="2025-02-18T13:04:56.80" personId="{4A37CA97-5B9B-4FE7-9E19-B4BED969D72E}" id="{02114F7B-5ACF-4E94-A4EF-CB77D6ECF452}">
    <text>Valor 2024/2025.</text>
  </threadedComment>
  <threadedComment ref="K811" dT="2025-02-18T13:04:56.80" personId="{4A37CA97-5B9B-4FE7-9E19-B4BED969D72E}" id="{FFCE4DDF-21FC-4584-B296-7707A7736990}">
    <text>Valor 2024/2025.</text>
  </threadedComment>
  <threadedComment ref="K812" dT="2025-02-18T13:04:56.80" personId="{4A37CA97-5B9B-4FE7-9E19-B4BED969D72E}" id="{39D26DEF-C4D1-48EF-96D7-D41F634EC73F}">
    <text>Valor 2024/2025.</text>
  </threadedComment>
  <threadedComment ref="K813" dT="2025-02-18T13:04:56.80" personId="{4A37CA97-5B9B-4FE7-9E19-B4BED969D72E}" id="{F5127CCE-0C60-4240-A010-0AD4F853DB4C}">
    <text>Valor 2024/2025.</text>
  </threadedComment>
  <threadedComment ref="K814" dT="2025-02-18T13:04:56.80" personId="{4A37CA97-5B9B-4FE7-9E19-B4BED969D72E}" id="{CF849DF1-C8AF-469D-A277-00414BE2F940}">
    <text>Valor 2024/2025.</text>
  </threadedComment>
  <threadedComment ref="K815" dT="2025-01-03T20:53:43.53" personId="{EB91B0C7-DDCB-42F0-85BF-3B37A849CD63}" id="{B670772F-03BF-4AAF-B986-B7B49224D2B8}">
    <text>Valor com 2 atendentes adicionais a partir de 01/01</text>
  </threadedComment>
  <threadedComment ref="K815" dT="2025-07-09T17:16:05.84" personId="{4A37CA97-5B9B-4FE7-9E19-B4BED969D72E}" id="{39E384F0-065A-400F-9177-C5586BDA5339}" parentId="{B670772F-03BF-4AAF-B986-B7B49224D2B8}">
    <text>Ajuste de horários</text>
  </threadedComment>
  <threadedComment ref="K816" dT="2025-01-03T20:53:43.53" personId="{EB91B0C7-DDCB-42F0-85BF-3B37A849CD63}" id="{9828EBE1-4A23-4028-875B-12C383A2057E}">
    <text>Valor com 2 atendentes adicionais a partir de 01/01</text>
  </threadedComment>
  <threadedComment ref="K817" dT="2025-01-03T20:53:43.53" personId="{EB91B0C7-DDCB-42F0-85BF-3B37A849CD63}" id="{269B3C9B-81EF-4C76-88AA-6CEE41503ACF}">
    <text>Valor com 2 atendentes adicionais a partir de 01/01</text>
  </threadedComment>
  <threadedComment ref="K818" dT="2025-01-03T20:53:43.53" personId="{EB91B0C7-DDCB-42F0-85BF-3B37A849CD63}" id="{C06FA38C-3794-4F86-BC3B-C9A9A5774234}">
    <text>Valor com 2 atendentes adicionais a partir de 01/01</text>
  </threadedComment>
  <threadedComment ref="K819" dT="2025-01-03T20:53:43.53" personId="{EB91B0C7-DDCB-42F0-85BF-3B37A849CD63}" id="{91100127-7B5B-4C0C-BC6C-CA40174DE0A9}">
    <text>Valor com 2 atendentes adicionais a partir de 01/01</text>
  </threadedComment>
  <threadedComment ref="K820" dT="2025-01-03T20:53:43.53" personId="{EB91B0C7-DDCB-42F0-85BF-3B37A849CD63}" id="{9CDA4BE1-12E3-4788-9E79-17FA9E627F5C}">
    <text>Valor com 2 atendentes adicionais a partir de 01/01</text>
  </threadedComment>
  <threadedComment ref="K821" dT="2025-01-03T20:53:43.53" personId="{EB91B0C7-DDCB-42F0-85BF-3B37A849CD63}" id="{44DA6EF1-397C-4522-A042-F8C1FA5D5C73}">
    <text>Valor com 2 atendentes adicionais a partir de 01/01</text>
  </threadedComment>
  <threadedComment ref="K821" dT="2025-07-09T17:16:05.84" personId="{4A37CA97-5B9B-4FE7-9E19-B4BED969D72E}" id="{A51A0397-29B0-441B-9B75-346F1114226A}" parentId="{44DA6EF1-397C-4522-A042-F8C1FA5D5C73}">
    <text>Ajuste de horários</text>
  </threadedComment>
  <threadedComment ref="K822" dT="2024-09-24T11:40:56.87" personId="{4A37CA97-5B9B-4FE7-9E19-B4BED969D72E}" id="{32AF6801-1EB7-405E-A7D1-C50E591CE3BD}">
    <text xml:space="preserve">Reajuste 2024 c/ folgas.
</text>
  </threadedComment>
  <threadedComment ref="K823" dT="2025-07-25T18:28:38.08" personId="{4A37CA97-5B9B-4FE7-9E19-B4BED969D72E}" id="{B0DAAF17-73DE-46DC-8F4F-4A25D9D18D63}">
    <text>Reajuste 2025</text>
  </threadedComment>
  <threadedComment ref="K823" dT="2025-07-25T18:28:44.80" personId="{4A37CA97-5B9B-4FE7-9E19-B4BED969D72E}" id="{AC359E3F-7610-42E8-B1D7-C89998D5E4B3}" parentId="{B0DAAF17-73DE-46DC-8F4F-4A25D9D18D63}">
    <text>Aguardando de acordo</text>
  </threadedComment>
  <threadedComment ref="K825" dT="2024-09-24T11:40:56.87" personId="{4A37CA97-5B9B-4FE7-9E19-B4BED969D72E}" id="{13DCB24F-EE8A-4E7C-A191-944605233141}">
    <text xml:space="preserve">Reajuste 2024 c/ folgas.
</text>
  </threadedComment>
  <threadedComment ref="K826" dT="2024-09-24T11:40:56.87" personId="{4A37CA97-5B9B-4FE7-9E19-B4BED969D72E}" id="{09FF4997-5C6A-48EA-94F3-E6CA34BAF6CB}">
    <text xml:space="preserve">Reajuste 2024 c/ folgas.
</text>
  </threadedComment>
  <threadedComment ref="K827" dT="2024-09-24T11:40:56.87" personId="{4A37CA97-5B9B-4FE7-9E19-B4BED969D72E}" id="{F1897CDD-4A4E-477A-A0FB-12F0ED85CE46}">
    <text xml:space="preserve">Reajuste 2024 c/ folgas.
</text>
  </threadedComment>
  <threadedComment ref="K828" dT="2024-09-24T11:40:56.87" personId="{4A37CA97-5B9B-4FE7-9E19-B4BED969D72E}" id="{9DBD6CB0-2D4F-4BDB-A0FF-F83D4933B3A1}">
    <text xml:space="preserve">Reajuste 2024 c/ folgas.
</text>
  </threadedComment>
  <threadedComment ref="K829" dT="2024-09-24T11:40:56.87" personId="{4A37CA97-5B9B-4FE7-9E19-B4BED969D72E}" id="{BE299464-0FAD-4533-B56D-38C85FC0399B}">
    <text xml:space="preserve">Reajuste 2024 c/ folgas.
</text>
  </threadedComment>
  <threadedComment ref="K830" dT="2024-09-24T11:40:56.87" personId="{4A37CA97-5B9B-4FE7-9E19-B4BED969D72E}" id="{EF1B89B5-11AC-4C32-8103-EF438418347C}">
    <text xml:space="preserve">Reajuste 2024 c/ folgas.
</text>
  </threadedComment>
  <threadedComment ref="K833" dT="2025-01-28T20:48:30.37" personId="{4A37CA97-5B9B-4FE7-9E19-B4BED969D72E}" id="{199E5C25-89F0-4CEE-B048-B0EF0F3238F3}">
    <text>Inclusão de 1 posto 12x36 em 01/02/2025.</text>
  </threadedComment>
  <threadedComment ref="K834" dT="2025-01-28T20:48:30.37" personId="{4A37CA97-5B9B-4FE7-9E19-B4BED969D72E}" id="{97DF1F04-41FE-4372-B429-490E8399322E}">
    <text>Inclusão de 1 posto 12x36 em 01/02/2025.</text>
  </threadedComment>
  <threadedComment ref="K835" dT="2025-01-28T20:48:30.37" personId="{4A37CA97-5B9B-4FE7-9E19-B4BED969D72E}" id="{2D91F650-2694-46A3-B170-A87032DF8DCF}">
    <text>Inclusão de 1 posto 12x36 em 01/02/2025.</text>
  </threadedComment>
  <threadedComment ref="K836" dT="2025-07-07T20:28:26.22" personId="{4A37CA97-5B9B-4FE7-9E19-B4BED969D72E}" id="{2E18E56E-DC7A-4AD7-A3FD-7D50DCB810CF}">
    <text>Reajuste 2025</text>
  </threadedComment>
  <threadedComment ref="K838" dT="2025-06-04T11:29:45.81" personId="{4A37CA97-5B9B-4FE7-9E19-B4BED969D72E}" id="{309575CA-C5CE-46DA-A66D-3F0F7F4A878D}">
    <text>Reajuste 2025</text>
  </threadedComment>
  <threadedComment ref="AC838" dT="2025-06-04T11:38:46.57" personId="{4A37CA97-5B9B-4FE7-9E19-B4BED969D72E}" id="{53A3C705-99A4-40C7-954F-091244DC0D3C}">
    <text>Referente a março e abril</text>
  </threadedComment>
  <threadedComment ref="K839" dT="2025-06-04T11:29:45.81" personId="{4A37CA97-5B9B-4FE7-9E19-B4BED969D72E}" id="{8756C4B1-EEC5-452D-8F88-21D804DFC4A7}">
    <text>Reajuste 2025</text>
  </threadedComment>
  <threadedComment ref="K846" dT="2025-01-29T14:49:44.80" personId="{4A37CA97-5B9B-4FE7-9E19-B4BED969D72E}" id="{8EDCB041-41CF-44E3-A242-1C6AA9032342}">
    <text>Reajuste 2025.</text>
  </threadedComment>
  <threadedComment ref="K847" dT="2025-01-29T14:49:44.80" personId="{4A37CA97-5B9B-4FE7-9E19-B4BED969D72E}" id="{01773C38-3B27-4249-984B-9BAEA04CABD0}">
    <text>Reajuste 2025.</text>
  </threadedComment>
  <threadedComment ref="K848" dT="2025-01-29T14:49:44.80" personId="{4A37CA97-5B9B-4FE7-9E19-B4BED969D72E}" id="{8904920D-D7A4-4416-9CD6-A853A43724CC}">
    <text>Reajuste 2025.</text>
  </threadedComment>
  <threadedComment ref="K849" dT="2025-07-07T20:28:26.22" personId="{4A37CA97-5B9B-4FE7-9E19-B4BED969D72E}" id="{B26CA363-4A41-4AD6-928B-7C31C5311F40}">
    <text>Reajuste 2025</text>
  </threadedComment>
  <threadedComment ref="K850" dT="2025-05-05T14:40:20.33" personId="{4A37CA97-5B9B-4FE7-9E19-B4BED969D72E}" id="{466F803F-03F5-4522-AD62-5A82FCC6EF5F}">
    <text>Reajuste 2025</text>
  </threadedComment>
  <threadedComment ref="K850" dT="2025-07-07T21:50:25.52" personId="{4A37CA97-5B9B-4FE7-9E19-B4BED969D72E}" id="{3B9D3AC5-83F0-4B05-9F23-4E3B6EE8447D}" parentId="{466F803F-03F5-4522-AD62-5A82FCC6EF5F}">
    <text>Inclusão de 1 posto 12x36 no estacionamento.</text>
  </threadedComment>
  <threadedComment ref="K856" dT="2025-05-05T14:40:20.33" personId="{4A37CA97-5B9B-4FE7-9E19-B4BED969D72E}" id="{2FD3A027-9B0A-4F2B-B588-CE3ED3941C2B}">
    <text>Reajuste 2025</text>
  </threadedComment>
  <threadedComment ref="K856" dT="2025-07-07T21:50:25.52" personId="{4A37CA97-5B9B-4FE7-9E19-B4BED969D72E}" id="{89D99297-00B1-46FD-8A6A-DE0F657B0373}" parentId="{2FD3A027-9B0A-4F2B-B588-CE3ED3941C2B}">
    <text>Inclusão de 1 posto 12x36 no estacionamento.</text>
  </threadedComment>
  <threadedComment ref="K857" dT="2025-05-08T15:12:17.81" personId="{4A37CA97-5B9B-4FE7-9E19-B4BED969D72E}" id="{E81E99ED-A25F-47CF-ADA5-8344046760C8}">
    <text>Reajuste 2025.</text>
  </threadedComment>
  <threadedComment ref="K858" dT="2025-01-15T17:22:17.21" personId="{4A37CA97-5B9B-4FE7-9E19-B4BED969D72E}" id="{3C8BC8F0-F76F-4BC5-9B76-6641CF6E5FA5}">
    <text>1 posto de atendente 6x1</text>
  </threadedComment>
  <threadedComment ref="K859" dT="2025-01-15T17:22:17.21" personId="{4A37CA97-5B9B-4FE7-9E19-B4BED969D72E}" id="{550A6E81-67FA-4DA9-A2CA-8130DB76FEB7}">
    <text>1 posto de atendente 6x1</text>
  </threadedComment>
  <threadedComment ref="K860" dT="2025-05-05T14:40:20.33" personId="{4A37CA97-5B9B-4FE7-9E19-B4BED969D72E}" id="{2AEE21F2-626C-4063-A5E4-0653DA95AA78}">
    <text>Inclusão de 1 posto 12x36 no estacionamento.</text>
  </threadedComment>
  <threadedComment ref="K860" dT="2025-05-08T15:18:06.69" personId="{4A37CA97-5B9B-4FE7-9E19-B4BED969D72E}" id="{9F2D4E49-1B5E-4628-9D9D-AF5C3D6F5A45}" parentId="{2AEE21F2-626C-4063-A5E4-0653DA95AA78}">
    <text>Pró rata da inclusão de posto a partir de 21/04.</text>
  </threadedComment>
  <threadedComment ref="K861" dT="2025-05-08T15:12:17.81" personId="{4A37CA97-5B9B-4FE7-9E19-B4BED969D72E}" id="{91BFCE1C-9B8D-43B9-A645-C895775FE49F}">
    <text>Reajuste 2025.</text>
  </threadedComment>
  <threadedComment ref="K862" dT="2025-05-08T15:12:17.81" personId="{4A37CA97-5B9B-4FE7-9E19-B4BED969D72E}" id="{1389FED7-7F19-4256-816F-AA5B85D2D1F1}">
    <text>Reajuste 2025.</text>
  </threadedComment>
  <threadedComment ref="K863" dT="2025-06-04T11:24:39.10" personId="{4A37CA97-5B9B-4FE7-9E19-B4BED969D72E}" id="{183D687E-086D-4462-99E2-C8FA488DCFDA}">
    <text>Reajuste 2025</text>
  </threadedComment>
  <threadedComment ref="K864" dT="2025-01-15T17:22:17.21" personId="{4A37CA97-5B9B-4FE7-9E19-B4BED969D72E}" id="{992D0A42-211F-49B6-AD66-D425A13DA632}">
    <text>1 posto de atendente 6x1</text>
  </threadedComment>
  <threadedComment ref="K866" dT="2025-01-28T20:48:30.37" personId="{4A37CA97-5B9B-4FE7-9E19-B4BED969D72E}" id="{DCF1C9C1-3D9D-4221-BF98-1A74BF6EA0CF}">
    <text>Inclusão de 1 posto 12x36 em 01/02/2025.</text>
  </threadedComment>
  <threadedComment ref="K867" dT="2025-02-11T12:15:55.25" personId="{4A37CA97-5B9B-4FE7-9E19-B4BED969D72E}" id="{BA757D1C-1592-4417-B87F-7D7F810C80D4}">
    <text>Inclusão de 1 posto 12x36 + I40 para os banheiristas.</text>
  </threadedComment>
  <threadedComment ref="K867" dT="2025-02-12T17:52:57.81" personId="{4A37CA97-5B9B-4FE7-9E19-B4BED969D72E}" id="{EBFF7419-4B91-434D-B4E3-B074496E86C0}" parentId="{BA757D1C-1592-4417-B87F-7D7F810C80D4}">
    <text xml:space="preserve">+ Inclusão de 1 posto banheirista 12x36.
</text>
  </threadedComment>
  <threadedComment ref="K868" dT="2025-02-11T12:15:55.25" personId="{4A37CA97-5B9B-4FE7-9E19-B4BED969D72E}" id="{E1CFE260-B20A-4CDA-A3AF-CDB854EE3B94}">
    <text>Inclusão de 1 posto 12x36 + I40 para os banheiristas.</text>
  </threadedComment>
  <threadedComment ref="K868" dT="2025-02-12T17:52:57.81" personId="{4A37CA97-5B9B-4FE7-9E19-B4BED969D72E}" id="{AD1A531D-3E36-4B59-93D1-E39955E9E29C}" parentId="{E1CFE260-B20A-4CDA-A3AF-CDB854EE3B94}">
    <text xml:space="preserve">+ Inclusão de 1 posto banheirista 12x36.
</text>
  </threadedComment>
  <threadedComment ref="K869" dT="2025-02-11T12:15:55.25" personId="{4A37CA97-5B9B-4FE7-9E19-B4BED969D72E}" id="{4651FC77-6085-441A-A4B1-7FF50A64426F}">
    <text>Inclusão de 1 posto 12x36 + I40 para os banheiristas.</text>
  </threadedComment>
  <threadedComment ref="K869" dT="2025-02-12T17:52:57.81" personId="{4A37CA97-5B9B-4FE7-9E19-B4BED969D72E}" id="{64336C1A-3B9B-4203-A9E8-ED789238431E}" parentId="{4651FC77-6085-441A-A4B1-7FF50A64426F}">
    <text xml:space="preserve">+ Inclusão de 1 posto banheirista 12x36.
</text>
  </threadedComment>
  <threadedComment ref="K870" dT="2025-06-04T11:24:39.10" personId="{4A37CA97-5B9B-4FE7-9E19-B4BED969D72E}" id="{2E037471-6847-4EE0-8D89-F12A85C47A11}">
    <text>Reajuste 2025</text>
  </threadedComment>
  <threadedComment ref="AC870" dT="2025-06-04T11:38:36.32" personId="{4A37CA97-5B9B-4FE7-9E19-B4BED969D72E}" id="{29A98399-F007-4BD3-94FE-678A54323383}">
    <text>Referente a março e abril</text>
  </threadedComment>
  <threadedComment ref="AC870" dT="2025-06-04T11:45:14.32" personId="{4A37CA97-5B9B-4FE7-9E19-B4BED969D72E}" id="{F0482F61-D670-439F-A13A-77A4E1F92D2D}" parentId="{29A98399-F007-4BD3-94FE-678A54323383}">
    <text>Enviado no e-mail: "Faturamento Limpeza e Jardinagem - Maio 25"</text>
  </threadedComment>
  <threadedComment ref="K871" dT="2025-06-04T11:24:39.10" personId="{4A37CA97-5B9B-4FE7-9E19-B4BED969D72E}" id="{A3006886-99AA-4E8D-B741-9D4C8739B3F6}">
    <text>Reajuste 2025</text>
  </threadedComment>
  <threadedComment ref="K872" dT="2025-03-12T17:57:05.40" personId="{4A37CA97-5B9B-4FE7-9E19-B4BED969D72E}" id="{A5332C1E-9378-4CFA-8845-94EBB9FE2DD8}">
    <text>Reajuste 2025: R$ 365.397,21.</text>
  </threadedComment>
  <threadedComment ref="K872" dT="2025-03-12T17:57:15.87" personId="{4A37CA97-5B9B-4FE7-9E19-B4BED969D72E}" id="{C205552A-3AE5-4D7A-8C0C-8631BC4790A9}" parentId="{A5332C1E-9378-4CFA-8845-94EBB9FE2DD8}">
    <text xml:space="preserve">+ Alteração de escopo para 64HC:  R$ 382.212,88 </text>
  </threadedComment>
  <threadedComment ref="R872" dT="2025-08-12T18:14:18.25" personId="{4A37CA97-5B9B-4FE7-9E19-B4BED969D72E}" id="{6F24F2C0-6228-4A1E-B90F-61AA91E96242}">
    <text>Brava e Eureka</text>
  </threadedComment>
  <threadedComment ref="K875" dT="2025-06-04T11:24:39.10" personId="{4A37CA97-5B9B-4FE7-9E19-B4BED969D72E}" id="{8F33A07F-F0F4-4069-8EF2-C82A4DDE8D82}">
    <text>Reajuste 2025</text>
  </threadedComment>
  <threadedComment ref="K876" dT="2025-08-21T17:58:13.81" personId="{4A37CA97-5B9B-4FE7-9E19-B4BED969D72E}" id="{D4780FA2-18D5-43BA-8B66-013B78C0623A}">
    <text>Inclusão 1 posto 12x36 na praça de alimentação.</text>
  </threadedComment>
  <threadedComment ref="K876" dT="2025-08-21T17:58:39.15" personId="{4A37CA97-5B9B-4FE7-9E19-B4BED969D72E}" id="{0A1FE3B9-B3CB-49EF-A000-F8ADEEC45106}" parentId="{D4780FA2-18D5-43BA-8B66-013B78C0623A}">
    <text>Início em 01/09</text>
  </threadedComment>
  <threadedComment ref="K877" dT="2025-08-21T17:58:13.81" personId="{4A37CA97-5B9B-4FE7-9E19-B4BED969D72E}" id="{6E50EA0F-A217-416C-A4D4-4D22510D6CD1}">
    <text>Inclusão 1 posto 12x36 na praça de alimentação.</text>
  </threadedComment>
  <threadedComment ref="K877" dT="2025-08-21T17:58:39.15" personId="{4A37CA97-5B9B-4FE7-9E19-B4BED969D72E}" id="{E61C9B61-15CE-4A7E-BAB2-FB6DFB1C9F03}" parentId="{6E50EA0F-A217-416C-A4D4-4D22510D6CD1}">
    <text>Início em 01/09</text>
  </threadedComment>
  <threadedComment ref="K878" dT="2025-07-07T20:28:26.22" personId="{4A37CA97-5B9B-4FE7-9E19-B4BED969D72E}" id="{48B5E112-5492-4CCB-8FC4-10AF307F86F7}">
    <text>Reajuste 2025</text>
  </threadedComment>
  <threadedComment ref="K879" dT="2025-07-07T20:28:26.22" personId="{4A37CA97-5B9B-4FE7-9E19-B4BED969D72E}" id="{8A27A1E3-FF94-4BE8-B8CB-49B85EF88124}">
    <text>Reajuste 2025</text>
  </threadedComment>
  <threadedComment ref="K881" dT="2025-02-18T13:04:56.80" personId="{4A37CA97-5B9B-4FE7-9E19-B4BED969D72E}" id="{A038A422-90A3-4A2D-88B8-568D355A64C8}">
    <text>Valor 2024/2025.</text>
  </threadedComment>
  <threadedComment ref="K882" dT="2025-02-18T13:04:56.80" personId="{4A37CA97-5B9B-4FE7-9E19-B4BED969D72E}" id="{F8133017-03F1-4CBB-8C85-71037DB07298}">
    <text>Valor 2024/2025.</text>
  </threadedComment>
  <threadedComment ref="K883" dT="2025-02-18T13:04:56.80" personId="{4A37CA97-5B9B-4FE7-9E19-B4BED969D72E}" id="{F33A455A-957F-469E-B2F6-0BC12E986660}">
    <text>Valor 2024/2025.</text>
  </threadedComment>
  <threadedComment ref="K884" dT="2025-05-08T15:12:17.81" personId="{4A37CA97-5B9B-4FE7-9E19-B4BED969D72E}" id="{B86AC527-63C7-42D7-BC3B-2BBC2A10B2E0}">
    <text>Reajuste 2025.</text>
  </threadedComment>
  <threadedComment ref="K885" dT="2025-05-08T15:12:17.81" personId="{4A37CA97-5B9B-4FE7-9E19-B4BED969D72E}" id="{42B3AEB1-F1B7-4C80-BB78-D1239C35DC6E}">
    <text>Reajuste 2025.</text>
  </threadedComment>
  <threadedComment ref="K886" dT="2025-05-08T15:12:17.81" personId="{4A37CA97-5B9B-4FE7-9E19-B4BED969D72E}" id="{C499F6B3-E4ED-4A99-A22A-88F89CAAAFFC}">
    <text>Reajuste 2025.</text>
  </threadedComment>
  <threadedComment ref="K888" dT="2025-06-04T11:29:45.81" personId="{4A37CA97-5B9B-4FE7-9E19-B4BED969D72E}" id="{E97538B3-83F5-418E-8885-2B012543FBD1}">
    <text>Reajuste 2025</text>
  </threadedComment>
  <threadedComment ref="K889" dT="2025-06-04T11:29:45.81" personId="{4A37CA97-5B9B-4FE7-9E19-B4BED969D72E}" id="{85A30496-F75B-4786-917A-368FE65C6497}">
    <text>Reajuste 2025</text>
  </threadedComment>
  <threadedComment ref="K890" dT="2025-05-05T14:40:20.33" personId="{4A37CA97-5B9B-4FE7-9E19-B4BED969D72E}" id="{E6F4D7ED-8C80-41BF-93E1-201D0B628D33}">
    <text>Reajuste 2025</text>
  </threadedComment>
  <threadedComment ref="K890" dT="2025-07-07T21:50:25.52" personId="{4A37CA97-5B9B-4FE7-9E19-B4BED969D72E}" id="{BA798159-1847-42AF-A7E9-FEB75D2DEE59}" parentId="{E6F4D7ED-8C80-41BF-93E1-201D0B628D33}">
    <text>Inclusão de 1 posto 12x36 no estacionamento.</text>
  </threadedComment>
  <threadedComment ref="K891" dT="2025-05-05T14:40:20.33" personId="{4A37CA97-5B9B-4FE7-9E19-B4BED969D72E}" id="{2DD7DCF0-A18C-4855-ADD5-30B5009BF565}">
    <text>Reajuste 2025</text>
  </threadedComment>
  <threadedComment ref="K891" dT="2025-07-07T21:50:25.52" personId="{4A37CA97-5B9B-4FE7-9E19-B4BED969D72E}" id="{B461DC4D-D8C9-4FAC-A3AF-073CC2C733D6}" parentId="{2DD7DCF0-A18C-4855-ADD5-30B5009BF565}">
    <text>Inclusão de 1 posto 12x36 no estacionamento.</text>
  </threadedComment>
  <threadedComment ref="K892" dT="2025-05-05T14:40:20.33" personId="{4A37CA97-5B9B-4FE7-9E19-B4BED969D72E}" id="{6D1090FF-8A8D-45C1-B1FC-F5C8DEF43175}">
    <text>Reajuste 2025</text>
  </threadedComment>
  <threadedComment ref="K892" dT="2025-07-07T21:50:25.52" personId="{4A37CA97-5B9B-4FE7-9E19-B4BED969D72E}" id="{28F0DE3E-4BA2-4CC1-AE5D-EA879CBDF764}" parentId="{6D1090FF-8A8D-45C1-B1FC-F5C8DEF43175}">
    <text>Inclusão de 1 posto 12x36 no estacionamento.</text>
  </threadedComment>
  <threadedComment ref="K897" dT="2025-10-17T15:13:06.49" personId="{DB2BE661-D618-44CE-AE20-17C82EAE22B7}" id="{BD129DCF-6F77-41FB-93D7-640A8B5D243E}">
    <text>Renegociação de contrato</text>
  </threadedComment>
  <threadedComment ref="K913" dT="2025-02-12T18:42:33.41" personId="{FCF1E636-CC0C-4420-8835-17AC00B26FD0}" id="{C5CAF699-CD4C-474D-8142-4ED0C99314E3}">
    <text xml:space="preserve">Valor 2023 com reoneração
</text>
  </threadedComment>
  <threadedComment ref="K914" dT="2025-02-12T18:42:33.41" personId="{FCF1E636-CC0C-4420-8835-17AC00B26FD0}" id="{E9B9AB45-E782-4597-B1B0-C3B970C93548}">
    <text xml:space="preserve">Valor 2023 com reoneração
</text>
  </threadedComment>
  <threadedComment ref="K915" dT="2025-02-13T14:30:14.67" personId="{4A37CA97-5B9B-4FE7-9E19-B4BED969D72E}" id="{544BAE84-B694-4959-A9C1-389665681246}">
    <text>Adequação Novo Organograma.</text>
  </threadedComment>
  <threadedComment ref="K916" dT="2025-04-24T13:53:04.13" personId="{4A37CA97-5B9B-4FE7-9E19-B4BED969D72E}" id="{A6344B3E-9F3A-487C-825A-78BF50F9E10C}">
    <text>Reajuste 2024 aprovado.</text>
  </threadedComment>
  <threadedComment ref="K916" dT="2025-04-24T13:54:59.54" personId="{4A37CA97-5B9B-4FE7-9E19-B4BED969D72E}" id="{A997FE08-AB99-4EE9-BA4F-90AE42F3431F}" parentId="{A6344B3E-9F3A-487C-825A-78BF50F9E10C}">
    <text>+ Reoneração + Ajuste Novo Organograma</text>
  </threadedComment>
  <threadedComment ref="K917" dT="2025-04-24T13:53:04.13" personId="{4A37CA97-5B9B-4FE7-9E19-B4BED969D72E}" id="{FDC6BAEC-DC5F-4A4E-98C9-6EA2CF2924C8}">
    <text>Reajuste 2024 aprovado.</text>
  </threadedComment>
  <threadedComment ref="K917" dT="2025-04-24T13:54:59.54" personId="{4A37CA97-5B9B-4FE7-9E19-B4BED969D72E}" id="{0D5DE8AD-B796-4E82-AA3D-829C5937ABD8}" parentId="{FDC6BAEC-DC5F-4A4E-98C9-6EA2CF2924C8}">
    <text>+ Reoneração + Ajuste Novo Organograma</text>
  </threadedComment>
  <threadedComment ref="K918" dT="2025-04-24T13:53:04.13" personId="{4A37CA97-5B9B-4FE7-9E19-B4BED969D72E}" id="{006BF937-4DA6-4D11-9153-27F5DEF6A145}">
    <text>Reajuste 2024 aprovado.</text>
  </threadedComment>
  <threadedComment ref="K918" dT="2025-04-24T13:54:59.54" personId="{4A37CA97-5B9B-4FE7-9E19-B4BED969D72E}" id="{20448094-65A1-4AE2-8D6E-F40E450547DB}" parentId="{006BF937-4DA6-4D11-9153-27F5DEF6A145}">
    <text>+ Reoneração + Ajuste Novo Organograma</text>
  </threadedComment>
  <threadedComment ref="AC918" dT="2025-07-09T20:46:05.06" personId="{4A37CA97-5B9B-4FE7-9E19-B4BED969D72E}" id="{4B3DB17B-FC50-4A22-9661-555D28C7BD4E}">
    <text xml:space="preserve">HE abril e maio
</text>
  </threadedComment>
  <threadedComment ref="AD918" dT="2025-07-09T20:46:05.06" personId="{4A37CA97-5B9B-4FE7-9E19-B4BED969D72E}" id="{DAC326AE-A6D3-4672-A4CB-ED82CDB7FC4E}">
    <text xml:space="preserve">HE abril e maio
</text>
  </threadedComment>
  <threadedComment ref="K919" dT="2025-06-11T17:49:05.03" personId="{4A37CA97-5B9B-4FE7-9E19-B4BED969D72E}" id="{8F3B32F8-1B52-4FD2-AE70-195F0043ECD8}">
    <text>Reajuste 2025.</text>
  </threadedComment>
  <threadedComment ref="K919" dT="2025-06-11T17:49:14.00" personId="{4A37CA97-5B9B-4FE7-9E19-B4BED969D72E}" id="{574915EB-503B-4CCF-8881-0C3C8A3D25B2}" parentId="{8F3B32F8-1B52-4FD2-AE70-195F0043ECD8}">
    <text>Aguardando de acordo</text>
  </threadedComment>
  <threadedComment ref="K920" dT="2025-04-24T13:53:04.13" personId="{4A37CA97-5B9B-4FE7-9E19-B4BED969D72E}" id="{120601B1-8E08-479C-B8E7-994E607B4E93}">
    <text>Reajuste 2024 aprovado.</text>
  </threadedComment>
  <threadedComment ref="K920" dT="2025-04-24T13:54:59.54" personId="{4A37CA97-5B9B-4FE7-9E19-B4BED969D72E}" id="{EC325295-F8E9-47D3-9F31-A2931B8FA07C}" parentId="{120601B1-8E08-479C-B8E7-994E607B4E93}">
    <text>+ Reoneração + Ajuste Novo Organograma</text>
  </threadedComment>
  <threadedComment ref="K921" dT="2025-06-11T17:49:05.03" personId="{4A37CA97-5B9B-4FE7-9E19-B4BED969D72E}" id="{00E96FB6-4118-4D70-918D-6AC447510AB4}">
    <text>Reajuste 2025.</text>
  </threadedComment>
  <threadedComment ref="K921" dT="2025-06-11T17:49:14.00" personId="{4A37CA97-5B9B-4FE7-9E19-B4BED969D72E}" id="{6227AF7E-65A3-4A3B-9582-EDBDF7301EA3}" parentId="{00E96FB6-4118-4D70-918D-6AC447510AB4}">
    <text>Aguardando de acordo</text>
  </threadedComment>
  <threadedComment ref="K923" dT="2025-01-08T17:16:29.98" personId="{4A37CA97-5B9B-4FE7-9E19-B4BED969D72E}" id="{AD550AB1-09C2-424F-98AF-11D58C1583A2}">
    <text>Alteração de escopo</text>
  </threadedComment>
  <threadedComment ref="K923" dT="2025-02-27T17:15:13.37" personId="{4A37CA97-5B9B-4FE7-9E19-B4BED969D72E}" id="{D383F27B-7774-4CE2-BF0C-A08F4D636F25}" parentId="{AD550AB1-09C2-424F-98AF-11D58C1583A2}">
    <text>Implantação em 01/02.</text>
  </threadedComment>
  <threadedComment ref="K923" dT="2025-03-07T15:19:40.81" personId="{4A37CA97-5B9B-4FE7-9E19-B4BED969D72E}" id="{4E23C1D4-988C-41CC-9F46-768ACA8DB53D}" parentId="{AD550AB1-09C2-424F-98AF-11D58C1583A2}">
    <text>Reajuste 2025 em análise.</text>
  </threadedComment>
  <threadedComment ref="K924" dT="2024-05-15T20:51:32.29" personId="{077BC691-A779-4B97-ADC0-74443AACE796}" id="{EAB72365-AEEF-4EF9-B454-A61C0ED645CC}">
    <text>Reajuste 2024</text>
  </threadedComment>
  <threadedComment ref="K925" dT="2025-04-04T11:49:18.91" personId="{4A37CA97-5B9B-4FE7-9E19-B4BED969D72E}" id="{363A85A7-33BE-4157-8B6B-F91DD8DCEA7C}">
    <text>Reajuste 2025</text>
  </threadedComment>
  <threadedComment ref="T925" dT="2025-03-13T14:26:25.79" personId="{4A37CA97-5B9B-4FE7-9E19-B4BED969D72E}" id="{2EFE111E-7042-4700-8320-8466918FCD2A}">
    <text>Referente à diferença dos valores de extras faturados no mês anterior</text>
  </threadedComment>
  <threadedComment ref="K926" dT="2025-04-04T11:49:18.91" personId="{4A37CA97-5B9B-4FE7-9E19-B4BED969D72E}" id="{17959D59-ADB4-488E-8B65-07CEB63B0B83}">
    <text>Reajuste 2025</text>
  </threadedComment>
  <threadedComment ref="K927" dT="2025-04-04T11:49:18.91" personId="{4A37CA97-5B9B-4FE7-9E19-B4BED969D72E}" id="{F9A3C6B2-AC1E-4082-9E3D-4317C08E7EE4}">
    <text>Reajuste 2025</text>
  </threadedComment>
  <threadedComment ref="K928" dT="2025-04-04T11:49:18.91" personId="{4A37CA97-5B9B-4FE7-9E19-B4BED969D72E}" id="{367EB903-FB7A-4747-9C02-3690EAA5CBB1}">
    <text>Reajuste 2025</text>
  </threadedComment>
  <threadedComment ref="AD928" dT="2025-07-09T18:57:10.18" personId="{4A37CA97-5B9B-4FE7-9E19-B4BED969D72E}" id="{80EC56D9-7BC4-4918-8441-F7F73A22675B}">
    <text>HE junho</text>
  </threadedComment>
  <threadedComment ref="K929" dT="2025-06-11T17:49:05.03" personId="{4A37CA97-5B9B-4FE7-9E19-B4BED969D72E}" id="{0795AA3F-1161-4FB7-85F1-5CED47294140}">
    <text>Reajuste 2025.</text>
  </threadedComment>
  <threadedComment ref="K929" dT="2025-06-11T17:49:14.00" personId="{4A37CA97-5B9B-4FE7-9E19-B4BED969D72E}" id="{7F6CCAB9-1A2E-4C6A-80ED-1760801EE0D2}" parentId="{0795AA3F-1161-4FB7-85F1-5CED47294140}">
    <text>Aguardando de acordo</text>
  </threadedComment>
  <threadedComment ref="K930" dT="2025-04-04T11:49:18.91" personId="{4A37CA97-5B9B-4FE7-9E19-B4BED969D72E}" id="{841D3710-C1D0-478E-9F79-C96F7C1228D3}">
    <text>Reajuste 2025</text>
  </threadedComment>
  <threadedComment ref="K931" dT="2025-01-08T17:16:29.98" personId="{4A37CA97-5B9B-4FE7-9E19-B4BED969D72E}" id="{97CADB88-950B-4F1D-8DAB-0B8CCB64542A}">
    <text>Alteração de escopo</text>
  </threadedComment>
  <threadedComment ref="K931" dT="2025-02-27T17:15:19.94" personId="{4A37CA97-5B9B-4FE7-9E19-B4BED969D72E}" id="{1D12C760-8BFF-4656-A9EC-C082F9960623}" parentId="{97CADB88-950B-4F1D-8DAB-0B8CCB64542A}">
    <text>Implantação em 01/02.</text>
  </threadedComment>
  <threadedComment ref="K931" dT="2025-03-07T15:19:57.45" personId="{4A37CA97-5B9B-4FE7-9E19-B4BED969D72E}" id="{EE3A0310-3C01-4A89-984B-34EAD610E4F3}" parentId="{97CADB88-950B-4F1D-8DAB-0B8CCB64542A}">
    <text>Reajuste 2025 em análise.</text>
  </threadedComment>
  <threadedComment ref="K932" dT="2025-04-04T11:49:03.36" personId="{4A37CA97-5B9B-4FE7-9E19-B4BED969D72E}" id="{E7973BA3-6419-4F14-832E-17D7F8C9647D}">
    <text>Reajuste 2025</text>
  </threadedComment>
  <threadedComment ref="T932" dT="2025-03-13T14:26:52.92" personId="{4A37CA97-5B9B-4FE7-9E19-B4BED969D72E}" id="{8553B337-A7E0-4E8E-A6E5-04EEB75F4C34}">
    <text>Referente à diferença dos valores de extras faturados no mês anterior</text>
  </threadedComment>
  <threadedComment ref="K933" dT="2025-04-04T11:49:03.36" personId="{4A37CA97-5B9B-4FE7-9E19-B4BED969D72E}" id="{9C71B8C4-7AE2-4D9E-8E3B-D656AC30E927}">
    <text>Reajuste 2025</text>
  </threadedComment>
  <threadedComment ref="K934" dT="2025-04-04T11:49:03.36" personId="{4A37CA97-5B9B-4FE7-9E19-B4BED969D72E}" id="{472B743C-773F-4B00-81D3-5E6E4A3E9B23}">
    <text>Reajuste 2025</text>
  </threadedComment>
  <threadedComment ref="K935" dT="2025-04-04T11:49:03.36" personId="{4A37CA97-5B9B-4FE7-9E19-B4BED969D72E}" id="{31370597-AF41-4EE8-BC18-4532C1912C03}">
    <text>Reajuste 2025</text>
  </threadedComment>
  <threadedComment ref="K936" dT="2025-03-12T17:57:05.40" personId="{4A37CA97-5B9B-4FE7-9E19-B4BED969D72E}" id="{10346FAE-4204-4C61-A1C1-A44B5103CD1C}">
    <text>Reajuste 2025: R$ 365.397,21.</text>
  </threadedComment>
  <threadedComment ref="K936" dT="2025-03-12T17:57:15.87" personId="{4A37CA97-5B9B-4FE7-9E19-B4BED969D72E}" id="{F009EB86-99DF-4444-BCCA-792E4EB70254}" parentId="{10346FAE-4204-4C61-A1C1-A44B5103CD1C}">
    <text xml:space="preserve">+ Alteração de escopo para 64HC:  R$ 382.212,88 </text>
  </threadedComment>
  <threadedComment ref="K937" dT="2025-04-04T11:49:03.36" personId="{4A37CA97-5B9B-4FE7-9E19-B4BED969D72E}" id="{49066E35-A8AD-415B-AD18-4D6F249C0C31}">
    <text>Reajuste 2025</text>
  </threadedComment>
  <threadedComment ref="K938" dT="2025-02-12T18:41:44.05" personId="{FCF1E636-CC0C-4420-8835-17AC00B26FD0}" id="{4A35DFB8-3E4C-421A-B3E5-9CB02C1EF8F7}">
    <text>Valor 2023 com reoneração</text>
  </threadedComment>
  <threadedComment ref="K939" dT="2025-02-12T18:41:44.05" personId="{FCF1E636-CC0C-4420-8835-17AC00B26FD0}" id="{EE83D892-77AF-4B99-9CBB-64ABA7A175C0}">
    <text>Valor 2023 com reoneração</text>
  </threadedComment>
  <threadedComment ref="K945" dT="2025-02-13T14:30:14.67" personId="{4A37CA97-5B9B-4FE7-9E19-B4BED969D72E}" id="{81E0459F-6F37-4732-A0EC-0E54D96E0BA3}">
    <text>Adequação Novo Organograma.</text>
  </threadedComment>
  <threadedComment ref="K945" dT="2025-04-09T17:57:33.75" personId="{4A37CA97-5B9B-4FE7-9E19-B4BED969D72E}" id="{2CC68C25-899D-4ACD-8E3D-5D6A5B469790}" parentId="{81E0459F-6F37-4732-A0EC-0E54D96E0BA3}">
    <text>Início em 01/03.</text>
  </threadedComment>
  <threadedComment ref="K946" dT="2025-06-11T17:49:05.03" personId="{4A37CA97-5B9B-4FE7-9E19-B4BED969D72E}" id="{F34D38D4-16EC-49DC-930B-C46CCDCE0B5C}">
    <text>Reajuste 2025.</text>
  </threadedComment>
  <threadedComment ref="K946" dT="2025-06-11T17:49:14.00" personId="{4A37CA97-5B9B-4FE7-9E19-B4BED969D72E}" id="{9FED5036-BC17-49B7-BBE1-A72E63F1A13E}" parentId="{F34D38D4-16EC-49DC-930B-C46CCDCE0B5C}">
    <text>Aguardando de acordo</text>
  </threadedComment>
  <threadedComment ref="AC946" dT="2025-06-27T18:32:52.21" personId="{4A37CA97-5B9B-4FE7-9E19-B4BED969D72E}" id="{17BEDA27-5CDC-4D27-BB74-BD3E1A540AD0}">
    <text>Retroativo referente a dez/24 a jun/25</text>
  </threadedComment>
  <threadedComment ref="K947" dT="2025-06-11T17:49:05.03" personId="{4A37CA97-5B9B-4FE7-9E19-B4BED969D72E}" id="{EE766DF1-CB79-41A0-B4C1-8E767FB746E4}">
    <text>Reajuste 2025.</text>
  </threadedComment>
  <threadedComment ref="K947" dT="2025-06-11T17:49:14.00" personId="{4A37CA97-5B9B-4FE7-9E19-B4BED969D72E}" id="{0F2B56F6-6BFB-43A2-A054-5A8CDEFA8A30}" parentId="{EE766DF1-CB79-41A0-B4C1-8E767FB746E4}">
    <text>Aguardando de acordo</text>
  </threadedComment>
  <threadedComment ref="AC947" dT="2025-06-27T18:32:52.21" personId="{4A37CA97-5B9B-4FE7-9E19-B4BED969D72E}" id="{D0577E88-4F20-4FBF-8DE6-AC6FB7C2A8B4}">
    <text>Retroativo referente a dez/24 a jun/25</text>
  </threadedComment>
  <threadedComment ref="AD947" dT="2025-08-12T14:42:18.36" personId="{4A37CA97-5B9B-4FE7-9E19-B4BED969D72E}" id="{455962F0-BDC3-4A31-B2D6-0A58C55A25F0}">
    <text xml:space="preserve">Ambulância
</text>
  </threadedComment>
  <threadedComment ref="K948" dT="2025-04-24T13:53:04.13" personId="{4A37CA97-5B9B-4FE7-9E19-B4BED969D72E}" id="{3E71F632-9EF6-4A60-AA22-FBFCEB1FBA6A}">
    <text>Reajuste 2024 aprovado.</text>
  </threadedComment>
  <threadedComment ref="K948" dT="2025-04-24T13:55:05.32" personId="{4A37CA97-5B9B-4FE7-9E19-B4BED969D72E}" id="{742E28E8-ABBA-41F2-83F5-F7FC23E70602}" parentId="{3E71F632-9EF6-4A60-AA22-FBFCEB1FBA6A}">
    <text>+ Reoneração + Ajuste Novo Organograma</text>
  </threadedComment>
  <threadedComment ref="AD948" dT="2025-05-22T16:20:21.72" personId="{4A37CA97-5B9B-4FE7-9E19-B4BED969D72E}" id="{59194584-3F9F-48B5-AC44-FCF6CBD126A9}">
    <text>Março e abril</text>
  </threadedComment>
  <threadedComment ref="K949" dT="2025-04-24T13:53:04.13" personId="{4A37CA97-5B9B-4FE7-9E19-B4BED969D72E}" id="{633B82D6-C2F2-4753-BC79-AF47DF808BEF}">
    <text>Reajuste 2024 aprovado.</text>
  </threadedComment>
  <threadedComment ref="K949" dT="2025-04-24T13:55:05.32" personId="{4A37CA97-5B9B-4FE7-9E19-B4BED969D72E}" id="{1D2A1D54-EC27-45F2-A873-51CCC4DD7CF4}" parentId="{633B82D6-C2F2-4753-BC79-AF47DF808BEF}">
    <text>+ Reoneração + Ajuste Novo Organograma</text>
  </threadedComment>
  <threadedComment ref="K950" dT="2025-04-24T13:53:04.13" personId="{4A37CA97-5B9B-4FE7-9E19-B4BED969D72E}" id="{B1AD79B1-B1B9-4D89-BF8F-13C2AC289451}">
    <text>Reajuste 2024 aprovado.</text>
  </threadedComment>
  <threadedComment ref="K950" dT="2025-04-24T13:55:05.32" personId="{4A37CA97-5B9B-4FE7-9E19-B4BED969D72E}" id="{A4D7357A-5CC3-4BC0-8CDC-48DA0CB031AD}" parentId="{B1AD79B1-B1B9-4D89-BF8F-13C2AC289451}">
    <text>+ Reoneração + Ajuste Novo Organograma</text>
  </threadedComment>
  <threadedComment ref="K950" dT="2025-07-14T19:25:21.95" personId="{4A37CA97-5B9B-4FE7-9E19-B4BED969D72E}" id="{6F3B5035-4621-4E40-98C9-CF30B719D09A}" parentId="{B1AD79B1-B1B9-4D89-BF8F-13C2AC289451}">
    <text>Ajuste no salário do Supervisor.</text>
  </threadedComment>
  <threadedComment ref="AC950" dT="2025-07-09T20:46:56.15" personId="{4A37CA97-5B9B-4FE7-9E19-B4BED969D72E}" id="{F25076C5-5045-408C-B786-57D45031CDEA}">
    <text>HE abril e maio</text>
  </threadedComment>
  <threadedComment ref="AD950" dT="2025-07-09T20:46:56.15" personId="{4A37CA97-5B9B-4FE7-9E19-B4BED969D72E}" id="{6EA2362D-4C1F-43E4-BF70-41C84C62358B}">
    <text>HE abril e maio</text>
  </threadedComment>
  <threadedComment ref="K951" dT="2025-04-24T13:53:04.13" personId="{4A37CA97-5B9B-4FE7-9E19-B4BED969D72E}" id="{4606A987-9C0F-4D51-B8DF-FF53A3B218E4}">
    <text>Reajuste 2024 aprovado.</text>
  </threadedComment>
  <threadedComment ref="K951" dT="2025-04-24T13:55:05.32" personId="{4A37CA97-5B9B-4FE7-9E19-B4BED969D72E}" id="{558B131B-7C9C-4C01-ADFC-77F1ADF9DD19}" parentId="{4606A987-9C0F-4D51-B8DF-FF53A3B218E4}">
    <text>+ Reoneração + Ajuste Novo Organograma</text>
  </threadedComment>
  <threadedComment ref="K951" dT="2025-07-14T19:25:21.95" personId="{4A37CA97-5B9B-4FE7-9E19-B4BED969D72E}" id="{50DBE8DB-A587-4F04-A837-355E1623B813}" parentId="{4606A987-9C0F-4D51-B8DF-FF53A3B218E4}">
    <text>Ajuste no salário do Supervisor.</text>
  </threadedComment>
  <threadedComment ref="K951" dT="2025-08-13T19:58:27.08" personId="{4A37CA97-5B9B-4FE7-9E19-B4BED969D72E}" id="{169CCBB7-1C3C-437F-86C8-3859C75C6564}" parentId="{4606A987-9C0F-4D51-B8DF-FF53A3B218E4}">
    <text>Inclusão notebooks</text>
  </threadedComment>
  <threadedComment ref="T951" dT="2025-07-18T13:04:23.61" personId="{4A37CA97-5B9B-4FE7-9E19-B4BED969D72E}" id="{694CF2BE-8F10-4A79-BABE-A397CBBFBAFF}">
    <text>Referente à diferença de pagamentos realizados a maior em alguns meses anteriores</text>
  </threadedComment>
  <threadedComment ref="T951" dT="2025-07-18T13:04:42.87" personId="{4A37CA97-5B9B-4FE7-9E19-B4BED969D72E}" id="{B67FFA1D-7975-4E1F-B10E-BD1C9B3A6E04}" parentId="{694CF2BE-8F10-4A79-BABE-A397CBBFBAFF}">
    <text>Email "DIFERENÇAS PAGAMENTOS - BR MALLS VILA VELHA X INFRALINK"</text>
  </threadedComment>
  <threadedComment ref="K952" dT="2025-03-12T17:57:05.40" personId="{4A37CA97-5B9B-4FE7-9E19-B4BED969D72E}" id="{701A167D-1709-4DCE-A941-2845D8D3F6EA}">
    <text>Reajuste 2025: R$ 365.397,21.</text>
  </threadedComment>
  <threadedComment ref="K952" dT="2025-03-12T17:57:15.87" personId="{4A37CA97-5B9B-4FE7-9E19-B4BED969D72E}" id="{29AECF6D-5D75-4807-8375-8AB713C8C630}" parentId="{701A167D-1709-4DCE-A941-2845D8D3F6EA}">
    <text xml:space="preserve">+ Alteração de escopo para 64HC:  R$ 382.212,88 </text>
  </threadedComment>
  <threadedComment ref="K953" dT="2025-03-12T17:57:05.40" personId="{4A37CA97-5B9B-4FE7-9E19-B4BED969D72E}" id="{BB18EEC8-5A6B-4C1D-94F4-08ACCA9E3FFE}">
    <text>Reajuste 2025: R$ 365.397,21.</text>
  </threadedComment>
  <threadedComment ref="K953" dT="2025-03-12T17:57:15.87" personId="{4A37CA97-5B9B-4FE7-9E19-B4BED969D72E}" id="{720215C1-EDF7-4CD5-926D-9A5CB1E06711}" parentId="{BB18EEC8-5A6B-4C1D-94F4-08ACCA9E3FFE}">
    <text xml:space="preserve">+ Alteração de escopo para 64HC:  R$ 382.212,88 </text>
  </threadedComment>
  <threadedComment ref="K954" dT="2025-02-12T18:48:47.77" personId="{FCF1E636-CC0C-4420-8835-17AC00B26FD0}" id="{218FC72E-0F8D-4CE6-A4AF-36869104B2CF}">
    <text>Alteração de escopo - a partir do dia 17 de janeiro utilizaram o valor novo de R$339.969,57</text>
  </threadedComment>
  <threadedComment ref="K955" dT="2025-02-12T18:48:47.77" personId="{FCF1E636-CC0C-4420-8835-17AC00B26FD0}" id="{72AE609D-9EE4-48D0-B166-174CC45A10E9}">
    <text>Alteração de escopo - a partir do dia 17 de janeiro utilizaram o valor novo de R$339.969,57</text>
  </threadedComment>
  <threadedComment ref="K956" dT="2025-03-12T17:57:05.40" personId="{4A37CA97-5B9B-4FE7-9E19-B4BED969D72E}" id="{D2DE6691-CDAE-436C-8EFA-B17720693508}">
    <text>Reajuste 2025: R$ 365.397,21.</text>
  </threadedComment>
  <threadedComment ref="K956" dT="2025-03-12T17:57:15.87" personId="{4A37CA97-5B9B-4FE7-9E19-B4BED969D72E}" id="{9F6DB8B4-0B81-4FBD-9722-F818E444CABB}" parentId="{D2DE6691-CDAE-436C-8EFA-B17720693508}">
    <text>Aguardando de acordo.</text>
  </threadedComment>
  <threadedComment ref="K957" dT="2025-03-12T17:57:05.40" personId="{4A37CA97-5B9B-4FE7-9E19-B4BED969D72E}" id="{F814A439-37DF-4CB5-BF46-748CAF271400}">
    <text>Reajuste 2025: R$ 365.397,21.</text>
  </threadedComment>
  <threadedComment ref="K957" dT="2025-03-12T17:57:15.87" personId="{4A37CA97-5B9B-4FE7-9E19-B4BED969D72E}" id="{C16854D0-0187-4469-8941-40DE6738B451}" parentId="{F814A439-37DF-4CB5-BF46-748CAF271400}">
    <text xml:space="preserve">+ Alteração de escopo para 64HC:  R$ 382.212,88 </text>
  </threadedComment>
  <threadedComment ref="AD957" dT="2025-07-09T18:22:41.01" personId="{4A37CA97-5B9B-4FE7-9E19-B4BED969D72E}" id="{354FA26D-1D5C-4935-ABAF-340B17D6F3A0}">
    <text>HE de abril e maio validadas em junho R$ 28.609,21</text>
  </threadedComment>
  <threadedComment ref="K958" dT="2025-03-12T17:57:05.40" personId="{4A37CA97-5B9B-4FE7-9E19-B4BED969D72E}" id="{B02A573B-B841-4140-A0DA-B73ECEDC77D4}">
    <text>Reajuste 2025: R$ 365.397,21.</text>
  </threadedComment>
  <threadedComment ref="K958" dT="2025-03-12T17:57:15.87" personId="{4A37CA97-5B9B-4FE7-9E19-B4BED969D72E}" id="{53E93296-E129-4BC4-9AE9-6AA96620A21E}" parentId="{B02A573B-B841-4140-A0DA-B73ECEDC77D4}">
    <text xml:space="preserve">+ Alteração de escopo para 64HC:  R$ 382.212,88 </text>
  </threadedComment>
  <threadedComment ref="AD958" dT="2025-06-23T21:05:30.04" personId="{4A37CA97-5B9B-4FE7-9E19-B4BED969D72E}" id="{F31B77B1-9E62-4403-9E6F-EE20E442BD89}">
    <text>HE junho: R$ 15.623,89
HE fevereiro validadas em julho: R$ 5.261,53</text>
  </threadedComment>
  <threadedComment ref="K959" dT="2025-03-12T17:57:05.40" personId="{4A37CA97-5B9B-4FE7-9E19-B4BED969D72E}" id="{FB6DF18E-B7E9-4BD8-89EB-9EE487551202}">
    <text>Reajuste 2025: R$ 365.397,21.</text>
  </threadedComment>
  <threadedComment ref="K959" dT="2025-03-12T17:57:15.87" personId="{4A37CA97-5B9B-4FE7-9E19-B4BED969D72E}" id="{596432D6-2AFF-4DE1-9478-D82F48C394C2}" parentId="{FB6DF18E-B7E9-4BD8-89EB-9EE487551202}">
    <text xml:space="preserve">+ Alteração de escopo para 64HC:  R$ 382.212,88 </text>
  </threadedComment>
  <threadedComment ref="K960" dT="2025-04-24T13:53:04.13" personId="{4A37CA97-5B9B-4FE7-9E19-B4BED969D72E}" id="{E989DD43-64BA-451F-AE29-892FA944AD24}">
    <text>Reajuste 2024 aprovado.</text>
  </threadedComment>
  <threadedComment ref="K960" dT="2025-04-24T13:55:05.32" personId="{4A37CA97-5B9B-4FE7-9E19-B4BED969D72E}" id="{95B79D2C-03D9-4C45-A111-70888FF716E7}" parentId="{E989DD43-64BA-451F-AE29-892FA944AD24}">
    <text>+ Reoneração + Ajuste Novo Organograma</text>
  </threadedComment>
  <threadedComment ref="K960" dT="2025-07-14T19:25:21.95" personId="{4A37CA97-5B9B-4FE7-9E19-B4BED969D72E}" id="{5FE2A589-C677-4467-8EB1-884F492824DF}" parentId="{E989DD43-64BA-451F-AE29-892FA944AD24}">
    <text>Ajuste no salário do Supervisor.</text>
  </threadedComment>
  <threadedComment ref="K960" dT="2025-08-13T19:58:27.08" personId="{4A37CA97-5B9B-4FE7-9E19-B4BED969D72E}" id="{B64F398A-9D0D-43CC-A9F3-DBBE7FCA5ADC}" parentId="{E989DD43-64BA-451F-AE29-892FA944AD24}">
    <text>Inclusão notebooks</text>
  </threadedComment>
  <threadedComment ref="K961" dT="2025-09-22T13:39:19.97" personId="{4A37CA97-5B9B-4FE7-9E19-B4BED969D72E}" id="{7CAA60DE-3135-4EC7-BF10-08D13AEE9D1A}">
    <text>Reajuste 2025</text>
  </threadedComment>
  <threadedComment ref="K962" dT="2025-09-22T13:39:19.97" personId="{4A37CA97-5B9B-4FE7-9E19-B4BED969D72E}" id="{3CCB0CC3-96B2-438D-8919-F2EE91E05841}">
    <text>Reajuste 2025</text>
  </threadedComment>
  <threadedComment ref="K963" dT="2025-04-24T13:53:04.13" personId="{4A37CA97-5B9B-4FE7-9E19-B4BED969D72E}" id="{29BA929D-746C-47E6-8E89-71D40BAFD5D9}">
    <text>Reajuste 2024 aprovado.</text>
  </threadedComment>
  <threadedComment ref="K963" dT="2025-04-24T13:54:59.54" personId="{4A37CA97-5B9B-4FE7-9E19-B4BED969D72E}" id="{759944D9-75C2-49E1-BB92-FADA03510A25}" parentId="{29BA929D-746C-47E6-8E89-71D40BAFD5D9}">
    <text>+ Reoneração + Ajuste Novo Organograma</text>
  </threadedComment>
  <threadedComment ref="K964" dT="2025-09-22T13:39:36.67" personId="{4A37CA97-5B9B-4FE7-9E19-B4BED969D72E}" id="{3D7ECA88-B976-4A27-B726-00A925815FBE}">
    <text>Reajuste 2025</text>
  </threadedComment>
  <threadedComment ref="K965" dT="2025-09-22T13:39:36.67" personId="{4A37CA97-5B9B-4FE7-9E19-B4BED969D72E}" id="{6D641468-CABA-4784-9C10-C7920F08C0FF}">
    <text>Reajuste 2025</text>
  </threadedComment>
  <threadedComment ref="K966" dT="2025-04-04T11:49:18.91" personId="{4A37CA97-5B9B-4FE7-9E19-B4BED969D72E}" id="{6143759D-1440-40DC-8481-D110D9A95A85}">
    <text>Reajuste 2025</text>
  </threadedComment>
  <threadedComment ref="K967" dT="2025-04-04T11:49:18.91" personId="{4A37CA97-5B9B-4FE7-9E19-B4BED969D72E}" id="{48B5240C-7754-443B-A778-57C1451A6391}">
    <text>Reajuste 2025</text>
  </threadedComment>
  <threadedComment ref="R967" dT="2025-10-07T17:51:30.89" personId="{DB2BE661-D618-44CE-AE20-17C82EAE22B7}" id="{970AD277-8DB4-46F0-B5AD-33D04F9D0147}">
    <text>Extravio de Smartphone</text>
  </threadedComment>
  <threadedComment ref="K968" dT="2025-04-04T11:49:18.91" personId="{4A37CA97-5B9B-4FE7-9E19-B4BED969D72E}" id="{B60327A9-D909-4C1F-8315-C78BF467CDFB}">
    <text>Reajuste 2025</text>
  </threadedComment>
  <threadedComment ref="K969" dT="2025-04-04T11:49:03.36" personId="{4A37CA97-5B9B-4FE7-9E19-B4BED969D72E}" id="{A869D273-44F1-4887-A9CC-F5FA0E57DCEE}">
    <text>Reajuste 2025</text>
  </threadedComment>
  <threadedComment ref="K970" dT="2025-04-04T11:49:03.36" personId="{4A37CA97-5B9B-4FE7-9E19-B4BED969D72E}" id="{666BD102-263A-4FB6-BAF6-C595F3DF0147}">
    <text>Reajuste 2025</text>
  </threadedComment>
  <threadedComment ref="K971" dT="2025-04-04T11:49:03.36" personId="{4A37CA97-5B9B-4FE7-9E19-B4BED969D72E}" id="{F6056C61-290D-445C-A6CF-60BD0C2347EF}">
    <text>Reajuste 2025</text>
  </threadedComment>
  <threadedComment ref="K985" dT="2025-04-01T19:43:32.26" personId="{4A37CA97-5B9B-4FE7-9E19-B4BED969D72E}" id="{CACFE84F-A08D-4C7C-A8DE-4D6724259459}">
    <text>Ajuste de equipamentos Final.
início em 01/03.</text>
  </threadedComment>
</ThreadedComments>
</file>

<file path=xl/threadedComments/threadedComment2.xml><?xml version="1.0" encoding="utf-8"?>
<ThreadedComments xmlns="http://schemas.microsoft.com/office/spreadsheetml/2018/threadedcomments" xmlns:x="http://schemas.openxmlformats.org/spreadsheetml/2006/main">
  <threadedComment ref="P19" dT="2025-06-24T20:07:07.75" personId="{4A37CA97-5B9B-4FE7-9E19-B4BED969D72E}" id="{0490A3BB-6686-4035-9B68-E32956F3491F}">
    <text>Fornecedor não reajustou PAF</text>
  </threadedComment>
  <threadedComment ref="K20" dT="2025-07-01T12:00:51.42" personId="{4A37CA97-5B9B-4FE7-9E19-B4BED969D72E}" id="{92078AA8-00B4-45C2-BB9E-D591137CB19A}">
    <text>Reajuste Global; 4,93%</text>
  </threadedComment>
  <threadedComment ref="K21" dT="2025-07-01T12:00:55.78" personId="{4A37CA97-5B9B-4FE7-9E19-B4BED969D72E}" id="{46D1C5AD-5E97-4B21-B1C3-4DBFD09BA3A8}">
    <text xml:space="preserve">Reajuste Global; 4,93%
</text>
  </threadedComment>
  <threadedComment ref="K22" dT="2025-07-01T12:00:06.63" personId="{4A37CA97-5B9B-4FE7-9E19-B4BED969D72E}" id="{CCBD2A1F-AC0D-4055-9017-300783BDF96D}">
    <text>Reajuste Global: 4,62%</text>
  </threadedComment>
  <threadedComment ref="K23" dT="2025-07-01T12:00:11.19" personId="{4A37CA97-5B9B-4FE7-9E19-B4BED969D72E}" id="{8E3D89B8-5F26-49B6-A8C6-0944AE0D938E}">
    <text>Reajuste Global: 4,62%</text>
  </threadedComment>
  <threadedComment ref="P27" dT="2025-03-18T11:54:47.22" personId="{4A37CA97-5B9B-4FE7-9E19-B4BED969D72E}" id="{0365C79F-0A6E-429C-AD85-658B06135EF0}">
    <text>Fornecedor enviou o pleito utilizando o salário mínimo como base de cálculo para o adicional de insalubridade. No entanto, a CCT estabelece o salário da função como a base de cálculo para esse benefício.</text>
  </threadedComment>
  <threadedComment ref="P29" dT="2025-02-06T12:18:45.08" personId="{4A37CA97-5B9B-4FE7-9E19-B4BED969D72E}" id="{95C75877-E963-4B67-8734-AE2CB34AEE49}">
    <text>Fornecedor não reajustou PROGRAMA DE QUALIFICAÇÃO DO TRABALHADOR e  BENEFÍCIO DE ASSISTÊNCIA A SAÚDE DO TRABALHADOR, previstos na CCT.</text>
  </threadedComment>
  <threadedComment ref="K57" dT="2025-06-26T19:17:32.62" personId="{4A37CA97-5B9B-4FE7-9E19-B4BED969D72E}" id="{C0C562F6-AFFE-42EB-B0BC-9BBE95BF8721}">
    <text>Percentual de Reajuste Global: 4,75%</text>
  </threadedComment>
  <threadedComment ref="K58" dT="2025-06-26T19:17:37.34" personId="{4A37CA97-5B9B-4FE7-9E19-B4BED969D72E}" id="{D77F45DB-E6BC-41E3-8B99-079D7458D71C}">
    <text>Percentual de Reajuste Global: 4,75%</text>
  </threadedComment>
  <threadedComment ref="L59" dT="2025-07-18T13:54:09.99" personId="{4A37CA97-5B9B-4FE7-9E19-B4BED969D72E}" id="{92360EAA-8E54-4E5E-8AC8-E785C5190CA8}">
    <text>Diferença entre o valor enviado para o faturamento de junho e o valor validado Atlas.</text>
  </threadedComment>
  <threadedComment ref="P73" dT="2025-02-06T21:32:47.46" personId="{4A37CA97-5B9B-4FE7-9E19-B4BED969D72E}" id="{A64E02C8-2D80-4096-B71D-7FA3DB719B12}">
    <text>Fornecedor não reajustou o PAF.</text>
  </threadedComment>
  <threadedComment ref="K77" dT="2025-07-02T13:15:36.24" personId="{4A37CA97-5B9B-4FE7-9E19-B4BED969D72E}" id="{9C4BE272-8D85-42CC-BB48-2F66BD0EFDB7}">
    <text>Reajuste Global: 4,72%</text>
  </threadedComment>
  <threadedComment ref="K78" dT="2025-07-02T13:15:41.23" personId="{4A37CA97-5B9B-4FE7-9E19-B4BED969D72E}" id="{0DD1DE7D-B0A0-4D86-BBBB-2F6920597D2D}">
    <text>4,72%</text>
  </threadedComment>
</ThreadedComments>
</file>

<file path=xl/threadedComments/threadedComment3.xml><?xml version="1.0" encoding="utf-8"?>
<ThreadedComments xmlns="http://schemas.microsoft.com/office/spreadsheetml/2018/threadedcomments" xmlns:x="http://schemas.openxmlformats.org/spreadsheetml/2006/main">
  <threadedComment ref="D9" dT="2025-08-20T14:00:58.24" personId="{4A37CA97-5B9B-4FE7-9E19-B4BED969D72E}" id="{8D3F99BC-2E19-4FC5-8488-479CC26336BF}">
    <text>Adequação ao Novo Organograma.</text>
  </threadedComment>
  <threadedComment ref="D9" dT="2025-08-20T14:01:06.06" personId="{4A37CA97-5B9B-4FE7-9E19-B4BED969D72E}" id="{450AF33F-8924-48DE-8D67-13A2CDAACB76}" parentId="{8D3F99BC-2E19-4FC5-8488-479CC26336BF}">
    <text>Início em 01/09</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printerSettings" Target="../printerSettings/printerSettings1.bin"/><Relationship Id="rId7" Type="http://schemas.microsoft.com/office/2007/relationships/slicer" Target="../slicers/slicer1.xml"/><Relationship Id="rId2" Type="http://schemas.openxmlformats.org/officeDocument/2006/relationships/hyperlink" Target="mailto:kaike.costa@atlasinovacoes.com.br" TargetMode="External"/><Relationship Id="rId1" Type="http://schemas.openxmlformats.org/officeDocument/2006/relationships/hyperlink" Target="mailto:kaike.costa@atlasinovacoes.com.br" TargetMode="External"/><Relationship Id="rId6" Type="http://schemas.openxmlformats.org/officeDocument/2006/relationships/table" Target="../tables/table7.xml"/><Relationship Id="rId5" Type="http://schemas.openxmlformats.org/officeDocument/2006/relationships/vmlDrawing" Target="../drawings/vmlDrawing1.vml"/><Relationship Id="rId4" Type="http://schemas.openxmlformats.org/officeDocument/2006/relationships/drawing" Target="../drawings/drawing1.xml"/><Relationship Id="rId9"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8.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7" Type="http://schemas.microsoft.com/office/2017/10/relationships/threadedComment" Target="../threadedComments/threadedComment2.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microsoft.com/office/2007/relationships/slicer" Target="../slicers/slicer3.xml"/><Relationship Id="rId4"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10.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56D6-65D9-44A4-8F35-0F5FFF8338B9}">
  <dimension ref="A1:F12"/>
  <sheetViews>
    <sheetView workbookViewId="0">
      <selection activeCell="B36" sqref="B36"/>
    </sheetView>
  </sheetViews>
  <sheetFormatPr defaultRowHeight="14.5"/>
  <cols>
    <col min="1" max="1" width="20.90625" bestFit="1" customWidth="1"/>
    <col min="2" max="2" width="13.08984375" bestFit="1" customWidth="1"/>
    <col min="3" max="4" width="13" bestFit="1" customWidth="1"/>
    <col min="5" max="5" width="9" bestFit="1" customWidth="1"/>
    <col min="6" max="6" width="11.81640625" bestFit="1" customWidth="1"/>
  </cols>
  <sheetData>
    <row r="1" spans="1:6">
      <c r="A1" t="s">
        <v>0</v>
      </c>
      <c r="B1" t="s">
        <v>1</v>
      </c>
      <c r="C1" t="s">
        <v>2</v>
      </c>
      <c r="D1" t="s">
        <v>3</v>
      </c>
      <c r="E1" t="s">
        <v>4</v>
      </c>
      <c r="F1" t="s">
        <v>5</v>
      </c>
    </row>
    <row r="2" spans="1:6">
      <c r="A2" t="s">
        <v>6</v>
      </c>
      <c r="B2" t="s">
        <v>7</v>
      </c>
      <c r="C2" t="s">
        <v>8</v>
      </c>
      <c r="D2" t="s">
        <v>9</v>
      </c>
      <c r="E2">
        <v>3</v>
      </c>
      <c r="F2" t="s">
        <v>10</v>
      </c>
    </row>
    <row r="3" spans="1:6">
      <c r="A3" t="s">
        <v>11</v>
      </c>
      <c r="B3" t="s">
        <v>7</v>
      </c>
      <c r="C3" t="s">
        <v>8</v>
      </c>
      <c r="D3" t="s">
        <v>9</v>
      </c>
      <c r="E3">
        <v>3</v>
      </c>
      <c r="F3" t="s">
        <v>10</v>
      </c>
    </row>
    <row r="4" spans="1:6">
      <c r="A4" t="s">
        <v>12</v>
      </c>
      <c r="B4" t="s">
        <v>7</v>
      </c>
      <c r="C4" t="s">
        <v>8</v>
      </c>
      <c r="D4" t="s">
        <v>9</v>
      </c>
      <c r="E4">
        <v>2</v>
      </c>
      <c r="F4" t="s">
        <v>10</v>
      </c>
    </row>
    <row r="5" spans="1:6">
      <c r="A5" t="s">
        <v>13</v>
      </c>
      <c r="B5" t="s">
        <v>7</v>
      </c>
      <c r="C5" t="s">
        <v>8</v>
      </c>
      <c r="D5" t="s">
        <v>9</v>
      </c>
      <c r="E5">
        <v>1</v>
      </c>
      <c r="F5" t="s">
        <v>10</v>
      </c>
    </row>
    <row r="6" spans="1:6">
      <c r="A6" t="s">
        <v>14</v>
      </c>
      <c r="B6" t="s">
        <v>7</v>
      </c>
      <c r="C6" t="s">
        <v>8</v>
      </c>
      <c r="D6" t="s">
        <v>9</v>
      </c>
      <c r="E6">
        <v>4</v>
      </c>
      <c r="F6" t="s">
        <v>10</v>
      </c>
    </row>
    <row r="7" spans="1:6">
      <c r="A7" t="s">
        <v>15</v>
      </c>
      <c r="B7" t="s">
        <v>7</v>
      </c>
      <c r="C7" t="s">
        <v>8</v>
      </c>
      <c r="D7" t="s">
        <v>9</v>
      </c>
      <c r="E7">
        <v>1</v>
      </c>
      <c r="F7" t="s">
        <v>16</v>
      </c>
    </row>
    <row r="8" spans="1:6">
      <c r="A8" t="s">
        <v>17</v>
      </c>
      <c r="B8" t="s">
        <v>7</v>
      </c>
      <c r="C8" t="s">
        <v>8</v>
      </c>
      <c r="D8" t="s">
        <v>9</v>
      </c>
      <c r="E8">
        <v>2</v>
      </c>
      <c r="F8" t="s">
        <v>16</v>
      </c>
    </row>
    <row r="9" spans="1:6">
      <c r="A9" t="s">
        <v>18</v>
      </c>
      <c r="B9" t="s">
        <v>7</v>
      </c>
      <c r="C9" t="s">
        <v>8</v>
      </c>
      <c r="D9" t="s">
        <v>9</v>
      </c>
      <c r="E9">
        <v>1</v>
      </c>
      <c r="F9" t="s">
        <v>10</v>
      </c>
    </row>
    <row r="10" spans="1:6">
      <c r="A10" t="s">
        <v>19</v>
      </c>
      <c r="B10" t="s">
        <v>7</v>
      </c>
      <c r="C10" t="s">
        <v>8</v>
      </c>
      <c r="D10" t="s">
        <v>9</v>
      </c>
      <c r="E10">
        <v>3</v>
      </c>
      <c r="F10" t="s">
        <v>10</v>
      </c>
    </row>
    <row r="11" spans="1:6">
      <c r="A11" t="s">
        <v>20</v>
      </c>
      <c r="B11" t="s">
        <v>7</v>
      </c>
      <c r="C11" t="s">
        <v>8</v>
      </c>
      <c r="D11" t="s">
        <v>9</v>
      </c>
      <c r="E11">
        <v>3</v>
      </c>
      <c r="F11" t="s">
        <v>10</v>
      </c>
    </row>
    <row r="12" spans="1:6">
      <c r="A12" t="s">
        <v>21</v>
      </c>
      <c r="B12" t="s">
        <v>7</v>
      </c>
      <c r="C12" t="s">
        <v>8</v>
      </c>
      <c r="D12" t="s">
        <v>9</v>
      </c>
      <c r="E12">
        <v>3</v>
      </c>
      <c r="F12" t="s">
        <v>10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77F3-3D69-4A55-BEE2-C2E64CAE0B17}">
  <dimension ref="A1:D9"/>
  <sheetViews>
    <sheetView workbookViewId="0">
      <selection activeCell="B36" sqref="B36"/>
    </sheetView>
  </sheetViews>
  <sheetFormatPr defaultRowHeight="14.5"/>
  <cols>
    <col min="1" max="1" width="9" bestFit="1" customWidth="1"/>
    <col min="2" max="2" width="11.36328125" bestFit="1" customWidth="1"/>
    <col min="3" max="3" width="9.90625" bestFit="1" customWidth="1"/>
    <col min="4" max="4" width="10.1796875" bestFit="1" customWidth="1"/>
  </cols>
  <sheetData>
    <row r="1" spans="1:4">
      <c r="A1" t="s">
        <v>4</v>
      </c>
      <c r="B1" t="s">
        <v>22</v>
      </c>
      <c r="C1" t="s">
        <v>23</v>
      </c>
      <c r="D1" t="s">
        <v>24</v>
      </c>
    </row>
    <row r="2" spans="1:4">
      <c r="A2">
        <v>1</v>
      </c>
      <c r="B2" t="s">
        <v>25</v>
      </c>
      <c r="C2">
        <v>12</v>
      </c>
      <c r="D2">
        <v>18</v>
      </c>
    </row>
    <row r="3" spans="1:4">
      <c r="A3">
        <v>2</v>
      </c>
      <c r="B3" t="s">
        <v>25</v>
      </c>
      <c r="C3">
        <v>16</v>
      </c>
      <c r="D3">
        <v>21</v>
      </c>
    </row>
    <row r="4" spans="1:4">
      <c r="A4">
        <v>3</v>
      </c>
      <c r="B4" t="s">
        <v>25</v>
      </c>
      <c r="C4">
        <v>21</v>
      </c>
      <c r="D4">
        <v>29</v>
      </c>
    </row>
    <row r="5" spans="1:4">
      <c r="A5">
        <v>4</v>
      </c>
      <c r="B5" t="s">
        <v>25</v>
      </c>
      <c r="C5">
        <v>27</v>
      </c>
      <c r="D5">
        <v>38</v>
      </c>
    </row>
    <row r="6" spans="1:4">
      <c r="A6">
        <v>1</v>
      </c>
      <c r="B6" t="s">
        <v>26</v>
      </c>
      <c r="C6">
        <v>2</v>
      </c>
      <c r="D6">
        <v>2</v>
      </c>
    </row>
    <row r="7" spans="1:4">
      <c r="A7">
        <v>2</v>
      </c>
      <c r="B7" t="s">
        <v>26</v>
      </c>
      <c r="C7">
        <v>2</v>
      </c>
      <c r="D7">
        <v>3</v>
      </c>
    </row>
    <row r="8" spans="1:4">
      <c r="A8">
        <v>3</v>
      </c>
      <c r="B8" t="s">
        <v>26</v>
      </c>
      <c r="C8">
        <v>3</v>
      </c>
      <c r="D8">
        <v>4</v>
      </c>
    </row>
    <row r="9" spans="1:4">
      <c r="A9">
        <v>4</v>
      </c>
      <c r="B9" t="s">
        <v>26</v>
      </c>
      <c r="C9">
        <v>5</v>
      </c>
      <c r="D9">
        <v>7</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9A187-FB98-46F1-9223-FF6A809E4E29}">
  <dimension ref="A1:K91"/>
  <sheetViews>
    <sheetView topLeftCell="A71" workbookViewId="0">
      <selection activeCell="B36" sqref="B36"/>
    </sheetView>
  </sheetViews>
  <sheetFormatPr defaultRowHeight="14.5"/>
  <cols>
    <col min="1" max="2" width="26" bestFit="1" customWidth="1"/>
    <col min="3" max="3" width="16.90625" bestFit="1" customWidth="1"/>
    <col min="4" max="4" width="18.08984375" bestFit="1" customWidth="1"/>
    <col min="5" max="5" width="19.90625" bestFit="1" customWidth="1"/>
    <col min="6" max="6" width="14.453125" bestFit="1" customWidth="1"/>
    <col min="7" max="7" width="17.81640625" bestFit="1" customWidth="1"/>
    <col min="8" max="8" width="11.54296875" bestFit="1" customWidth="1"/>
    <col min="9" max="9" width="23.36328125" bestFit="1" customWidth="1"/>
    <col min="10" max="10" width="13.6328125" bestFit="1" customWidth="1"/>
    <col min="11" max="11" width="16.36328125" bestFit="1" customWidth="1"/>
  </cols>
  <sheetData>
    <row r="1" spans="1:11">
      <c r="A1" t="s">
        <v>27</v>
      </c>
      <c r="B1" t="s">
        <v>28</v>
      </c>
      <c r="C1" t="s">
        <v>29</v>
      </c>
      <c r="D1" t="s">
        <v>30</v>
      </c>
      <c r="E1" t="s">
        <v>25</v>
      </c>
      <c r="F1" t="s">
        <v>26</v>
      </c>
      <c r="G1" t="s">
        <v>31</v>
      </c>
      <c r="H1" t="s">
        <v>32</v>
      </c>
      <c r="I1" t="s">
        <v>33</v>
      </c>
      <c r="J1" t="s">
        <v>34</v>
      </c>
      <c r="K1" t="s">
        <v>35</v>
      </c>
    </row>
    <row r="2" spans="1:11">
      <c r="A2" t="s">
        <v>36</v>
      </c>
      <c r="B2" t="s">
        <v>37</v>
      </c>
      <c r="C2" t="s">
        <v>38</v>
      </c>
      <c r="D2" t="s">
        <v>39</v>
      </c>
      <c r="E2" t="s">
        <v>40</v>
      </c>
      <c r="F2" t="s">
        <v>41</v>
      </c>
      <c r="G2" t="s">
        <v>40</v>
      </c>
      <c r="H2" t="s">
        <v>40</v>
      </c>
      <c r="I2" t="s">
        <v>39</v>
      </c>
      <c r="J2" t="s">
        <v>42</v>
      </c>
      <c r="K2" t="s">
        <v>43</v>
      </c>
    </row>
    <row r="3" spans="1:11">
      <c r="A3" t="s">
        <v>44</v>
      </c>
      <c r="B3" t="s">
        <v>45</v>
      </c>
      <c r="C3" t="s">
        <v>40</v>
      </c>
      <c r="D3" t="s">
        <v>41</v>
      </c>
      <c r="E3" t="s">
        <v>41</v>
      </c>
      <c r="F3" t="s">
        <v>40</v>
      </c>
      <c r="G3" t="s">
        <v>39</v>
      </c>
      <c r="H3" t="s">
        <v>46</v>
      </c>
      <c r="I3" t="s">
        <v>47</v>
      </c>
      <c r="K3" t="s">
        <v>40</v>
      </c>
    </row>
    <row r="4" spans="1:11">
      <c r="A4" t="s">
        <v>48</v>
      </c>
      <c r="B4" t="s">
        <v>49</v>
      </c>
      <c r="C4" t="s">
        <v>50</v>
      </c>
      <c r="D4" t="s">
        <v>40</v>
      </c>
      <c r="E4" t="s">
        <v>51</v>
      </c>
      <c r="F4" t="s">
        <v>51</v>
      </c>
      <c r="G4" t="s">
        <v>52</v>
      </c>
      <c r="H4" t="s">
        <v>39</v>
      </c>
      <c r="I4" t="s">
        <v>53</v>
      </c>
      <c r="K4" t="s">
        <v>39</v>
      </c>
    </row>
    <row r="5" spans="1:11">
      <c r="A5" t="s">
        <v>54</v>
      </c>
      <c r="B5" t="s">
        <v>55</v>
      </c>
      <c r="C5" t="s">
        <v>39</v>
      </c>
      <c r="D5" t="s">
        <v>56</v>
      </c>
      <c r="E5" t="s">
        <v>39</v>
      </c>
      <c r="F5" t="s">
        <v>57</v>
      </c>
      <c r="G5" t="s">
        <v>58</v>
      </c>
      <c r="H5" t="s">
        <v>55</v>
      </c>
      <c r="I5" t="s">
        <v>59</v>
      </c>
      <c r="K5" t="s">
        <v>56</v>
      </c>
    </row>
    <row r="6" spans="1:11">
      <c r="A6" t="s">
        <v>60</v>
      </c>
      <c r="B6" t="s">
        <v>41</v>
      </c>
      <c r="C6" t="s">
        <v>61</v>
      </c>
      <c r="D6" t="s">
        <v>55</v>
      </c>
      <c r="E6" t="s">
        <v>62</v>
      </c>
      <c r="F6" t="s">
        <v>39</v>
      </c>
      <c r="G6" t="s">
        <v>63</v>
      </c>
      <c r="H6" t="s">
        <v>52</v>
      </c>
      <c r="I6" t="s">
        <v>39</v>
      </c>
      <c r="K6" t="s">
        <v>64</v>
      </c>
    </row>
    <row r="7" spans="1:11">
      <c r="A7" t="s">
        <v>65</v>
      </c>
      <c r="B7" t="s">
        <v>66</v>
      </c>
      <c r="C7" t="s">
        <v>67</v>
      </c>
      <c r="D7" t="s">
        <v>68</v>
      </c>
      <c r="E7" t="s">
        <v>69</v>
      </c>
      <c r="F7" t="s">
        <v>70</v>
      </c>
      <c r="G7" t="s">
        <v>46</v>
      </c>
      <c r="H7" t="s">
        <v>58</v>
      </c>
      <c r="I7" t="s">
        <v>71</v>
      </c>
      <c r="K7" t="s">
        <v>72</v>
      </c>
    </row>
    <row r="8" spans="1:11">
      <c r="A8" t="s">
        <v>71</v>
      </c>
      <c r="B8" t="s">
        <v>40</v>
      </c>
      <c r="D8" t="s">
        <v>73</v>
      </c>
      <c r="F8" t="s">
        <v>62</v>
      </c>
      <c r="G8" t="s">
        <v>55</v>
      </c>
      <c r="H8" t="s">
        <v>73</v>
      </c>
      <c r="I8" t="s">
        <v>74</v>
      </c>
      <c r="K8" t="s">
        <v>75</v>
      </c>
    </row>
    <row r="9" spans="1:11">
      <c r="A9" t="s">
        <v>76</v>
      </c>
      <c r="B9" t="s">
        <v>77</v>
      </c>
      <c r="D9" t="s">
        <v>78</v>
      </c>
      <c r="F9" t="s">
        <v>79</v>
      </c>
      <c r="G9" t="s">
        <v>73</v>
      </c>
      <c r="H9" t="s">
        <v>63</v>
      </c>
      <c r="I9" t="s">
        <v>73</v>
      </c>
      <c r="K9" t="s">
        <v>72</v>
      </c>
    </row>
    <row r="10" spans="1:11">
      <c r="A10" t="s">
        <v>80</v>
      </c>
      <c r="B10" t="s">
        <v>81</v>
      </c>
      <c r="D10" t="s">
        <v>82</v>
      </c>
      <c r="F10" t="s">
        <v>83</v>
      </c>
      <c r="G10" t="s">
        <v>84</v>
      </c>
      <c r="H10" t="s">
        <v>84</v>
      </c>
      <c r="I10" t="s">
        <v>85</v>
      </c>
    </row>
    <row r="11" spans="1:11">
      <c r="A11" t="s">
        <v>86</v>
      </c>
      <c r="B11" t="s">
        <v>87</v>
      </c>
      <c r="D11" t="s">
        <v>88</v>
      </c>
      <c r="F11" t="s">
        <v>76</v>
      </c>
      <c r="G11" t="s">
        <v>89</v>
      </c>
      <c r="H11" t="s">
        <v>90</v>
      </c>
      <c r="I11" t="s">
        <v>48</v>
      </c>
    </row>
    <row r="12" spans="1:11">
      <c r="A12" t="s">
        <v>41</v>
      </c>
      <c r="B12" t="s">
        <v>91</v>
      </c>
      <c r="D12" t="s">
        <v>92</v>
      </c>
      <c r="F12" t="s">
        <v>93</v>
      </c>
      <c r="G12" t="s">
        <v>82</v>
      </c>
      <c r="H12" t="s">
        <v>82</v>
      </c>
      <c r="I12" t="s">
        <v>94</v>
      </c>
    </row>
    <row r="13" spans="1:11">
      <c r="A13" t="s">
        <v>95</v>
      </c>
      <c r="B13" t="s">
        <v>96</v>
      </c>
      <c r="D13" t="s">
        <v>97</v>
      </c>
      <c r="G13" t="s">
        <v>98</v>
      </c>
      <c r="H13" t="s">
        <v>99</v>
      </c>
      <c r="I13" t="s">
        <v>100</v>
      </c>
    </row>
    <row r="14" spans="1:11">
      <c r="A14" t="s">
        <v>50</v>
      </c>
      <c r="B14" t="s">
        <v>101</v>
      </c>
      <c r="G14" t="s">
        <v>90</v>
      </c>
      <c r="H14" t="s">
        <v>68</v>
      </c>
      <c r="I14" t="s">
        <v>102</v>
      </c>
    </row>
    <row r="15" spans="1:11">
      <c r="A15" t="s">
        <v>103</v>
      </c>
      <c r="B15" t="s">
        <v>103</v>
      </c>
      <c r="G15" t="s">
        <v>104</v>
      </c>
      <c r="H15" t="s">
        <v>105</v>
      </c>
      <c r="I15" t="s">
        <v>106</v>
      </c>
    </row>
    <row r="16" spans="1:11">
      <c r="A16" t="s">
        <v>53</v>
      </c>
      <c r="B16" t="s">
        <v>65</v>
      </c>
      <c r="G16" t="s">
        <v>107</v>
      </c>
      <c r="H16" t="s">
        <v>104</v>
      </c>
      <c r="I16" t="s">
        <v>108</v>
      </c>
    </row>
    <row r="17" spans="1:9">
      <c r="A17" t="s">
        <v>109</v>
      </c>
      <c r="B17" t="s">
        <v>36</v>
      </c>
      <c r="H17" t="s">
        <v>110</v>
      </c>
      <c r="I17" t="s">
        <v>111</v>
      </c>
    </row>
    <row r="18" spans="1:9">
      <c r="A18" t="s">
        <v>85</v>
      </c>
      <c r="B18" t="s">
        <v>112</v>
      </c>
      <c r="H18" t="s">
        <v>98</v>
      </c>
      <c r="I18" t="s">
        <v>113</v>
      </c>
    </row>
    <row r="19" spans="1:9">
      <c r="A19" t="s">
        <v>91</v>
      </c>
      <c r="H19" t="s">
        <v>107</v>
      </c>
      <c r="I19" t="s">
        <v>86</v>
      </c>
    </row>
    <row r="20" spans="1:9">
      <c r="A20" t="s">
        <v>114</v>
      </c>
      <c r="I20" t="s">
        <v>60</v>
      </c>
    </row>
    <row r="21" spans="1:9">
      <c r="A21" t="s">
        <v>77</v>
      </c>
      <c r="B21" t="s">
        <v>115</v>
      </c>
      <c r="C21" t="s">
        <v>116</v>
      </c>
      <c r="D21" t="s">
        <v>117</v>
      </c>
      <c r="E21" t="s">
        <v>118</v>
      </c>
      <c r="F21" t="s">
        <v>119</v>
      </c>
      <c r="G21" t="s">
        <v>120</v>
      </c>
      <c r="I21" t="s">
        <v>121</v>
      </c>
    </row>
    <row r="22" spans="1:9">
      <c r="A22" t="s">
        <v>105</v>
      </c>
      <c r="B22" t="s">
        <v>122</v>
      </c>
      <c r="C22" t="s">
        <v>123</v>
      </c>
      <c r="D22" t="s">
        <v>124</v>
      </c>
      <c r="E22" t="s">
        <v>125</v>
      </c>
      <c r="F22" t="s">
        <v>126</v>
      </c>
      <c r="G22" t="s">
        <v>127</v>
      </c>
      <c r="I22" t="s">
        <v>109</v>
      </c>
    </row>
    <row r="23" spans="1:9">
      <c r="A23" t="s">
        <v>128</v>
      </c>
      <c r="B23" t="s">
        <v>129</v>
      </c>
      <c r="E23" t="s">
        <v>130</v>
      </c>
      <c r="F23" t="s">
        <v>131</v>
      </c>
      <c r="I23" t="s">
        <v>54</v>
      </c>
    </row>
    <row r="24" spans="1:9">
      <c r="A24" t="s">
        <v>112</v>
      </c>
      <c r="B24" t="s">
        <v>132</v>
      </c>
      <c r="E24" t="s">
        <v>133</v>
      </c>
      <c r="I24" t="s">
        <v>44</v>
      </c>
    </row>
    <row r="25" spans="1:9">
      <c r="A25" t="s">
        <v>47</v>
      </c>
      <c r="B25" t="s">
        <v>134</v>
      </c>
      <c r="E25" t="s">
        <v>135</v>
      </c>
      <c r="I25" t="s">
        <v>136</v>
      </c>
    </row>
    <row r="26" spans="1:9">
      <c r="A26" t="s">
        <v>137</v>
      </c>
      <c r="B26" t="s">
        <v>138</v>
      </c>
      <c r="E26" t="s">
        <v>139</v>
      </c>
      <c r="I26" t="s">
        <v>140</v>
      </c>
    </row>
    <row r="27" spans="1:9">
      <c r="A27" t="s">
        <v>141</v>
      </c>
      <c r="B27" t="s">
        <v>142</v>
      </c>
      <c r="E27" t="s">
        <v>143</v>
      </c>
      <c r="I27" t="s">
        <v>144</v>
      </c>
    </row>
    <row r="28" spans="1:9">
      <c r="A28" t="s">
        <v>37</v>
      </c>
      <c r="B28" t="s">
        <v>145</v>
      </c>
      <c r="E28" t="s">
        <v>146</v>
      </c>
      <c r="I28" t="s">
        <v>147</v>
      </c>
    </row>
    <row r="29" spans="1:9">
      <c r="A29" t="s">
        <v>148</v>
      </c>
      <c r="B29" t="s">
        <v>149</v>
      </c>
    </row>
    <row r="30" spans="1:9">
      <c r="A30" t="s">
        <v>40</v>
      </c>
    </row>
    <row r="31" spans="1:9">
      <c r="A31" t="s">
        <v>90</v>
      </c>
    </row>
    <row r="32" spans="1:9">
      <c r="A32" t="s">
        <v>55</v>
      </c>
    </row>
    <row r="33" spans="1:1">
      <c r="A33" t="s">
        <v>63</v>
      </c>
    </row>
    <row r="34" spans="1:1">
      <c r="A34" t="s">
        <v>51</v>
      </c>
    </row>
    <row r="35" spans="1:1">
      <c r="A35" t="s">
        <v>84</v>
      </c>
    </row>
    <row r="36" spans="1:1">
      <c r="A36" t="s">
        <v>68</v>
      </c>
    </row>
    <row r="37" spans="1:1">
      <c r="A37" t="s">
        <v>94</v>
      </c>
    </row>
    <row r="38" spans="1:1">
      <c r="A38" t="s">
        <v>62</v>
      </c>
    </row>
    <row r="39" spans="1:1">
      <c r="A39" t="s">
        <v>43</v>
      </c>
    </row>
    <row r="40" spans="1:1">
      <c r="A40" t="s">
        <v>38</v>
      </c>
    </row>
    <row r="41" spans="1:1">
      <c r="A41" t="s">
        <v>111</v>
      </c>
    </row>
    <row r="42" spans="1:1">
      <c r="A42" t="s">
        <v>150</v>
      </c>
    </row>
    <row r="43" spans="1:1">
      <c r="A43" t="s">
        <v>151</v>
      </c>
    </row>
    <row r="44" spans="1:1">
      <c r="A44" t="s">
        <v>74</v>
      </c>
    </row>
    <row r="45" spans="1:1">
      <c r="A45" t="s">
        <v>106</v>
      </c>
    </row>
    <row r="46" spans="1:1">
      <c r="A46" t="s">
        <v>42</v>
      </c>
    </row>
    <row r="47" spans="1:1">
      <c r="A47" t="s">
        <v>78</v>
      </c>
    </row>
    <row r="48" spans="1:1">
      <c r="A48" t="s">
        <v>97</v>
      </c>
    </row>
    <row r="49" spans="1:1">
      <c r="A49" t="s">
        <v>93</v>
      </c>
    </row>
    <row r="50" spans="1:1">
      <c r="A50" t="s">
        <v>92</v>
      </c>
    </row>
    <row r="51" spans="1:1">
      <c r="A51" t="s">
        <v>113</v>
      </c>
    </row>
    <row r="52" spans="1:1">
      <c r="A52" t="s">
        <v>108</v>
      </c>
    </row>
    <row r="53" spans="1:1">
      <c r="A53" t="s">
        <v>83</v>
      </c>
    </row>
    <row r="54" spans="1:1">
      <c r="A54" t="s">
        <v>152</v>
      </c>
    </row>
    <row r="55" spans="1:1">
      <c r="A55" t="s">
        <v>49</v>
      </c>
    </row>
    <row r="56" spans="1:1">
      <c r="A56" t="s">
        <v>56</v>
      </c>
    </row>
    <row r="57" spans="1:1">
      <c r="A57" t="s">
        <v>59</v>
      </c>
    </row>
    <row r="58" spans="1:1">
      <c r="A58" t="s">
        <v>45</v>
      </c>
    </row>
    <row r="59" spans="1:1">
      <c r="A59" t="s">
        <v>79</v>
      </c>
    </row>
    <row r="60" spans="1:1">
      <c r="A60" t="s">
        <v>100</v>
      </c>
    </row>
    <row r="61" spans="1:1">
      <c r="A61" t="s">
        <v>61</v>
      </c>
    </row>
    <row r="62" spans="1:1">
      <c r="A62" t="s">
        <v>88</v>
      </c>
    </row>
    <row r="63" spans="1:1">
      <c r="A63" t="s">
        <v>89</v>
      </c>
    </row>
    <row r="64" spans="1:1">
      <c r="A64" t="s">
        <v>87</v>
      </c>
    </row>
    <row r="65" spans="1:1">
      <c r="A65" t="s">
        <v>104</v>
      </c>
    </row>
    <row r="66" spans="1:1">
      <c r="A66" t="s">
        <v>66</v>
      </c>
    </row>
    <row r="67" spans="1:1">
      <c r="A67" t="s">
        <v>46</v>
      </c>
    </row>
    <row r="68" spans="1:1">
      <c r="A68" t="s">
        <v>52</v>
      </c>
    </row>
    <row r="69" spans="1:1">
      <c r="A69" t="s">
        <v>98</v>
      </c>
    </row>
    <row r="70" spans="1:1">
      <c r="A70" t="s">
        <v>73</v>
      </c>
    </row>
    <row r="71" spans="1:1">
      <c r="A71" t="s">
        <v>57</v>
      </c>
    </row>
    <row r="72" spans="1:1">
      <c r="A72" t="s">
        <v>67</v>
      </c>
    </row>
    <row r="73" spans="1:1">
      <c r="A73" t="s">
        <v>110</v>
      </c>
    </row>
    <row r="74" spans="1:1">
      <c r="A74" t="s">
        <v>153</v>
      </c>
    </row>
    <row r="75" spans="1:1">
      <c r="A75" t="s">
        <v>96</v>
      </c>
    </row>
    <row r="76" spans="1:1">
      <c r="A76" t="s">
        <v>82</v>
      </c>
    </row>
    <row r="77" spans="1:1">
      <c r="A77" t="s">
        <v>70</v>
      </c>
    </row>
    <row r="78" spans="1:1">
      <c r="A78" t="s">
        <v>102</v>
      </c>
    </row>
    <row r="79" spans="1:1">
      <c r="A79" t="s">
        <v>58</v>
      </c>
    </row>
    <row r="80" spans="1:1">
      <c r="A80" t="s">
        <v>39</v>
      </c>
    </row>
    <row r="81" spans="1:1">
      <c r="A81" t="s">
        <v>154</v>
      </c>
    </row>
    <row r="82" spans="1:1">
      <c r="A82" t="s">
        <v>107</v>
      </c>
    </row>
    <row r="83" spans="1:1">
      <c r="A83" t="s">
        <v>136</v>
      </c>
    </row>
    <row r="84" spans="1:1">
      <c r="A84" t="s">
        <v>69</v>
      </c>
    </row>
    <row r="85" spans="1:1">
      <c r="A85" t="s">
        <v>140</v>
      </c>
    </row>
    <row r="86" spans="1:1">
      <c r="A86" t="s">
        <v>144</v>
      </c>
    </row>
    <row r="87" spans="1:1">
      <c r="A87" t="s">
        <v>64</v>
      </c>
    </row>
    <row r="88" spans="1:1">
      <c r="A88" t="s">
        <v>155</v>
      </c>
    </row>
    <row r="89" spans="1:1">
      <c r="A89" t="s">
        <v>156</v>
      </c>
    </row>
    <row r="90" spans="1:1">
      <c r="A90" t="s">
        <v>72</v>
      </c>
    </row>
    <row r="91" spans="1:1">
      <c r="A91" t="s">
        <v>75</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10DB1-E287-4CAB-A1B3-87FED67FAD98}">
  <dimension ref="A1:A19"/>
  <sheetViews>
    <sheetView workbookViewId="0">
      <selection activeCell="B36" sqref="B36"/>
    </sheetView>
  </sheetViews>
  <sheetFormatPr defaultRowHeight="14.5"/>
  <cols>
    <col min="1" max="1" width="35.90625" bestFit="1" customWidth="1"/>
  </cols>
  <sheetData>
    <row r="1" spans="1:1">
      <c r="A1" t="s">
        <v>7</v>
      </c>
    </row>
    <row r="2" spans="1:1">
      <c r="A2" t="s">
        <v>28</v>
      </c>
    </row>
    <row r="3" spans="1:1">
      <c r="A3" t="s">
        <v>157</v>
      </c>
    </row>
    <row r="4" spans="1:1">
      <c r="A4" t="s">
        <v>29</v>
      </c>
    </row>
    <row r="5" spans="1:1">
      <c r="A5" t="s">
        <v>158</v>
      </c>
    </row>
    <row r="6" spans="1:1">
      <c r="A6" t="s">
        <v>159</v>
      </c>
    </row>
    <row r="7" spans="1:1">
      <c r="A7" t="s">
        <v>33</v>
      </c>
    </row>
    <row r="8" spans="1:1">
      <c r="A8" t="s">
        <v>30</v>
      </c>
    </row>
    <row r="9" spans="1:1">
      <c r="A9" t="s">
        <v>160</v>
      </c>
    </row>
    <row r="10" spans="1:1">
      <c r="A10" t="s">
        <v>25</v>
      </c>
    </row>
    <row r="11" spans="1:1">
      <c r="A11" t="s">
        <v>161</v>
      </c>
    </row>
    <row r="12" spans="1:1">
      <c r="A12" t="s">
        <v>26</v>
      </c>
    </row>
    <row r="13" spans="1:1">
      <c r="A13" t="s">
        <v>162</v>
      </c>
    </row>
    <row r="14" spans="1:1">
      <c r="A14" t="s">
        <v>163</v>
      </c>
    </row>
    <row r="15" spans="1:1">
      <c r="A15" t="s">
        <v>31</v>
      </c>
    </row>
    <row r="16" spans="1:1">
      <c r="A16" t="s">
        <v>164</v>
      </c>
    </row>
    <row r="17" spans="1:1">
      <c r="A17" t="s">
        <v>35</v>
      </c>
    </row>
    <row r="18" spans="1:1">
      <c r="A18" t="s">
        <v>165</v>
      </c>
    </row>
    <row r="19" spans="1:1">
      <c r="A19" t="s">
        <v>32</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1A8E-34F6-4681-8CE6-3A9CADE0AE9C}">
  <dimension ref="A1:C50"/>
  <sheetViews>
    <sheetView workbookViewId="0">
      <selection activeCell="A2" sqref="A2:C3"/>
    </sheetView>
  </sheetViews>
  <sheetFormatPr defaultRowHeight="14.5"/>
  <cols>
    <col min="1" max="1" width="11.1796875" bestFit="1" customWidth="1"/>
    <col min="2" max="2" width="20.90625" bestFit="1" customWidth="1"/>
    <col min="3" max="3" width="13.81640625" bestFit="1" customWidth="1"/>
  </cols>
  <sheetData>
    <row r="1" spans="1:3">
      <c r="A1" t="s">
        <v>166</v>
      </c>
      <c r="B1" t="s">
        <v>167</v>
      </c>
      <c r="C1" t="s">
        <v>168</v>
      </c>
    </row>
    <row r="2" spans="1:3">
      <c r="A2" t="s">
        <v>169</v>
      </c>
      <c r="B2" t="s">
        <v>170</v>
      </c>
      <c r="C2" t="s">
        <v>171</v>
      </c>
    </row>
    <row r="3" spans="1:3">
      <c r="A3" t="s">
        <v>172</v>
      </c>
      <c r="B3" t="s">
        <v>173</v>
      </c>
      <c r="C3" t="s">
        <v>171</v>
      </c>
    </row>
    <row r="4" spans="1:3">
      <c r="A4" t="s">
        <v>6</v>
      </c>
      <c r="B4" t="s">
        <v>772</v>
      </c>
    </row>
    <row r="5" spans="1:3">
      <c r="A5" t="s">
        <v>174</v>
      </c>
      <c r="B5" t="s">
        <v>175</v>
      </c>
      <c r="C5" t="s">
        <v>171</v>
      </c>
    </row>
    <row r="6" spans="1:3">
      <c r="A6" t="s">
        <v>176</v>
      </c>
      <c r="B6" t="s">
        <v>771</v>
      </c>
      <c r="C6" t="s">
        <v>171</v>
      </c>
    </row>
    <row r="7" spans="1:3">
      <c r="A7" t="s">
        <v>177</v>
      </c>
      <c r="B7" t="s">
        <v>178</v>
      </c>
      <c r="C7" t="s">
        <v>171</v>
      </c>
    </row>
    <row r="8" spans="1:3">
      <c r="A8" t="s">
        <v>179</v>
      </c>
      <c r="B8" t="s">
        <v>180</v>
      </c>
      <c r="C8" t="s">
        <v>171</v>
      </c>
    </row>
    <row r="9" spans="1:3">
      <c r="A9" t="s">
        <v>181</v>
      </c>
      <c r="B9" t="s">
        <v>182</v>
      </c>
      <c r="C9" t="s">
        <v>171</v>
      </c>
    </row>
    <row r="10" spans="1:3">
      <c r="A10" t="s">
        <v>11</v>
      </c>
      <c r="B10" t="s">
        <v>183</v>
      </c>
      <c r="C10" t="s">
        <v>171</v>
      </c>
    </row>
    <row r="11" spans="1:3">
      <c r="A11" t="s">
        <v>184</v>
      </c>
      <c r="B11" t="s">
        <v>185</v>
      </c>
      <c r="C11" t="s">
        <v>171</v>
      </c>
    </row>
    <row r="12" spans="1:3">
      <c r="A12" t="s">
        <v>186</v>
      </c>
      <c r="B12" t="s">
        <v>187</v>
      </c>
      <c r="C12" t="s">
        <v>171</v>
      </c>
    </row>
    <row r="13" spans="1:3">
      <c r="A13" t="s">
        <v>188</v>
      </c>
      <c r="B13" t="s">
        <v>189</v>
      </c>
      <c r="C13" t="s">
        <v>171</v>
      </c>
    </row>
    <row r="14" spans="1:3">
      <c r="A14" t="s">
        <v>12</v>
      </c>
      <c r="B14" t="s">
        <v>190</v>
      </c>
      <c r="C14" t="s">
        <v>171</v>
      </c>
    </row>
    <row r="15" spans="1:3">
      <c r="A15" t="s">
        <v>191</v>
      </c>
      <c r="B15" t="s">
        <v>192</v>
      </c>
      <c r="C15" t="s">
        <v>171</v>
      </c>
    </row>
    <row r="16" spans="1:3">
      <c r="A16" t="s">
        <v>193</v>
      </c>
      <c r="B16" t="s">
        <v>194</v>
      </c>
      <c r="C16" t="s">
        <v>171</v>
      </c>
    </row>
    <row r="17" spans="1:3">
      <c r="A17" t="s">
        <v>195</v>
      </c>
      <c r="B17" t="s">
        <v>196</v>
      </c>
      <c r="C17" t="s">
        <v>171</v>
      </c>
    </row>
    <row r="18" spans="1:3">
      <c r="A18" t="s">
        <v>197</v>
      </c>
      <c r="B18" t="s">
        <v>198</v>
      </c>
      <c r="C18" t="s">
        <v>171</v>
      </c>
    </row>
    <row r="19" spans="1:3">
      <c r="A19" t="s">
        <v>199</v>
      </c>
      <c r="B19" t="s">
        <v>200</v>
      </c>
      <c r="C19" t="s">
        <v>171</v>
      </c>
    </row>
    <row r="20" spans="1:3">
      <c r="A20" t="s">
        <v>201</v>
      </c>
      <c r="B20" t="s">
        <v>202</v>
      </c>
      <c r="C20" t="s">
        <v>171</v>
      </c>
    </row>
    <row r="21" spans="1:3">
      <c r="A21" t="s">
        <v>203</v>
      </c>
      <c r="B21" t="s">
        <v>204</v>
      </c>
      <c r="C21" t="s">
        <v>171</v>
      </c>
    </row>
    <row r="22" spans="1:3">
      <c r="A22" t="s">
        <v>205</v>
      </c>
      <c r="B22" t="s">
        <v>206</v>
      </c>
      <c r="C22" t="s">
        <v>171</v>
      </c>
    </row>
    <row r="23" spans="1:3">
      <c r="A23" t="s">
        <v>19</v>
      </c>
      <c r="B23" t="s">
        <v>207</v>
      </c>
      <c r="C23" t="s">
        <v>171</v>
      </c>
    </row>
    <row r="24" spans="1:3">
      <c r="A24" t="s">
        <v>13</v>
      </c>
      <c r="B24" t="s">
        <v>208</v>
      </c>
      <c r="C24" t="s">
        <v>171</v>
      </c>
    </row>
    <row r="25" spans="1:3">
      <c r="A25" t="s">
        <v>20</v>
      </c>
      <c r="B25" t="s">
        <v>209</v>
      </c>
      <c r="C25" t="s">
        <v>171</v>
      </c>
    </row>
    <row r="26" spans="1:3">
      <c r="A26" t="s">
        <v>210</v>
      </c>
      <c r="B26" t="s">
        <v>211</v>
      </c>
      <c r="C26" t="s">
        <v>171</v>
      </c>
    </row>
    <row r="27" spans="1:3">
      <c r="A27" t="s">
        <v>212</v>
      </c>
      <c r="B27" t="s">
        <v>213</v>
      </c>
      <c r="C27" t="s">
        <v>171</v>
      </c>
    </row>
    <row r="28" spans="1:3">
      <c r="A28" t="s">
        <v>214</v>
      </c>
      <c r="B28" t="s">
        <v>215</v>
      </c>
      <c r="C28" t="s">
        <v>171</v>
      </c>
    </row>
    <row r="29" spans="1:3">
      <c r="A29" t="s">
        <v>216</v>
      </c>
      <c r="B29" t="s">
        <v>217</v>
      </c>
      <c r="C29" t="s">
        <v>171</v>
      </c>
    </row>
    <row r="30" spans="1:3">
      <c r="A30" t="s">
        <v>14</v>
      </c>
      <c r="B30" t="s">
        <v>218</v>
      </c>
      <c r="C30" t="s">
        <v>171</v>
      </c>
    </row>
    <row r="31" spans="1:3">
      <c r="A31" t="s">
        <v>219</v>
      </c>
      <c r="B31" t="s">
        <v>220</v>
      </c>
      <c r="C31" t="s">
        <v>171</v>
      </c>
    </row>
    <row r="32" spans="1:3">
      <c r="A32" t="s">
        <v>221</v>
      </c>
      <c r="B32" t="s">
        <v>222</v>
      </c>
      <c r="C32" t="s">
        <v>171</v>
      </c>
    </row>
    <row r="33" spans="1:3">
      <c r="A33" t="s">
        <v>223</v>
      </c>
      <c r="B33" t="s">
        <v>224</v>
      </c>
      <c r="C33" t="s">
        <v>171</v>
      </c>
    </row>
    <row r="34" spans="1:3">
      <c r="A34" t="s">
        <v>15</v>
      </c>
      <c r="B34" t="s">
        <v>225</v>
      </c>
      <c r="C34" t="s">
        <v>171</v>
      </c>
    </row>
    <row r="35" spans="1:3">
      <c r="A35" t="s">
        <v>226</v>
      </c>
      <c r="B35" t="s">
        <v>227</v>
      </c>
      <c r="C35" t="s">
        <v>171</v>
      </c>
    </row>
    <row r="36" spans="1:3">
      <c r="A36" t="s">
        <v>228</v>
      </c>
      <c r="B36" t="s">
        <v>229</v>
      </c>
      <c r="C36" t="s">
        <v>171</v>
      </c>
    </row>
    <row r="37" spans="1:3">
      <c r="A37" t="s">
        <v>230</v>
      </c>
      <c r="B37" t="s">
        <v>231</v>
      </c>
      <c r="C37" t="s">
        <v>171</v>
      </c>
    </row>
    <row r="38" spans="1:3">
      <c r="A38" t="s">
        <v>232</v>
      </c>
      <c r="B38" t="s">
        <v>233</v>
      </c>
      <c r="C38" t="s">
        <v>171</v>
      </c>
    </row>
    <row r="39" spans="1:3">
      <c r="A39" t="s">
        <v>234</v>
      </c>
      <c r="B39" t="s">
        <v>235</v>
      </c>
      <c r="C39" t="s">
        <v>171</v>
      </c>
    </row>
    <row r="40" spans="1:3">
      <c r="A40" t="s">
        <v>236</v>
      </c>
      <c r="B40" t="s">
        <v>237</v>
      </c>
      <c r="C40" t="s">
        <v>171</v>
      </c>
    </row>
    <row r="41" spans="1:3">
      <c r="A41" t="s">
        <v>17</v>
      </c>
      <c r="B41" t="s">
        <v>238</v>
      </c>
      <c r="C41" t="s">
        <v>171</v>
      </c>
    </row>
    <row r="42" spans="1:3">
      <c r="A42" t="s">
        <v>239</v>
      </c>
      <c r="B42" t="s">
        <v>240</v>
      </c>
      <c r="C42" t="s">
        <v>171</v>
      </c>
    </row>
    <row r="43" spans="1:3">
      <c r="A43" t="s">
        <v>18</v>
      </c>
      <c r="B43" s="303" t="s">
        <v>241</v>
      </c>
      <c r="C43" t="s">
        <v>171</v>
      </c>
    </row>
    <row r="44" spans="1:3">
      <c r="A44" t="s">
        <v>242</v>
      </c>
      <c r="B44" t="s">
        <v>243</v>
      </c>
      <c r="C44" t="s">
        <v>171</v>
      </c>
    </row>
    <row r="45" spans="1:3">
      <c r="A45" t="s">
        <v>244</v>
      </c>
      <c r="B45" t="s">
        <v>245</v>
      </c>
      <c r="C45" t="s">
        <v>171</v>
      </c>
    </row>
    <row r="46" spans="1:3">
      <c r="A46" t="s">
        <v>246</v>
      </c>
      <c r="B46" t="s">
        <v>247</v>
      </c>
      <c r="C46" t="s">
        <v>171</v>
      </c>
    </row>
    <row r="47" spans="1:3">
      <c r="A47" t="s">
        <v>248</v>
      </c>
      <c r="B47" t="s">
        <v>249</v>
      </c>
      <c r="C47" t="s">
        <v>171</v>
      </c>
    </row>
    <row r="48" spans="1:3">
      <c r="A48" t="s">
        <v>21</v>
      </c>
      <c r="B48" t="s">
        <v>250</v>
      </c>
      <c r="C48" t="s">
        <v>171</v>
      </c>
    </row>
    <row r="49" spans="1:3">
      <c r="A49" t="s">
        <v>251</v>
      </c>
      <c r="B49" t="s">
        <v>252</v>
      </c>
      <c r="C49" t="s">
        <v>171</v>
      </c>
    </row>
    <row r="50" spans="1:3">
      <c r="A50" t="s">
        <v>253</v>
      </c>
      <c r="B50" t="s">
        <v>254</v>
      </c>
      <c r="C50" t="s">
        <v>171</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CA33-B270-4A48-84B8-A5C225D7A6C1}">
  <dimension ref="A1:C3"/>
  <sheetViews>
    <sheetView workbookViewId="0">
      <selection activeCell="A2" sqref="A2"/>
    </sheetView>
  </sheetViews>
  <sheetFormatPr defaultRowHeight="14.5"/>
  <cols>
    <col min="1" max="1" width="34.36328125" customWidth="1"/>
    <col min="2" max="2" width="200.36328125" bestFit="1" customWidth="1"/>
    <col min="3" max="4" width="34.36328125" customWidth="1"/>
  </cols>
  <sheetData>
    <row r="1" spans="1:3">
      <c r="A1" s="342" t="s">
        <v>166</v>
      </c>
      <c r="B1" s="342" t="s">
        <v>167</v>
      </c>
      <c r="C1" s="342" t="s">
        <v>168</v>
      </c>
    </row>
    <row r="2" spans="1:3">
      <c r="A2" s="341" t="s">
        <v>169</v>
      </c>
      <c r="B2" s="341" t="s">
        <v>170</v>
      </c>
      <c r="C2" s="341" t="s">
        <v>171</v>
      </c>
    </row>
    <row r="3" spans="1:3">
      <c r="A3" s="343" t="s">
        <v>172</v>
      </c>
      <c r="B3" s="343" t="s">
        <v>173</v>
      </c>
      <c r="C3" s="343" t="s">
        <v>171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92D41-52A9-42D8-9F5A-392363E95510}">
  <sheetPr codeName="Planilha2">
    <tabColor theme="9" tint="0.39997558519241921"/>
  </sheetPr>
  <dimension ref="A1:AO1004"/>
  <sheetViews>
    <sheetView showGridLines="0" tabSelected="1" topLeftCell="AM1" zoomScale="70" zoomScaleNormal="70" workbookViewId="0">
      <selection activeCell="AO6" sqref="AO6"/>
    </sheetView>
  </sheetViews>
  <sheetFormatPr defaultColWidth="8.6328125" defaultRowHeight="20.9" customHeight="1"/>
  <cols>
    <col min="1" max="1" width="30.36328125" style="143" customWidth="1"/>
    <col min="2" max="2" width="26.6328125" style="36" customWidth="1"/>
    <col min="3" max="3" width="28.6328125" customWidth="1"/>
    <col min="4" max="4" width="43" customWidth="1"/>
    <col min="5" max="5" width="28" customWidth="1"/>
    <col min="6" max="6" width="17.54296875" hidden="1" customWidth="1"/>
    <col min="7" max="7" width="21.453125" style="6" hidden="1" customWidth="1"/>
    <col min="8" max="8" width="22.54296875" hidden="1" customWidth="1"/>
    <col min="9" max="9" width="21" style="6" hidden="1" customWidth="1"/>
    <col min="10" max="10" width="21.453125" style="6" hidden="1" customWidth="1"/>
    <col min="11" max="11" width="20.36328125" style="7" customWidth="1"/>
    <col min="12" max="12" width="21.54296875" style="40" customWidth="1"/>
    <col min="13" max="13" width="23.36328125" style="40" customWidth="1"/>
    <col min="14" max="14" width="21.453125" style="40" customWidth="1"/>
    <col min="15" max="15" width="25.6328125" style="40" customWidth="1"/>
    <col min="16" max="16" width="19.54296875" style="40" customWidth="1"/>
    <col min="17" max="17" width="24.6328125" style="40" customWidth="1"/>
    <col min="18" max="18" width="27.6328125" style="40" customWidth="1"/>
    <col min="19" max="19" width="14.6328125" style="40" customWidth="1"/>
    <col min="20" max="20" width="17.6328125" style="40" customWidth="1"/>
    <col min="21" max="21" width="19.36328125" style="7" customWidth="1"/>
    <col min="22" max="22" width="23.36328125" style="7" customWidth="1"/>
    <col min="23" max="23" width="10.6328125" style="37" customWidth="1"/>
    <col min="24" max="24" width="39.6328125" style="48" customWidth="1"/>
    <col min="25" max="25" width="19.6328125" style="161" customWidth="1"/>
    <col min="26" max="26" width="10.6328125" style="162" customWidth="1"/>
    <col min="27" max="27" width="29.6328125" style="21" customWidth="1"/>
    <col min="28" max="28" width="31.6328125" style="21" customWidth="1"/>
    <col min="29" max="29" width="18.453125" customWidth="1"/>
    <col min="30" max="32" width="15.6328125" customWidth="1"/>
    <col min="33" max="33" width="14.54296875" style="7" customWidth="1"/>
    <col min="34" max="34" width="12.453125" customWidth="1"/>
    <col min="35" max="35" width="23.54296875" customWidth="1"/>
    <col min="36" max="36" width="15" bestFit="1" customWidth="1"/>
    <col min="37" max="37" width="18.54296875" customWidth="1"/>
    <col min="38" max="38" width="17.54296875" customWidth="1"/>
    <col min="39" max="39" width="91.453125" customWidth="1"/>
    <col min="40" max="40" width="131" customWidth="1"/>
    <col min="41" max="41" width="59.453125" customWidth="1"/>
    <col min="42" max="90" width="8.6328125" customWidth="1"/>
  </cols>
  <sheetData>
    <row r="1" spans="1:41" s="1" customFormat="1" ht="47.15" customHeight="1" thickBot="1">
      <c r="A1" s="180" t="s">
        <v>255</v>
      </c>
      <c r="B1" s="86" t="s">
        <v>256</v>
      </c>
      <c r="C1" s="14" t="s">
        <v>257</v>
      </c>
      <c r="D1" s="39" t="s">
        <v>0</v>
      </c>
      <c r="E1" s="39" t="s">
        <v>22</v>
      </c>
      <c r="F1" s="39" t="s">
        <v>27</v>
      </c>
      <c r="G1" s="305" t="s">
        <v>258</v>
      </c>
      <c r="H1" s="39" t="s">
        <v>259</v>
      </c>
      <c r="I1" s="39" t="s">
        <v>260</v>
      </c>
      <c r="J1" s="39" t="s">
        <v>261</v>
      </c>
      <c r="K1" s="39" t="s">
        <v>262</v>
      </c>
      <c r="L1" s="305" t="s">
        <v>263</v>
      </c>
      <c r="M1" s="39" t="s">
        <v>264</v>
      </c>
      <c r="N1" s="305" t="s">
        <v>265</v>
      </c>
      <c r="O1" s="39" t="s">
        <v>266</v>
      </c>
      <c r="P1" s="39" t="s">
        <v>267</v>
      </c>
      <c r="Q1" s="305" t="s">
        <v>268</v>
      </c>
      <c r="R1" s="39" t="s">
        <v>269</v>
      </c>
      <c r="S1" s="305" t="s">
        <v>270</v>
      </c>
      <c r="T1" s="305" t="s">
        <v>271</v>
      </c>
      <c r="U1" s="305" t="s">
        <v>272</v>
      </c>
      <c r="V1" s="39" t="s">
        <v>273</v>
      </c>
      <c r="W1" s="144" t="s">
        <v>274</v>
      </c>
      <c r="X1" s="51" t="s">
        <v>275</v>
      </c>
      <c r="Y1" s="159" t="s">
        <v>276</v>
      </c>
      <c r="Z1" s="160" t="s">
        <v>277</v>
      </c>
      <c r="AA1" s="16" t="s">
        <v>278</v>
      </c>
      <c r="AB1" s="147" t="s">
        <v>279</v>
      </c>
      <c r="AC1" s="59" t="s">
        <v>280</v>
      </c>
      <c r="AD1" s="60" t="s">
        <v>281</v>
      </c>
      <c r="AE1" s="61" t="s">
        <v>282</v>
      </c>
      <c r="AF1" s="62" t="s">
        <v>283</v>
      </c>
      <c r="AG1" s="63" t="s">
        <v>284</v>
      </c>
      <c r="AH1" s="62" t="s">
        <v>285</v>
      </c>
      <c r="AI1" s="62" t="s">
        <v>286</v>
      </c>
      <c r="AJ1" s="64" t="s">
        <v>287</v>
      </c>
      <c r="AK1" s="64" t="s">
        <v>288</v>
      </c>
      <c r="AL1" s="64" t="s">
        <v>289</v>
      </c>
      <c r="AM1" s="14" t="s">
        <v>290</v>
      </c>
      <c r="AN1" s="156" t="s">
        <v>291</v>
      </c>
    </row>
    <row r="2" spans="1:41" ht="23.15" customHeight="1" thickBot="1">
      <c r="B2" s="87"/>
      <c r="C2" s="2" t="s">
        <v>292</v>
      </c>
      <c r="D2" s="2" t="s">
        <v>6</v>
      </c>
      <c r="E2" s="20" t="s">
        <v>28</v>
      </c>
      <c r="F2" s="20" t="s">
        <v>37</v>
      </c>
      <c r="G2" s="11">
        <v>16</v>
      </c>
      <c r="H2" s="11">
        <v>12</v>
      </c>
      <c r="I2" s="11">
        <v>0</v>
      </c>
      <c r="J2" s="11">
        <v>0</v>
      </c>
      <c r="K2" s="10">
        <v>77251.408817750009</v>
      </c>
      <c r="L2" s="43">
        <v>0</v>
      </c>
      <c r="M2" s="43">
        <v>0</v>
      </c>
      <c r="N2" s="41">
        <v>0</v>
      </c>
      <c r="O2" s="43">
        <v>0</v>
      </c>
      <c r="P2" s="41" t="s">
        <v>293</v>
      </c>
      <c r="Q2" s="43">
        <v>0</v>
      </c>
      <c r="R2" s="43">
        <v>0</v>
      </c>
      <c r="S2" s="43">
        <v>0</v>
      </c>
      <c r="T2" s="43">
        <v>0</v>
      </c>
      <c r="U2" s="19"/>
      <c r="V2" s="13">
        <f t="shared" ref="V2:V8" si="0">IFERROR((K2+M2+R2+S2+T2+O2)+IF(U2="Sim",P2+Q2,0),(K2+R2+S2+T2)+IF(U2="Sim",P2+Q2,0))</f>
        <v>77251.408817750009</v>
      </c>
      <c r="W2" s="13"/>
      <c r="X2" s="13"/>
      <c r="Y2" s="13"/>
      <c r="Z2" s="13"/>
      <c r="AA2" s="22">
        <v>45658</v>
      </c>
      <c r="AB2" s="22" cm="1">
        <f t="array" ref="AB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2" s="4"/>
      <c r="AD2" s="13"/>
      <c r="AE2" s="15"/>
      <c r="AF2" s="3"/>
      <c r="AG2" s="3"/>
      <c r="AH2" s="3"/>
      <c r="AI2" s="3"/>
      <c r="AJ2" s="2">
        <f t="shared" ref="AJ2:AJ8" si="1">IFERROR(L2-M2,0)</f>
        <v>0</v>
      </c>
      <c r="AK2" s="2">
        <f t="shared" ref="AK2:AK8" si="2">AC2-AD2</f>
        <v>0</v>
      </c>
      <c r="AL2" s="2">
        <f t="shared" ref="AL2:AL8" si="3">K2-V2</f>
        <v>0</v>
      </c>
      <c r="AM2" s="88"/>
      <c r="AN2" s="157" t="s">
        <v>774</v>
      </c>
    </row>
    <row r="3" spans="1:41" ht="23.15" customHeight="1" thickBot="1">
      <c r="B3" s="87"/>
      <c r="C3" s="2" t="s">
        <v>292</v>
      </c>
      <c r="D3" s="15" t="s">
        <v>6</v>
      </c>
      <c r="E3" s="20" t="s">
        <v>28</v>
      </c>
      <c r="F3" s="17" t="s">
        <v>37</v>
      </c>
      <c r="G3" s="11">
        <v>16</v>
      </c>
      <c r="H3" s="18">
        <v>12</v>
      </c>
      <c r="I3" s="11" t="s">
        <v>294</v>
      </c>
      <c r="J3" s="11" t="s">
        <v>294</v>
      </c>
      <c r="K3" s="10">
        <v>77251.408817750009</v>
      </c>
      <c r="L3" s="41">
        <v>0</v>
      </c>
      <c r="M3" s="43" t="s">
        <v>294</v>
      </c>
      <c r="N3" s="41">
        <v>0</v>
      </c>
      <c r="O3" s="43" t="s">
        <v>294</v>
      </c>
      <c r="P3" s="41" t="s">
        <v>293</v>
      </c>
      <c r="Q3" s="43">
        <v>0</v>
      </c>
      <c r="R3" s="43">
        <v>0</v>
      </c>
      <c r="S3" s="43">
        <v>0</v>
      </c>
      <c r="T3" s="43">
        <v>0</v>
      </c>
      <c r="U3" s="19"/>
      <c r="V3" s="13">
        <f t="shared" si="0"/>
        <v>77251.408817750009</v>
      </c>
      <c r="W3" s="13"/>
      <c r="X3" s="13"/>
      <c r="Y3" s="13"/>
      <c r="Z3" s="13"/>
      <c r="AA3" s="22">
        <v>45689</v>
      </c>
      <c r="AB3" s="22" cm="1">
        <f t="array" ref="AB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 s="4"/>
      <c r="AD3" s="13"/>
      <c r="AE3" s="15"/>
      <c r="AF3" s="3"/>
      <c r="AG3" s="3"/>
      <c r="AH3" s="3"/>
      <c r="AI3" s="3"/>
      <c r="AJ3" s="2">
        <f t="shared" si="1"/>
        <v>0</v>
      </c>
      <c r="AK3" s="2">
        <f t="shared" si="2"/>
        <v>0</v>
      </c>
      <c r="AL3" s="2">
        <f t="shared" si="3"/>
        <v>0</v>
      </c>
      <c r="AM3" s="88"/>
      <c r="AN3" s="157" t="s">
        <v>774</v>
      </c>
    </row>
    <row r="4" spans="1:41" ht="23.15" customHeight="1" thickBot="1">
      <c r="B4" s="87">
        <v>45748</v>
      </c>
      <c r="C4" s="2" t="s">
        <v>295</v>
      </c>
      <c r="D4" s="15" t="s">
        <v>6</v>
      </c>
      <c r="E4" s="17" t="s">
        <v>28</v>
      </c>
      <c r="F4" s="17" t="s">
        <v>37</v>
      </c>
      <c r="G4" s="11">
        <v>16</v>
      </c>
      <c r="H4" s="11">
        <v>12</v>
      </c>
      <c r="I4" s="11">
        <v>0</v>
      </c>
      <c r="J4" s="11">
        <v>0</v>
      </c>
      <c r="K4" s="10">
        <v>77251.408817750009</v>
      </c>
      <c r="L4" s="41">
        <v>0</v>
      </c>
      <c r="M4" s="43">
        <v>0</v>
      </c>
      <c r="N4" s="41">
        <v>0</v>
      </c>
      <c r="O4" s="43">
        <v>0</v>
      </c>
      <c r="P4" s="41">
        <v>0</v>
      </c>
      <c r="Q4" s="43">
        <v>0</v>
      </c>
      <c r="R4" s="43">
        <v>0</v>
      </c>
      <c r="S4" s="43">
        <v>0</v>
      </c>
      <c r="T4" s="43">
        <v>0</v>
      </c>
      <c r="U4" s="19" t="s">
        <v>295</v>
      </c>
      <c r="V4" s="13">
        <f t="shared" si="0"/>
        <v>77251.408817750009</v>
      </c>
      <c r="W4" s="13"/>
      <c r="X4" s="13"/>
      <c r="Y4" s="13"/>
      <c r="Z4" s="13"/>
      <c r="AA4" s="22">
        <v>45717</v>
      </c>
      <c r="AB4" s="22" cm="1">
        <f t="array" ref="AB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 s="4"/>
      <c r="AD4" s="13"/>
      <c r="AE4" s="15"/>
      <c r="AF4" s="3"/>
      <c r="AG4" s="3"/>
      <c r="AH4" s="3"/>
      <c r="AI4" s="3"/>
      <c r="AJ4" s="2">
        <f t="shared" si="1"/>
        <v>0</v>
      </c>
      <c r="AK4" s="2">
        <f t="shared" si="2"/>
        <v>0</v>
      </c>
      <c r="AL4" s="2">
        <f t="shared" si="3"/>
        <v>0</v>
      </c>
      <c r="AM4" s="88"/>
      <c r="AN4" s="157" t="s">
        <v>774</v>
      </c>
    </row>
    <row r="5" spans="1:41" ht="23.15" customHeight="1" thickBot="1">
      <c r="B5" s="87"/>
      <c r="C5" s="2" t="s">
        <v>292</v>
      </c>
      <c r="D5" s="15" t="s">
        <v>6</v>
      </c>
      <c r="E5" s="17" t="s">
        <v>28</v>
      </c>
      <c r="F5" s="17" t="s">
        <v>37</v>
      </c>
      <c r="G5" s="18">
        <v>16</v>
      </c>
      <c r="H5" s="18">
        <v>12</v>
      </c>
      <c r="I5" s="18">
        <v>0</v>
      </c>
      <c r="J5" s="18">
        <v>0</v>
      </c>
      <c r="K5" s="19">
        <v>77251.408817750009</v>
      </c>
      <c r="L5" s="41">
        <v>0</v>
      </c>
      <c r="M5" s="43">
        <v>0</v>
      </c>
      <c r="N5" s="41">
        <v>0</v>
      </c>
      <c r="O5" s="41">
        <v>0</v>
      </c>
      <c r="P5" s="41">
        <v>0</v>
      </c>
      <c r="Q5" s="43">
        <v>0</v>
      </c>
      <c r="R5" s="43">
        <v>0</v>
      </c>
      <c r="S5" s="43">
        <v>0</v>
      </c>
      <c r="T5" s="43">
        <v>0</v>
      </c>
      <c r="U5" s="19"/>
      <c r="V5" s="13">
        <f t="shared" si="0"/>
        <v>77251.408817750009</v>
      </c>
      <c r="W5" s="13"/>
      <c r="X5" s="13"/>
      <c r="Y5" s="13"/>
      <c r="Z5" s="13"/>
      <c r="AA5" s="22">
        <v>45748</v>
      </c>
      <c r="AB5" s="22" cm="1">
        <f t="array" ref="AB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 s="4"/>
      <c r="AD5" s="13"/>
      <c r="AE5" s="15"/>
      <c r="AF5" s="3"/>
      <c r="AG5" s="3"/>
      <c r="AH5" s="3"/>
      <c r="AI5" s="3"/>
      <c r="AJ5" s="2">
        <f t="shared" si="1"/>
        <v>0</v>
      </c>
      <c r="AK5" s="2">
        <f t="shared" si="2"/>
        <v>0</v>
      </c>
      <c r="AL5" s="2">
        <f t="shared" si="3"/>
        <v>0</v>
      </c>
      <c r="AM5" s="88"/>
      <c r="AN5" s="157" t="s">
        <v>774</v>
      </c>
      <c r="AO5" s="349"/>
    </row>
    <row r="6" spans="1:41" ht="23.15" customHeight="1" thickBot="1">
      <c r="B6" s="87">
        <v>45812</v>
      </c>
      <c r="C6" s="2" t="s">
        <v>295</v>
      </c>
      <c r="D6" s="15" t="s">
        <v>6</v>
      </c>
      <c r="E6" s="17" t="s">
        <v>28</v>
      </c>
      <c r="F6" s="17" t="s">
        <v>37</v>
      </c>
      <c r="G6" s="18">
        <v>16</v>
      </c>
      <c r="H6" s="18">
        <v>12</v>
      </c>
      <c r="I6" s="18">
        <v>0</v>
      </c>
      <c r="J6" s="18">
        <v>0</v>
      </c>
      <c r="K6" s="19">
        <v>77251.408817750009</v>
      </c>
      <c r="L6" s="41">
        <v>0</v>
      </c>
      <c r="M6" s="41">
        <v>0</v>
      </c>
      <c r="N6" s="41">
        <v>0</v>
      </c>
      <c r="O6" s="41">
        <v>0</v>
      </c>
      <c r="P6" s="41">
        <v>0</v>
      </c>
      <c r="Q6" s="43">
        <v>0</v>
      </c>
      <c r="R6" s="43">
        <v>0</v>
      </c>
      <c r="S6" s="43">
        <v>0</v>
      </c>
      <c r="T6" s="43">
        <v>0</v>
      </c>
      <c r="U6" s="19" t="s">
        <v>292</v>
      </c>
      <c r="V6" s="13">
        <f t="shared" si="0"/>
        <v>77251.408817750009</v>
      </c>
      <c r="W6" s="13"/>
      <c r="X6" s="13"/>
      <c r="Y6" s="13"/>
      <c r="Z6" s="13"/>
      <c r="AA6" s="22">
        <v>45778</v>
      </c>
      <c r="AB6" s="22" cm="1">
        <f t="array" ref="AB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 s="4"/>
      <c r="AD6" s="13"/>
      <c r="AE6" s="15"/>
      <c r="AF6" s="3"/>
      <c r="AG6" s="3"/>
      <c r="AH6" s="3"/>
      <c r="AI6" s="3"/>
      <c r="AJ6" s="2">
        <f t="shared" si="1"/>
        <v>0</v>
      </c>
      <c r="AK6" s="2">
        <f t="shared" si="2"/>
        <v>0</v>
      </c>
      <c r="AL6" s="2">
        <f t="shared" si="3"/>
        <v>0</v>
      </c>
      <c r="AM6" s="88"/>
      <c r="AN6" s="157" t="s">
        <v>774</v>
      </c>
    </row>
    <row r="7" spans="1:41" ht="23.15" customHeight="1" thickBot="1">
      <c r="B7" s="87">
        <v>45839</v>
      </c>
      <c r="C7" s="2" t="s">
        <v>295</v>
      </c>
      <c r="D7" s="15" t="s">
        <v>6</v>
      </c>
      <c r="E7" s="17" t="s">
        <v>28</v>
      </c>
      <c r="F7" s="17" t="s">
        <v>37</v>
      </c>
      <c r="G7" s="18">
        <v>16</v>
      </c>
      <c r="H7" s="18">
        <v>12</v>
      </c>
      <c r="I7" s="18">
        <v>0</v>
      </c>
      <c r="J7" s="18">
        <v>0</v>
      </c>
      <c r="K7" s="19">
        <v>77251.408817750009</v>
      </c>
      <c r="L7" s="41">
        <v>0</v>
      </c>
      <c r="M7" s="41">
        <v>0</v>
      </c>
      <c r="N7" s="41">
        <v>0</v>
      </c>
      <c r="O7" s="41">
        <v>0</v>
      </c>
      <c r="P7" s="41" t="s">
        <v>293</v>
      </c>
      <c r="Q7" s="43">
        <v>0</v>
      </c>
      <c r="R7" s="43">
        <v>0</v>
      </c>
      <c r="S7" s="43">
        <v>0</v>
      </c>
      <c r="T7" s="43">
        <v>0</v>
      </c>
      <c r="U7" s="19" t="s">
        <v>292</v>
      </c>
      <c r="V7" s="13">
        <f t="shared" si="0"/>
        <v>77251.408817750009</v>
      </c>
      <c r="W7" s="13"/>
      <c r="X7" s="13"/>
      <c r="Y7" s="13"/>
      <c r="Z7" s="13"/>
      <c r="AA7" s="22">
        <v>45809</v>
      </c>
      <c r="AB7" s="22" cm="1">
        <f t="array" ref="AB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 s="4"/>
      <c r="AD7" s="13"/>
      <c r="AE7" s="15"/>
      <c r="AF7" s="3"/>
      <c r="AG7" s="3"/>
      <c r="AH7" s="3"/>
      <c r="AI7" s="3"/>
      <c r="AJ7" s="2">
        <f t="shared" si="1"/>
        <v>0</v>
      </c>
      <c r="AK7" s="2">
        <f t="shared" si="2"/>
        <v>0</v>
      </c>
      <c r="AL7" s="2">
        <f t="shared" si="3"/>
        <v>0</v>
      </c>
      <c r="AM7" s="88"/>
      <c r="AN7" s="157" t="s">
        <v>774</v>
      </c>
    </row>
    <row r="8" spans="1:41" ht="23.15" customHeight="1" thickBot="1">
      <c r="B8" s="87"/>
      <c r="C8" s="2" t="s">
        <v>292</v>
      </c>
      <c r="D8" s="15" t="s">
        <v>6</v>
      </c>
      <c r="E8" s="17" t="s">
        <v>28</v>
      </c>
      <c r="F8" s="17" t="s">
        <v>37</v>
      </c>
      <c r="G8" s="18">
        <v>16</v>
      </c>
      <c r="H8" s="18">
        <v>12</v>
      </c>
      <c r="I8" s="18" t="s">
        <v>294</v>
      </c>
      <c r="J8" s="18" t="s">
        <v>294</v>
      </c>
      <c r="K8" s="19">
        <v>81671.16</v>
      </c>
      <c r="L8" s="41">
        <v>0</v>
      </c>
      <c r="M8" s="18" t="s">
        <v>294</v>
      </c>
      <c r="N8" s="41">
        <v>0</v>
      </c>
      <c r="O8" s="18" t="s">
        <v>294</v>
      </c>
      <c r="P8" s="41">
        <v>0</v>
      </c>
      <c r="Q8" s="43">
        <v>0</v>
      </c>
      <c r="R8" s="43">
        <v>0</v>
      </c>
      <c r="S8" s="43">
        <v>0</v>
      </c>
      <c r="T8" s="43">
        <v>0</v>
      </c>
      <c r="U8" s="19"/>
      <c r="V8" s="13">
        <f t="shared" si="0"/>
        <v>81671.16</v>
      </c>
      <c r="W8" s="13"/>
      <c r="X8" s="13"/>
      <c r="Y8" s="13"/>
      <c r="Z8" s="13"/>
      <c r="AA8" s="22">
        <v>45870</v>
      </c>
      <c r="AB8" s="22" cm="1">
        <f t="array" ref="AB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 s="4">
        <v>6699.5705108557258</v>
      </c>
      <c r="AD8" s="13">
        <v>6699.5705108557258</v>
      </c>
      <c r="AE8" s="15"/>
      <c r="AF8" s="3"/>
      <c r="AG8" s="3"/>
      <c r="AH8" s="3"/>
      <c r="AI8" s="3"/>
      <c r="AJ8" s="2">
        <f t="shared" si="1"/>
        <v>0</v>
      </c>
      <c r="AK8" s="2">
        <f t="shared" si="2"/>
        <v>0</v>
      </c>
      <c r="AL8" s="2">
        <f t="shared" si="3"/>
        <v>0</v>
      </c>
      <c r="AM8" s="88"/>
      <c r="AN8" s="157" t="s">
        <v>774</v>
      </c>
    </row>
    <row r="9" spans="1:41" ht="23.15" customHeight="1" thickBot="1">
      <c r="A9" s="184" t="s">
        <v>171</v>
      </c>
      <c r="B9" s="87">
        <v>45870</v>
      </c>
      <c r="C9" s="2" t="s">
        <v>295</v>
      </c>
      <c r="D9" s="15" t="s">
        <v>6</v>
      </c>
      <c r="E9" s="17" t="s">
        <v>28</v>
      </c>
      <c r="F9" s="17" t="s">
        <v>37</v>
      </c>
      <c r="G9" s="18">
        <v>16</v>
      </c>
      <c r="H9" s="18">
        <v>12</v>
      </c>
      <c r="I9" s="18">
        <v>0</v>
      </c>
      <c r="J9" s="18">
        <v>0</v>
      </c>
      <c r="K9" s="19">
        <v>81671.16</v>
      </c>
      <c r="L9" s="41">
        <v>0</v>
      </c>
      <c r="M9" s="41">
        <v>0</v>
      </c>
      <c r="N9" s="41">
        <v>0</v>
      </c>
      <c r="O9" s="41">
        <v>0</v>
      </c>
      <c r="P9" s="41" t="s">
        <v>293</v>
      </c>
      <c r="Q9" s="43">
        <v>0</v>
      </c>
      <c r="R9" s="43">
        <v>0</v>
      </c>
      <c r="S9" s="43">
        <v>0</v>
      </c>
      <c r="T9" s="43">
        <v>0</v>
      </c>
      <c r="U9" s="19"/>
      <c r="V9" s="13">
        <f t="shared" ref="V9:V40" si="4">IFERROR((K9+M9+R9+S9+T9+O9)+IF(U9="Sim",P9+Q9,0),(K9+R9+S9+T9)+IF(U9="Sim",P9+Q9,0))</f>
        <v>81671.16</v>
      </c>
      <c r="W9" s="13"/>
      <c r="X9" s="13"/>
      <c r="Y9" s="13"/>
      <c r="Z9" s="13"/>
      <c r="AA9" s="22">
        <v>45839</v>
      </c>
      <c r="AB9" s="22" cm="1">
        <f t="array" ref="AB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 s="4"/>
      <c r="AD9" s="13"/>
      <c r="AE9" s="13"/>
      <c r="AF9" s="3"/>
      <c r="AG9" s="3"/>
      <c r="AH9" s="3"/>
      <c r="AI9" s="3"/>
      <c r="AJ9" s="2">
        <f t="shared" ref="AJ9:AJ72" si="5">IFERROR(L9-M9,0)</f>
        <v>0</v>
      </c>
      <c r="AK9" s="2">
        <f t="shared" ref="AK9:AK72" si="6">AC9-AD9</f>
        <v>0</v>
      </c>
      <c r="AL9" s="2">
        <f t="shared" ref="AL9:AL72" si="7">K9-V9</f>
        <v>0</v>
      </c>
      <c r="AM9" s="88"/>
      <c r="AN9" s="157" t="s">
        <v>774</v>
      </c>
    </row>
    <row r="10" spans="1:41" ht="23.15" customHeight="1" thickBot="1">
      <c r="B10" s="87"/>
      <c r="C10" s="2" t="s">
        <v>292</v>
      </c>
      <c r="D10" s="15" t="s">
        <v>6</v>
      </c>
      <c r="E10" s="17" t="s">
        <v>28</v>
      </c>
      <c r="F10" s="17" t="s">
        <v>37</v>
      </c>
      <c r="G10" s="18">
        <v>16</v>
      </c>
      <c r="H10" s="18">
        <v>12</v>
      </c>
      <c r="I10" s="18" t="s">
        <v>294</v>
      </c>
      <c r="J10" s="18" t="s">
        <v>294</v>
      </c>
      <c r="K10" s="19">
        <v>81671.16</v>
      </c>
      <c r="L10" s="41">
        <v>0</v>
      </c>
      <c r="M10" s="18" t="s">
        <v>294</v>
      </c>
      <c r="N10" s="41">
        <v>0</v>
      </c>
      <c r="O10" s="18" t="s">
        <v>294</v>
      </c>
      <c r="P10" s="41">
        <v>0</v>
      </c>
      <c r="Q10" s="43">
        <v>0</v>
      </c>
      <c r="R10" s="43">
        <v>0</v>
      </c>
      <c r="S10" s="43">
        <v>0</v>
      </c>
      <c r="T10" s="43">
        <v>0</v>
      </c>
      <c r="U10" s="19"/>
      <c r="V10" s="13">
        <f t="shared" si="4"/>
        <v>81671.16</v>
      </c>
      <c r="W10" s="13"/>
      <c r="X10" s="13"/>
      <c r="Y10" s="13"/>
      <c r="Z10" s="13"/>
      <c r="AA10" s="22">
        <v>45901</v>
      </c>
      <c r="AB10" s="22" cm="1">
        <f t="array" ref="AB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0" s="4"/>
      <c r="AD10" s="13">
        <v>3497.9</v>
      </c>
      <c r="AE10" s="15"/>
      <c r="AF10" s="3"/>
      <c r="AG10" s="3"/>
      <c r="AH10" s="3"/>
      <c r="AI10" s="3"/>
      <c r="AJ10" s="2">
        <f t="shared" si="5"/>
        <v>0</v>
      </c>
      <c r="AK10" s="2">
        <f t="shared" si="6"/>
        <v>-3497.9</v>
      </c>
      <c r="AL10" s="2">
        <f t="shared" si="7"/>
        <v>0</v>
      </c>
      <c r="AM10" s="88"/>
      <c r="AN10" s="157" t="s">
        <v>774</v>
      </c>
    </row>
    <row r="11" spans="1:41" ht="23.15" customHeight="1" thickBot="1">
      <c r="B11" s="87"/>
      <c r="C11" s="2" t="s">
        <v>292</v>
      </c>
      <c r="D11" s="15" t="s">
        <v>6</v>
      </c>
      <c r="E11" s="17" t="s">
        <v>28</v>
      </c>
      <c r="F11" s="17" t="s">
        <v>37</v>
      </c>
      <c r="G11" s="18">
        <v>16</v>
      </c>
      <c r="H11" s="18">
        <v>12</v>
      </c>
      <c r="I11" s="18" t="s">
        <v>294</v>
      </c>
      <c r="J11" s="18" t="s">
        <v>294</v>
      </c>
      <c r="K11" s="19">
        <v>81671.16</v>
      </c>
      <c r="L11" s="41"/>
      <c r="M11" s="18" t="s">
        <v>294</v>
      </c>
      <c r="N11" s="41"/>
      <c r="O11" s="18" t="s">
        <v>294</v>
      </c>
      <c r="P11" s="41" t="s">
        <v>293</v>
      </c>
      <c r="Q11" s="43"/>
      <c r="R11" s="43"/>
      <c r="S11" s="43"/>
      <c r="T11" s="43"/>
      <c r="U11" s="19"/>
      <c r="V11" s="13">
        <f t="shared" si="4"/>
        <v>81671.16</v>
      </c>
      <c r="W11" s="13"/>
      <c r="X11" s="13"/>
      <c r="Y11" s="13"/>
      <c r="Z11" s="13"/>
      <c r="AA11" s="22">
        <v>45931</v>
      </c>
      <c r="AB11" s="22" cm="1">
        <f t="array" ref="AB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1" s="4"/>
      <c r="AD11" s="13"/>
      <c r="AE11" s="15"/>
      <c r="AF11" s="3"/>
      <c r="AG11" s="3"/>
      <c r="AH11" s="3"/>
      <c r="AI11" s="3"/>
      <c r="AJ11" s="2">
        <f t="shared" si="5"/>
        <v>0</v>
      </c>
      <c r="AK11" s="2">
        <f t="shared" si="6"/>
        <v>0</v>
      </c>
      <c r="AL11" s="2">
        <f t="shared" si="7"/>
        <v>0</v>
      </c>
      <c r="AM11" s="88"/>
      <c r="AN11" s="157" t="s">
        <v>774</v>
      </c>
    </row>
    <row r="12" spans="1:41" ht="23.15" customHeight="1" thickBot="1">
      <c r="B12" s="87">
        <v>45842</v>
      </c>
      <c r="C12" s="2" t="s">
        <v>295</v>
      </c>
      <c r="D12" s="15" t="s">
        <v>6</v>
      </c>
      <c r="E12" s="20" t="s">
        <v>30</v>
      </c>
      <c r="F12" s="17" t="s">
        <v>39</v>
      </c>
      <c r="G12" s="18">
        <v>65</v>
      </c>
      <c r="H12" s="18">
        <v>60</v>
      </c>
      <c r="I12" s="18">
        <v>15</v>
      </c>
      <c r="J12" s="18">
        <v>0</v>
      </c>
      <c r="K12" s="19">
        <v>335112.54420402023</v>
      </c>
      <c r="L12" s="41">
        <v>0</v>
      </c>
      <c r="M12" s="43">
        <v>-2342.0100000000002</v>
      </c>
      <c r="N12" s="41">
        <v>0</v>
      </c>
      <c r="O12" s="43">
        <v>0</v>
      </c>
      <c r="P12" s="41">
        <f>-1675.56</f>
        <v>-1675.56</v>
      </c>
      <c r="Q12" s="43">
        <v>0</v>
      </c>
      <c r="R12" s="43">
        <v>0</v>
      </c>
      <c r="S12" s="43">
        <v>0</v>
      </c>
      <c r="T12" s="43">
        <v>0</v>
      </c>
      <c r="U12" s="19" t="s">
        <v>295</v>
      </c>
      <c r="V12" s="13">
        <f t="shared" si="4"/>
        <v>331094.97420402023</v>
      </c>
      <c r="W12" s="13"/>
      <c r="X12" s="13"/>
      <c r="Y12" s="13">
        <f>126534.36/4</f>
        <v>31633.59</v>
      </c>
      <c r="Z12" s="45" t="s">
        <v>296</v>
      </c>
      <c r="AA12" s="22">
        <v>45839</v>
      </c>
      <c r="AB12" s="22" cm="1">
        <f t="array" ref="AB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2" s="4"/>
      <c r="AD12" s="13"/>
      <c r="AE12" s="15"/>
      <c r="AF12" s="3"/>
      <c r="AG12" s="3"/>
      <c r="AH12" s="3"/>
      <c r="AI12" s="3"/>
      <c r="AJ12" s="2">
        <f t="shared" si="5"/>
        <v>2342.0100000000002</v>
      </c>
      <c r="AK12" s="2">
        <f t="shared" si="6"/>
        <v>0</v>
      </c>
      <c r="AL12" s="2">
        <f t="shared" si="7"/>
        <v>4017.570000000007</v>
      </c>
      <c r="AM12" s="88"/>
      <c r="AN12" s="157" t="s">
        <v>774</v>
      </c>
    </row>
    <row r="13" spans="1:41" ht="23.15" customHeight="1" thickBot="1">
      <c r="B13" s="87"/>
      <c r="C13" s="2"/>
      <c r="D13" s="15" t="s">
        <v>6</v>
      </c>
      <c r="E13" s="20" t="s">
        <v>28</v>
      </c>
      <c r="F13" s="17" t="s">
        <v>37</v>
      </c>
      <c r="G13" s="18">
        <v>16</v>
      </c>
      <c r="H13" s="18"/>
      <c r="I13" s="18"/>
      <c r="J13" s="18"/>
      <c r="K13" s="19"/>
      <c r="L13" s="41"/>
      <c r="M13" s="43"/>
      <c r="N13" s="41"/>
      <c r="O13" s="43"/>
      <c r="P13" s="41"/>
      <c r="Q13" s="43"/>
      <c r="R13" s="43"/>
      <c r="S13" s="43"/>
      <c r="T13" s="43"/>
      <c r="U13" s="19"/>
      <c r="V13" s="13">
        <f t="shared" si="4"/>
        <v>0</v>
      </c>
      <c r="W13" s="13"/>
      <c r="X13" s="13"/>
      <c r="Y13" s="13"/>
      <c r="Z13" s="13"/>
      <c r="AA13" s="22">
        <v>45962</v>
      </c>
      <c r="AB13" s="22" cm="1">
        <f t="array" ref="AB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3" s="4"/>
      <c r="AD13" s="13"/>
      <c r="AE13" s="15"/>
      <c r="AF13" s="3"/>
      <c r="AG13" s="3"/>
      <c r="AH13" s="3"/>
      <c r="AI13" s="3"/>
      <c r="AJ13" s="2">
        <f t="shared" si="5"/>
        <v>0</v>
      </c>
      <c r="AK13" s="2">
        <f t="shared" si="6"/>
        <v>0</v>
      </c>
      <c r="AL13" s="2">
        <f t="shared" si="7"/>
        <v>0</v>
      </c>
      <c r="AM13" s="88"/>
      <c r="AN13" s="157" t="s">
        <v>774</v>
      </c>
    </row>
    <row r="14" spans="1:41" ht="23.15" customHeight="1" thickBot="1">
      <c r="B14" s="87"/>
      <c r="C14" s="2"/>
      <c r="D14" s="15" t="s">
        <v>6</v>
      </c>
      <c r="E14" s="17" t="s">
        <v>28</v>
      </c>
      <c r="F14" s="17" t="s">
        <v>37</v>
      </c>
      <c r="G14" s="18">
        <v>16</v>
      </c>
      <c r="H14" s="18"/>
      <c r="I14" s="18"/>
      <c r="J14" s="18"/>
      <c r="K14" s="19"/>
      <c r="L14" s="41"/>
      <c r="M14" s="43"/>
      <c r="N14" s="41"/>
      <c r="O14" s="43"/>
      <c r="P14" s="41"/>
      <c r="Q14" s="41"/>
      <c r="R14" s="41"/>
      <c r="S14" s="41"/>
      <c r="T14" s="41"/>
      <c r="U14" s="19"/>
      <c r="V14" s="13">
        <f t="shared" si="4"/>
        <v>0</v>
      </c>
      <c r="W14" s="13"/>
      <c r="X14" s="13"/>
      <c r="Y14" s="13"/>
      <c r="Z14" s="13"/>
      <c r="AA14" s="22">
        <v>45992</v>
      </c>
      <c r="AB14" s="22" cm="1">
        <f t="array" ref="AB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4" s="4"/>
      <c r="AD14" s="13">
        <v>2882.57</v>
      </c>
      <c r="AE14" s="15"/>
      <c r="AF14" s="3"/>
      <c r="AG14" s="4"/>
      <c r="AH14" s="3"/>
      <c r="AI14" s="3"/>
      <c r="AJ14" s="2">
        <f t="shared" si="5"/>
        <v>0</v>
      </c>
      <c r="AK14" s="2">
        <f t="shared" si="6"/>
        <v>-2882.57</v>
      </c>
      <c r="AL14" s="2">
        <f t="shared" si="7"/>
        <v>0</v>
      </c>
      <c r="AM14" s="88"/>
      <c r="AN14" s="157" t="s">
        <v>774</v>
      </c>
    </row>
    <row r="15" spans="1:41" ht="23.15" customHeight="1" thickBot="1">
      <c r="B15" s="87"/>
      <c r="C15" s="2" t="s">
        <v>295</v>
      </c>
      <c r="D15" s="15" t="s">
        <v>6</v>
      </c>
      <c r="E15" s="17" t="s">
        <v>159</v>
      </c>
      <c r="F15" s="17" t="s">
        <v>39</v>
      </c>
      <c r="G15" s="18">
        <v>2</v>
      </c>
      <c r="H15" s="18">
        <v>2</v>
      </c>
      <c r="I15" s="18">
        <v>0</v>
      </c>
      <c r="J15" s="18">
        <v>0</v>
      </c>
      <c r="K15" s="19">
        <f>8163.51/30.4375*9</f>
        <v>2413.8510061601642</v>
      </c>
      <c r="L15" s="41">
        <v>0</v>
      </c>
      <c r="M15" s="43">
        <v>0</v>
      </c>
      <c r="N15" s="41">
        <v>0</v>
      </c>
      <c r="O15" s="43">
        <v>0</v>
      </c>
      <c r="P15" s="41">
        <v>0</v>
      </c>
      <c r="Q15" s="43">
        <v>0</v>
      </c>
      <c r="R15" s="43">
        <v>0</v>
      </c>
      <c r="S15" s="43">
        <v>0</v>
      </c>
      <c r="T15" s="43">
        <v>0</v>
      </c>
      <c r="U15" s="19" t="s">
        <v>295</v>
      </c>
      <c r="V15" s="13">
        <f t="shared" si="4"/>
        <v>2413.8510061601642</v>
      </c>
      <c r="W15" s="13"/>
      <c r="X15" s="13"/>
      <c r="Y15" s="13"/>
      <c r="Z15" s="13"/>
      <c r="AA15" s="22">
        <v>45717</v>
      </c>
      <c r="AB15" s="22" cm="1">
        <f t="array" ref="AB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5" s="4"/>
      <c r="AD15" s="13"/>
      <c r="AE15" s="15"/>
      <c r="AF15" s="3"/>
      <c r="AG15" s="3"/>
      <c r="AH15" s="3"/>
      <c r="AI15" s="3"/>
      <c r="AJ15" s="2">
        <f t="shared" si="5"/>
        <v>0</v>
      </c>
      <c r="AK15" s="2">
        <f t="shared" si="6"/>
        <v>0</v>
      </c>
      <c r="AL15" s="2">
        <f t="shared" si="7"/>
        <v>0</v>
      </c>
      <c r="AM15" s="88"/>
      <c r="AN15" s="157" t="s">
        <v>774</v>
      </c>
    </row>
    <row r="16" spans="1:41" ht="23.15" customHeight="1" thickBot="1">
      <c r="B16" s="87">
        <v>45660</v>
      </c>
      <c r="C16" s="2" t="s">
        <v>295</v>
      </c>
      <c r="D16" s="15" t="s">
        <v>6</v>
      </c>
      <c r="E16" s="17" t="s">
        <v>159</v>
      </c>
      <c r="F16" s="17" t="s">
        <v>39</v>
      </c>
      <c r="G16" s="18">
        <v>2</v>
      </c>
      <c r="H16" s="18">
        <v>2</v>
      </c>
      <c r="I16" s="18">
        <v>0</v>
      </c>
      <c r="J16" s="18">
        <v>0</v>
      </c>
      <c r="K16" s="19">
        <v>8163.51</v>
      </c>
      <c r="L16" s="41">
        <v>0</v>
      </c>
      <c r="M16" s="41">
        <v>0</v>
      </c>
      <c r="N16" s="41">
        <v>0</v>
      </c>
      <c r="O16" s="43">
        <v>0</v>
      </c>
      <c r="P16" s="41">
        <v>0</v>
      </c>
      <c r="Q16" s="43">
        <v>0</v>
      </c>
      <c r="R16" s="43">
        <v>0</v>
      </c>
      <c r="S16" s="43">
        <v>0</v>
      </c>
      <c r="T16" s="43">
        <v>0</v>
      </c>
      <c r="U16" s="19" t="s">
        <v>292</v>
      </c>
      <c r="V16" s="13">
        <f t="shared" si="4"/>
        <v>8163.51</v>
      </c>
      <c r="W16" s="13"/>
      <c r="X16" s="13"/>
      <c r="Y16" s="13"/>
      <c r="Z16" s="13"/>
      <c r="AA16" s="22">
        <v>45658</v>
      </c>
      <c r="AB16" s="22" cm="1">
        <f t="array" ref="AB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6" s="4"/>
      <c r="AD16" s="13"/>
      <c r="AE16" s="15"/>
      <c r="AF16" s="3"/>
      <c r="AG16" s="3"/>
      <c r="AH16" s="3"/>
      <c r="AI16" s="3"/>
      <c r="AJ16" s="2">
        <f t="shared" si="5"/>
        <v>0</v>
      </c>
      <c r="AK16" s="2">
        <f t="shared" si="6"/>
        <v>0</v>
      </c>
      <c r="AL16" s="2">
        <f t="shared" si="7"/>
        <v>0</v>
      </c>
      <c r="AM16" s="88"/>
      <c r="AN16" s="157" t="s">
        <v>774</v>
      </c>
    </row>
    <row r="17" spans="2:40" ht="23.15" customHeight="1" thickBot="1">
      <c r="B17" s="87">
        <v>45700</v>
      </c>
      <c r="C17" s="2" t="s">
        <v>295</v>
      </c>
      <c r="D17" s="15" t="s">
        <v>6</v>
      </c>
      <c r="E17" s="17" t="s">
        <v>159</v>
      </c>
      <c r="F17" s="17" t="s">
        <v>39</v>
      </c>
      <c r="G17" s="18">
        <v>2</v>
      </c>
      <c r="H17" s="18">
        <v>2</v>
      </c>
      <c r="I17" s="18">
        <v>0</v>
      </c>
      <c r="J17" s="18">
        <v>0</v>
      </c>
      <c r="K17" s="19">
        <v>8163.51</v>
      </c>
      <c r="L17" s="41">
        <v>0</v>
      </c>
      <c r="M17" s="41">
        <v>0</v>
      </c>
      <c r="N17" s="41">
        <v>0</v>
      </c>
      <c r="O17" s="43">
        <v>0</v>
      </c>
      <c r="P17" s="41">
        <v>0</v>
      </c>
      <c r="Q17" s="43">
        <v>0</v>
      </c>
      <c r="R17" s="43">
        <v>0</v>
      </c>
      <c r="S17" s="43">
        <v>0</v>
      </c>
      <c r="T17" s="43">
        <v>0</v>
      </c>
      <c r="U17" s="19" t="s">
        <v>292</v>
      </c>
      <c r="V17" s="13">
        <f t="shared" si="4"/>
        <v>8163.51</v>
      </c>
      <c r="W17" s="13"/>
      <c r="X17" s="13"/>
      <c r="Y17" s="13"/>
      <c r="Z17" s="13"/>
      <c r="AA17" s="22">
        <v>45689</v>
      </c>
      <c r="AB17" s="22" cm="1">
        <f t="array" ref="AB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7" s="4"/>
      <c r="AD17" s="13"/>
      <c r="AE17" s="15"/>
      <c r="AF17" s="3"/>
      <c r="AG17" s="3"/>
      <c r="AH17" s="3"/>
      <c r="AI17" s="3"/>
      <c r="AJ17" s="2">
        <f t="shared" si="5"/>
        <v>0</v>
      </c>
      <c r="AK17" s="2">
        <f t="shared" si="6"/>
        <v>0</v>
      </c>
      <c r="AL17" s="2">
        <f t="shared" si="7"/>
        <v>0</v>
      </c>
      <c r="AM17" s="88"/>
      <c r="AN17" s="157" t="s">
        <v>774</v>
      </c>
    </row>
    <row r="18" spans="2:40" ht="23.15" customHeight="1" thickBot="1">
      <c r="B18" s="87">
        <v>45700</v>
      </c>
      <c r="C18" s="2" t="s">
        <v>295</v>
      </c>
      <c r="D18" s="15" t="s">
        <v>6</v>
      </c>
      <c r="E18" s="17" t="s">
        <v>30</v>
      </c>
      <c r="F18" s="17" t="s">
        <v>39</v>
      </c>
      <c r="G18" s="18">
        <v>65</v>
      </c>
      <c r="H18" s="18">
        <v>61</v>
      </c>
      <c r="I18" s="18">
        <v>9</v>
      </c>
      <c r="J18" s="18">
        <v>0</v>
      </c>
      <c r="K18" s="19">
        <v>298159.67</v>
      </c>
      <c r="L18" s="41">
        <v>0</v>
      </c>
      <c r="M18" s="41">
        <v>-1258.03</v>
      </c>
      <c r="N18" s="41">
        <v>0</v>
      </c>
      <c r="O18" s="41">
        <v>0</v>
      </c>
      <c r="P18" s="41">
        <v>-496.93</v>
      </c>
      <c r="Q18" s="43">
        <v>0</v>
      </c>
      <c r="R18" s="43">
        <v>0</v>
      </c>
      <c r="S18" s="43">
        <v>0</v>
      </c>
      <c r="T18" s="43">
        <v>0</v>
      </c>
      <c r="U18" s="19" t="s">
        <v>295</v>
      </c>
      <c r="V18" s="13">
        <f t="shared" si="4"/>
        <v>296404.70999999996</v>
      </c>
      <c r="W18" s="13"/>
      <c r="X18" s="13"/>
      <c r="Y18" s="13"/>
      <c r="Z18" s="13"/>
      <c r="AA18" s="22">
        <v>45689</v>
      </c>
      <c r="AB18" s="22" cm="1">
        <f t="array" ref="AB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8" s="4">
        <v>6047.154878228921</v>
      </c>
      <c r="AD18" s="13">
        <v>6047.154878228921</v>
      </c>
      <c r="AE18" s="15"/>
      <c r="AF18" s="3"/>
      <c r="AG18" s="3"/>
      <c r="AH18" s="3"/>
      <c r="AI18" s="3"/>
      <c r="AJ18" s="2">
        <f t="shared" si="5"/>
        <v>1258.03</v>
      </c>
      <c r="AK18" s="2">
        <f t="shared" si="6"/>
        <v>0</v>
      </c>
      <c r="AL18" s="2">
        <f t="shared" si="7"/>
        <v>1754.960000000021</v>
      </c>
      <c r="AM18" s="88"/>
      <c r="AN18" s="157" t="s">
        <v>774</v>
      </c>
    </row>
    <row r="19" spans="2:40" ht="23.15" customHeight="1" thickBot="1">
      <c r="B19" s="87">
        <v>45660</v>
      </c>
      <c r="C19" s="2" t="s">
        <v>295</v>
      </c>
      <c r="D19" s="15" t="s">
        <v>6</v>
      </c>
      <c r="E19" s="17" t="s">
        <v>30</v>
      </c>
      <c r="F19" s="17" t="s">
        <v>39</v>
      </c>
      <c r="G19" s="18">
        <v>65</v>
      </c>
      <c r="H19" s="18">
        <v>61</v>
      </c>
      <c r="I19" s="18">
        <v>0</v>
      </c>
      <c r="J19" s="18">
        <v>184</v>
      </c>
      <c r="K19" s="19">
        <v>298159.67</v>
      </c>
      <c r="L19" s="41">
        <v>0</v>
      </c>
      <c r="M19" s="41">
        <v>0</v>
      </c>
      <c r="N19" s="41">
        <v>0</v>
      </c>
      <c r="O19" s="41">
        <v>-3445.92</v>
      </c>
      <c r="P19" s="41">
        <v>0</v>
      </c>
      <c r="Q19" s="43">
        <v>0</v>
      </c>
      <c r="R19" s="43">
        <v>0</v>
      </c>
      <c r="S19" s="43">
        <v>0</v>
      </c>
      <c r="T19" s="43">
        <v>0</v>
      </c>
      <c r="U19" s="19" t="s">
        <v>295</v>
      </c>
      <c r="V19" s="13">
        <f t="shared" si="4"/>
        <v>294713.75</v>
      </c>
      <c r="W19" s="13"/>
      <c r="X19" s="13"/>
      <c r="Y19" s="13"/>
      <c r="Z19" s="13"/>
      <c r="AA19" s="22">
        <v>45658</v>
      </c>
      <c r="AB19" s="22" cm="1">
        <f t="array" ref="AB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19" s="4"/>
      <c r="AD19" s="13"/>
      <c r="AE19" s="15"/>
      <c r="AF19" s="3"/>
      <c r="AG19" s="3"/>
      <c r="AH19" s="3"/>
      <c r="AI19" s="3"/>
      <c r="AJ19" s="2">
        <f t="shared" si="5"/>
        <v>0</v>
      </c>
      <c r="AK19" s="2">
        <f t="shared" si="6"/>
        <v>0</v>
      </c>
      <c r="AL19" s="2">
        <f t="shared" si="7"/>
        <v>3445.9199999999837</v>
      </c>
      <c r="AM19" s="88"/>
      <c r="AN19" s="157" t="s">
        <v>774</v>
      </c>
    </row>
    <row r="20" spans="2:40" ht="23.15" customHeight="1" thickBot="1">
      <c r="B20" s="87">
        <v>45722</v>
      </c>
      <c r="C20" s="2" t="s">
        <v>295</v>
      </c>
      <c r="D20" s="15" t="s">
        <v>6</v>
      </c>
      <c r="E20" s="20" t="s">
        <v>30</v>
      </c>
      <c r="F20" s="17" t="s">
        <v>39</v>
      </c>
      <c r="G20" s="18">
        <v>65</v>
      </c>
      <c r="H20" s="18">
        <v>61</v>
      </c>
      <c r="I20" s="18">
        <v>25</v>
      </c>
      <c r="J20" s="18">
        <v>0</v>
      </c>
      <c r="K20" s="19">
        <v>298159.67</v>
      </c>
      <c r="L20" s="41">
        <v>0</v>
      </c>
      <c r="M20" s="41">
        <v>-3481.45</v>
      </c>
      <c r="N20" s="41">
        <v>0</v>
      </c>
      <c r="O20" s="43">
        <v>0</v>
      </c>
      <c r="P20" s="43">
        <v>0</v>
      </c>
      <c r="Q20" s="43">
        <v>0</v>
      </c>
      <c r="R20" s="43">
        <v>0</v>
      </c>
      <c r="S20" s="43">
        <v>0</v>
      </c>
      <c r="T20" s="43">
        <v>0</v>
      </c>
      <c r="U20" s="19" t="s">
        <v>295</v>
      </c>
      <c r="V20" s="13">
        <f t="shared" si="4"/>
        <v>294678.21999999997</v>
      </c>
      <c r="W20" s="13"/>
      <c r="X20" s="13"/>
      <c r="Y20" s="13"/>
      <c r="Z20" s="13"/>
      <c r="AA20" s="22">
        <v>45717</v>
      </c>
      <c r="AB20" s="22" cm="1">
        <f t="array" ref="AB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0" s="4">
        <v>4881.885874187441</v>
      </c>
      <c r="AD20" s="13">
        <v>4881.885874187441</v>
      </c>
      <c r="AE20" s="15"/>
      <c r="AF20" s="3"/>
      <c r="AG20" s="3"/>
      <c r="AH20" s="3"/>
      <c r="AI20" s="3"/>
      <c r="AJ20" s="2">
        <f t="shared" si="5"/>
        <v>3481.45</v>
      </c>
      <c r="AK20" s="2">
        <f t="shared" si="6"/>
        <v>0</v>
      </c>
      <c r="AL20" s="2">
        <f t="shared" si="7"/>
        <v>3481.4500000000116</v>
      </c>
      <c r="AM20" s="88"/>
      <c r="AN20" s="157" t="s">
        <v>774</v>
      </c>
    </row>
    <row r="21" spans="2:40" ht="23.15" customHeight="1" thickBot="1">
      <c r="B21" s="87">
        <v>45754</v>
      </c>
      <c r="C21" s="2" t="s">
        <v>295</v>
      </c>
      <c r="D21" s="15" t="s">
        <v>6</v>
      </c>
      <c r="E21" s="17" t="s">
        <v>30</v>
      </c>
      <c r="F21" s="17" t="s">
        <v>39</v>
      </c>
      <c r="G21" s="18">
        <v>65</v>
      </c>
      <c r="H21" s="18">
        <v>61</v>
      </c>
      <c r="I21" s="18">
        <v>0</v>
      </c>
      <c r="J21" s="18">
        <v>0</v>
      </c>
      <c r="K21" s="19">
        <v>298159.67</v>
      </c>
      <c r="L21" s="41">
        <v>0</v>
      </c>
      <c r="M21" s="43">
        <v>0</v>
      </c>
      <c r="N21" s="41">
        <v>0</v>
      </c>
      <c r="O21" s="43">
        <v>0</v>
      </c>
      <c r="P21" s="43">
        <v>0</v>
      </c>
      <c r="Q21" s="43">
        <v>0</v>
      </c>
      <c r="R21" s="43">
        <v>0</v>
      </c>
      <c r="S21" s="43">
        <v>0</v>
      </c>
      <c r="T21" s="43">
        <v>0</v>
      </c>
      <c r="U21" s="19"/>
      <c r="V21" s="13">
        <f t="shared" si="4"/>
        <v>298159.67</v>
      </c>
      <c r="W21" s="13"/>
      <c r="X21" s="13"/>
      <c r="Y21" s="13"/>
      <c r="Z21" s="13"/>
      <c r="AA21" s="22">
        <v>45748</v>
      </c>
      <c r="AB21" s="22" cm="1">
        <f t="array" ref="AB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1" s="4"/>
      <c r="AD21" s="13"/>
      <c r="AE21" s="15"/>
      <c r="AF21" s="3"/>
      <c r="AG21" s="3"/>
      <c r="AH21" s="3"/>
      <c r="AI21" s="3"/>
      <c r="AJ21" s="2">
        <f t="shared" si="5"/>
        <v>0</v>
      </c>
      <c r="AK21" s="2">
        <f t="shared" si="6"/>
        <v>0</v>
      </c>
      <c r="AL21" s="2">
        <f t="shared" si="7"/>
        <v>0</v>
      </c>
      <c r="AM21" s="88"/>
      <c r="AN21" s="157" t="s">
        <v>774</v>
      </c>
    </row>
    <row r="22" spans="2:40" ht="23.15" customHeight="1" thickBot="1">
      <c r="B22" s="87">
        <v>45789</v>
      </c>
      <c r="C22" s="2" t="s">
        <v>295</v>
      </c>
      <c r="D22" s="15" t="s">
        <v>6</v>
      </c>
      <c r="E22" s="17" t="s">
        <v>30</v>
      </c>
      <c r="F22" s="17" t="s">
        <v>39</v>
      </c>
      <c r="G22" s="18">
        <v>65</v>
      </c>
      <c r="H22" s="18">
        <v>61</v>
      </c>
      <c r="I22" s="18">
        <v>0</v>
      </c>
      <c r="J22" s="18">
        <v>0</v>
      </c>
      <c r="K22" s="19">
        <v>298159.67</v>
      </c>
      <c r="L22" s="41">
        <v>0</v>
      </c>
      <c r="M22" s="41">
        <v>0</v>
      </c>
      <c r="N22" s="41">
        <v>0</v>
      </c>
      <c r="O22" s="43">
        <v>0</v>
      </c>
      <c r="P22" s="41">
        <v>0</v>
      </c>
      <c r="Q22" s="43">
        <v>0</v>
      </c>
      <c r="R22" s="43">
        <v>0</v>
      </c>
      <c r="S22" s="43">
        <v>0</v>
      </c>
      <c r="T22" s="43">
        <v>0</v>
      </c>
      <c r="U22" s="19" t="s">
        <v>295</v>
      </c>
      <c r="V22" s="13">
        <f t="shared" si="4"/>
        <v>298159.67</v>
      </c>
      <c r="W22" s="13"/>
      <c r="X22" s="13"/>
      <c r="Y22" s="13">
        <f>126534.36/4</f>
        <v>31633.59</v>
      </c>
      <c r="Z22" s="45" t="s">
        <v>297</v>
      </c>
      <c r="AA22" s="22">
        <v>45778</v>
      </c>
      <c r="AB22" s="22" cm="1">
        <f t="array" ref="AB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2" s="4"/>
      <c r="AD22" s="13"/>
      <c r="AE22" s="15"/>
      <c r="AF22" s="3"/>
      <c r="AG22" s="3"/>
      <c r="AH22" s="3"/>
      <c r="AI22" s="3"/>
      <c r="AJ22" s="2">
        <f t="shared" si="5"/>
        <v>0</v>
      </c>
      <c r="AK22" s="2">
        <f t="shared" si="6"/>
        <v>0</v>
      </c>
      <c r="AL22" s="2">
        <f t="shared" si="7"/>
        <v>0</v>
      </c>
      <c r="AM22" s="88"/>
      <c r="AN22" s="157" t="s">
        <v>774</v>
      </c>
    </row>
    <row r="23" spans="2:40" ht="23.15" customHeight="1" thickBot="1">
      <c r="B23" s="87">
        <v>45903</v>
      </c>
      <c r="C23" s="2" t="s">
        <v>295</v>
      </c>
      <c r="D23" s="15" t="s">
        <v>6</v>
      </c>
      <c r="E23" s="17" t="s">
        <v>30</v>
      </c>
      <c r="F23" s="17" t="s">
        <v>39</v>
      </c>
      <c r="G23" s="18">
        <v>65</v>
      </c>
      <c r="H23" s="18">
        <v>60</v>
      </c>
      <c r="I23" s="18">
        <v>23</v>
      </c>
      <c r="J23" s="18">
        <v>0</v>
      </c>
      <c r="K23" s="19">
        <v>335112.54420402023</v>
      </c>
      <c r="L23" s="41">
        <v>0</v>
      </c>
      <c r="M23" s="43">
        <v>-3167.48</v>
      </c>
      <c r="N23" s="41">
        <v>0</v>
      </c>
      <c r="O23" s="43">
        <v>0</v>
      </c>
      <c r="P23" s="41">
        <v>-3351.13</v>
      </c>
      <c r="Q23" s="43">
        <v>0</v>
      </c>
      <c r="R23" s="43">
        <v>0</v>
      </c>
      <c r="S23" s="41">
        <v>0</v>
      </c>
      <c r="T23" s="41">
        <v>0</v>
      </c>
      <c r="U23" s="19" t="s">
        <v>295</v>
      </c>
      <c r="V23" s="13">
        <f t="shared" si="4"/>
        <v>328593.93420402025</v>
      </c>
      <c r="W23" s="13"/>
      <c r="X23" s="13"/>
      <c r="Y23" s="13"/>
      <c r="Z23" s="13"/>
      <c r="AA23" s="22">
        <v>45901</v>
      </c>
      <c r="AB23" s="22" cm="1">
        <f t="array" ref="AB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3" s="4"/>
      <c r="AD23" s="13"/>
      <c r="AE23" s="15"/>
      <c r="AF23" s="3"/>
      <c r="AG23" s="3"/>
      <c r="AH23" s="3"/>
      <c r="AI23" s="3"/>
      <c r="AJ23" s="2">
        <f t="shared" si="5"/>
        <v>3167.48</v>
      </c>
      <c r="AK23" s="2">
        <f t="shared" si="6"/>
        <v>0</v>
      </c>
      <c r="AL23" s="2">
        <f t="shared" si="7"/>
        <v>6518.609999999986</v>
      </c>
      <c r="AM23" s="88"/>
      <c r="AN23" s="157" t="s">
        <v>774</v>
      </c>
    </row>
    <row r="24" spans="2:40" ht="23.15" customHeight="1" thickBot="1">
      <c r="B24" s="87">
        <v>45818</v>
      </c>
      <c r="C24" s="2" t="s">
        <v>295</v>
      </c>
      <c r="D24" s="15" t="s">
        <v>6</v>
      </c>
      <c r="E24" s="17" t="s">
        <v>30</v>
      </c>
      <c r="F24" s="17" t="s">
        <v>39</v>
      </c>
      <c r="G24" s="18">
        <v>65</v>
      </c>
      <c r="H24" s="18">
        <v>61</v>
      </c>
      <c r="I24" s="18">
        <v>23</v>
      </c>
      <c r="J24" s="18">
        <v>0</v>
      </c>
      <c r="K24" s="19">
        <v>335112.54420402023</v>
      </c>
      <c r="L24" s="41">
        <v>0</v>
      </c>
      <c r="M24" s="41">
        <v>-3504.9</v>
      </c>
      <c r="N24" s="41">
        <v>0</v>
      </c>
      <c r="O24" s="41">
        <v>0</v>
      </c>
      <c r="P24" s="43">
        <v>-2981.6</v>
      </c>
      <c r="Q24" s="43">
        <v>0</v>
      </c>
      <c r="R24" s="43">
        <v>0</v>
      </c>
      <c r="S24" s="43">
        <v>0</v>
      </c>
      <c r="T24" s="43">
        <v>0</v>
      </c>
      <c r="U24" s="19" t="s">
        <v>295</v>
      </c>
      <c r="V24" s="13">
        <f t="shared" si="4"/>
        <v>328626.04420402023</v>
      </c>
      <c r="W24" s="13"/>
      <c r="X24" s="13"/>
      <c r="Y24" s="13">
        <f>126534.36/4</f>
        <v>31633.59</v>
      </c>
      <c r="Z24" s="45" t="s">
        <v>298</v>
      </c>
      <c r="AA24" s="22">
        <v>45809</v>
      </c>
      <c r="AB24" s="22" cm="1">
        <f t="array" ref="AB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4" s="4"/>
      <c r="AD24" s="13"/>
      <c r="AE24" s="15"/>
      <c r="AF24" s="3"/>
      <c r="AG24" s="3"/>
      <c r="AH24" s="3"/>
      <c r="AI24" s="3"/>
      <c r="AJ24" s="2">
        <f t="shared" si="5"/>
        <v>3504.9</v>
      </c>
      <c r="AK24" s="2">
        <f t="shared" si="6"/>
        <v>0</v>
      </c>
      <c r="AL24" s="2">
        <f t="shared" si="7"/>
        <v>6486.5</v>
      </c>
      <c r="AM24" s="88"/>
      <c r="AN24" s="157" t="s">
        <v>774</v>
      </c>
    </row>
    <row r="25" spans="2:40" ht="23.15" customHeight="1" thickBot="1">
      <c r="B25" s="87">
        <v>45887</v>
      </c>
      <c r="C25" s="2" t="s">
        <v>295</v>
      </c>
      <c r="D25" s="15" t="s">
        <v>6</v>
      </c>
      <c r="E25" s="17" t="s">
        <v>25</v>
      </c>
      <c r="F25" s="17" t="s">
        <v>40</v>
      </c>
      <c r="G25" s="18">
        <v>29</v>
      </c>
      <c r="H25" s="18">
        <v>17</v>
      </c>
      <c r="I25" s="18">
        <v>0</v>
      </c>
      <c r="J25" s="18">
        <v>0</v>
      </c>
      <c r="K25" s="19">
        <v>137066.54655046307</v>
      </c>
      <c r="L25" s="41">
        <v>0</v>
      </c>
      <c r="M25" s="41">
        <v>0</v>
      </c>
      <c r="N25" s="41">
        <v>0</v>
      </c>
      <c r="O25" s="41">
        <v>0</v>
      </c>
      <c r="P25" s="41">
        <v>0</v>
      </c>
      <c r="Q25" s="43">
        <v>0</v>
      </c>
      <c r="R25" s="43">
        <v>0</v>
      </c>
      <c r="S25" s="43">
        <v>0</v>
      </c>
      <c r="T25" s="43">
        <v>0</v>
      </c>
      <c r="U25" s="19" t="s">
        <v>295</v>
      </c>
      <c r="V25" s="13">
        <f t="shared" si="4"/>
        <v>137066.54655046307</v>
      </c>
      <c r="W25" s="13"/>
      <c r="X25" s="13"/>
      <c r="Y25" s="13"/>
      <c r="Z25" s="13"/>
      <c r="AA25" s="22">
        <v>45839</v>
      </c>
      <c r="AB25" s="22" cm="1">
        <f t="array" ref="AB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5" s="4"/>
      <c r="AD25" s="13"/>
      <c r="AE25" s="15"/>
      <c r="AF25" s="3"/>
      <c r="AG25" s="3"/>
      <c r="AH25" s="3"/>
      <c r="AI25" s="3"/>
      <c r="AJ25" s="2">
        <f t="shared" si="5"/>
        <v>0</v>
      </c>
      <c r="AK25" s="2">
        <f t="shared" si="6"/>
        <v>0</v>
      </c>
      <c r="AL25" s="2">
        <f t="shared" si="7"/>
        <v>0</v>
      </c>
      <c r="AM25" s="88"/>
      <c r="AN25" s="157" t="s">
        <v>774</v>
      </c>
    </row>
    <row r="26" spans="2:40" ht="23.15" customHeight="1" thickBot="1">
      <c r="B26" s="87">
        <v>45877</v>
      </c>
      <c r="C26" s="2" t="s">
        <v>299</v>
      </c>
      <c r="D26" s="15" t="s">
        <v>6</v>
      </c>
      <c r="E26" s="17" t="s">
        <v>30</v>
      </c>
      <c r="F26" s="17" t="s">
        <v>39</v>
      </c>
      <c r="G26" s="18">
        <v>65</v>
      </c>
      <c r="H26" s="18">
        <v>60</v>
      </c>
      <c r="I26" s="18">
        <v>25</v>
      </c>
      <c r="J26" s="18">
        <v>0</v>
      </c>
      <c r="K26" s="19">
        <v>335112.54420402023</v>
      </c>
      <c r="L26" s="41">
        <v>0</v>
      </c>
      <c r="M26" s="41">
        <v>-3727.6</v>
      </c>
      <c r="N26" s="41">
        <v>0</v>
      </c>
      <c r="O26" s="41">
        <v>0</v>
      </c>
      <c r="P26" s="41">
        <v>-3351.13</v>
      </c>
      <c r="Q26" s="43">
        <v>0</v>
      </c>
      <c r="R26" s="43">
        <v>0</v>
      </c>
      <c r="S26" s="43">
        <v>0</v>
      </c>
      <c r="T26" s="43">
        <v>0</v>
      </c>
      <c r="U26" s="19" t="s">
        <v>295</v>
      </c>
      <c r="V26" s="13">
        <f t="shared" si="4"/>
        <v>328033.81420402025</v>
      </c>
      <c r="W26" s="13"/>
      <c r="X26" s="13"/>
      <c r="Y26" s="13">
        <f>126534.36/4</f>
        <v>31633.59</v>
      </c>
      <c r="Z26" s="45" t="s">
        <v>300</v>
      </c>
      <c r="AA26" s="22">
        <v>45870</v>
      </c>
      <c r="AB26" s="22" cm="1">
        <f t="array" ref="AB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6" s="4"/>
      <c r="AD26" s="13">
        <v>4448.29</v>
      </c>
      <c r="AE26" s="15">
        <v>4448.29</v>
      </c>
      <c r="AF26" s="3"/>
      <c r="AG26" s="3"/>
      <c r="AH26" s="3"/>
      <c r="AI26" s="3"/>
      <c r="AJ26" s="2">
        <f t="shared" si="5"/>
        <v>3727.6</v>
      </c>
      <c r="AK26" s="2">
        <f t="shared" si="6"/>
        <v>-4448.29</v>
      </c>
      <c r="AL26" s="2">
        <f t="shared" si="7"/>
        <v>7078.7299999999814</v>
      </c>
      <c r="AM26" s="88"/>
      <c r="AN26" s="157" t="s">
        <v>774</v>
      </c>
    </row>
    <row r="27" spans="2:40" ht="23.15" customHeight="1" thickBot="1">
      <c r="B27" s="87">
        <v>45931</v>
      </c>
      <c r="C27" s="2" t="s">
        <v>299</v>
      </c>
      <c r="D27" s="15" t="s">
        <v>6</v>
      </c>
      <c r="E27" s="17" t="s">
        <v>30</v>
      </c>
      <c r="F27" s="17" t="s">
        <v>39</v>
      </c>
      <c r="G27" s="18">
        <v>65</v>
      </c>
      <c r="H27" s="18">
        <v>60</v>
      </c>
      <c r="I27" s="18">
        <v>21</v>
      </c>
      <c r="J27" s="18">
        <v>0</v>
      </c>
      <c r="K27" s="19">
        <v>335112.54420402023</v>
      </c>
      <c r="L27" s="41"/>
      <c r="M27" s="43">
        <v>-2927.02</v>
      </c>
      <c r="N27" s="41"/>
      <c r="O27" s="43">
        <v>0</v>
      </c>
      <c r="P27" s="41">
        <v>-3351.13</v>
      </c>
      <c r="Q27" s="43">
        <v>0</v>
      </c>
      <c r="R27" s="43">
        <v>0</v>
      </c>
      <c r="S27" s="43">
        <v>0</v>
      </c>
      <c r="T27" s="43">
        <v>0</v>
      </c>
      <c r="U27" s="19" t="s">
        <v>295</v>
      </c>
      <c r="V27" s="13">
        <f t="shared" si="4"/>
        <v>328834.39420402021</v>
      </c>
      <c r="W27" s="13"/>
      <c r="X27" s="13"/>
      <c r="Y27" s="13"/>
      <c r="Z27" s="13"/>
      <c r="AA27" s="22">
        <v>45931</v>
      </c>
      <c r="AB27" s="22" cm="1">
        <f t="array" ref="AB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7" s="4"/>
      <c r="AD27" s="13"/>
      <c r="AE27" s="15"/>
      <c r="AF27" s="3"/>
      <c r="AG27" s="3"/>
      <c r="AH27" s="3"/>
      <c r="AI27" s="3"/>
      <c r="AJ27" s="2">
        <f t="shared" si="5"/>
        <v>2927.02</v>
      </c>
      <c r="AK27" s="2">
        <f t="shared" si="6"/>
        <v>0</v>
      </c>
      <c r="AL27" s="2">
        <f t="shared" si="7"/>
        <v>6278.1500000000233</v>
      </c>
      <c r="AM27" s="88"/>
      <c r="AN27" s="157" t="s">
        <v>774</v>
      </c>
    </row>
    <row r="28" spans="2:40" ht="23.15" customHeight="1" thickBot="1">
      <c r="B28" s="87"/>
      <c r="C28" s="2"/>
      <c r="D28" s="15" t="s">
        <v>6</v>
      </c>
      <c r="E28" s="17" t="s">
        <v>30</v>
      </c>
      <c r="F28" s="17" t="s">
        <v>39</v>
      </c>
      <c r="G28" s="18">
        <v>65</v>
      </c>
      <c r="H28" s="18">
        <v>60</v>
      </c>
      <c r="I28" s="18"/>
      <c r="J28" s="18"/>
      <c r="K28" s="19"/>
      <c r="L28" s="41"/>
      <c r="M28" s="41"/>
      <c r="N28" s="41"/>
      <c r="O28" s="41"/>
      <c r="P28" s="41"/>
      <c r="Q28" s="43"/>
      <c r="R28" s="43"/>
      <c r="S28" s="43"/>
      <c r="T28" s="43"/>
      <c r="U28" s="19"/>
      <c r="V28" s="13">
        <f t="shared" si="4"/>
        <v>0</v>
      </c>
      <c r="W28" s="13"/>
      <c r="X28" s="13"/>
      <c r="Y28" s="13"/>
      <c r="Z28" s="13"/>
      <c r="AA28" s="22">
        <v>45962</v>
      </c>
      <c r="AB28" s="22" cm="1">
        <f t="array" ref="AB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8" s="4"/>
      <c r="AD28" s="13"/>
      <c r="AE28" s="15"/>
      <c r="AF28" s="3"/>
      <c r="AG28" s="3"/>
      <c r="AH28" s="3"/>
      <c r="AI28" s="3"/>
      <c r="AJ28" s="2">
        <f t="shared" si="5"/>
        <v>0</v>
      </c>
      <c r="AK28" s="2">
        <f t="shared" si="6"/>
        <v>0</v>
      </c>
      <c r="AL28" s="2">
        <f t="shared" si="7"/>
        <v>0</v>
      </c>
      <c r="AM28" s="88"/>
      <c r="AN28" s="157" t="s">
        <v>774</v>
      </c>
    </row>
    <row r="29" spans="2:40" ht="23.15" customHeight="1" thickBot="1">
      <c r="B29" s="87"/>
      <c r="C29" s="2"/>
      <c r="D29" s="15" t="s">
        <v>6</v>
      </c>
      <c r="E29" s="17" t="s">
        <v>30</v>
      </c>
      <c r="F29" s="17" t="s">
        <v>39</v>
      </c>
      <c r="G29" s="18">
        <v>65</v>
      </c>
      <c r="H29" s="18">
        <v>60</v>
      </c>
      <c r="I29" s="18"/>
      <c r="J29" s="18"/>
      <c r="K29" s="19"/>
      <c r="L29" s="41"/>
      <c r="M29" s="41"/>
      <c r="N29" s="41"/>
      <c r="O29" s="41"/>
      <c r="P29" s="41"/>
      <c r="Q29" s="43"/>
      <c r="R29" s="43"/>
      <c r="S29" s="43"/>
      <c r="T29" s="43"/>
      <c r="U29" s="19"/>
      <c r="V29" s="13">
        <f t="shared" si="4"/>
        <v>0</v>
      </c>
      <c r="W29" s="13"/>
      <c r="X29" s="13"/>
      <c r="Y29" s="13"/>
      <c r="Z29" s="13"/>
      <c r="AA29" s="22">
        <v>45992</v>
      </c>
      <c r="AB29" s="22" cm="1">
        <f t="array" ref="AB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9" s="4"/>
      <c r="AD29" s="13"/>
      <c r="AE29" s="15"/>
      <c r="AF29" s="3"/>
      <c r="AG29" s="3"/>
      <c r="AH29" s="3"/>
      <c r="AI29" s="3"/>
      <c r="AJ29" s="2">
        <f t="shared" si="5"/>
        <v>0</v>
      </c>
      <c r="AK29" s="2">
        <f t="shared" si="6"/>
        <v>0</v>
      </c>
      <c r="AL29" s="2">
        <f t="shared" si="7"/>
        <v>0</v>
      </c>
      <c r="AM29" s="88"/>
      <c r="AN29" s="157" t="s">
        <v>774</v>
      </c>
    </row>
    <row r="30" spans="2:40" ht="23.15" customHeight="1" thickBot="1">
      <c r="B30" s="87"/>
      <c r="C30" s="2" t="s">
        <v>292</v>
      </c>
      <c r="D30" s="15" t="s">
        <v>6</v>
      </c>
      <c r="E30" s="17" t="s">
        <v>25</v>
      </c>
      <c r="F30" s="17" t="s">
        <v>40</v>
      </c>
      <c r="G30" s="18">
        <v>29</v>
      </c>
      <c r="H30" s="18">
        <v>17</v>
      </c>
      <c r="I30" s="18" t="s">
        <v>294</v>
      </c>
      <c r="J30" s="18" t="s">
        <v>294</v>
      </c>
      <c r="K30" s="19">
        <v>130282.08021869701</v>
      </c>
      <c r="L30" s="41">
        <v>0</v>
      </c>
      <c r="M30" s="41" t="s">
        <v>294</v>
      </c>
      <c r="N30" s="41">
        <v>0</v>
      </c>
      <c r="O30" s="41" t="s">
        <v>294</v>
      </c>
      <c r="P30" s="41">
        <v>0</v>
      </c>
      <c r="Q30" s="43">
        <v>0</v>
      </c>
      <c r="R30" s="43">
        <v>0</v>
      </c>
      <c r="S30" s="43">
        <v>0</v>
      </c>
      <c r="T30" s="43">
        <v>0</v>
      </c>
      <c r="U30" s="19"/>
      <c r="V30" s="13">
        <f t="shared" si="4"/>
        <v>130282.08021869701</v>
      </c>
      <c r="W30" s="13"/>
      <c r="X30" s="13"/>
      <c r="Y30" s="13"/>
      <c r="Z30" s="13"/>
      <c r="AA30" s="22">
        <v>45658</v>
      </c>
      <c r="AB30" s="22" cm="1">
        <f t="array" ref="AB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30" s="4">
        <v>242.57</v>
      </c>
      <c r="AD30" s="13">
        <v>242.57</v>
      </c>
      <c r="AE30" s="15"/>
      <c r="AF30" s="3"/>
      <c r="AG30" s="3"/>
      <c r="AH30" s="3"/>
      <c r="AI30" s="3"/>
      <c r="AJ30" s="2">
        <f t="shared" si="5"/>
        <v>0</v>
      </c>
      <c r="AK30" s="2">
        <f t="shared" si="6"/>
        <v>0</v>
      </c>
      <c r="AL30" s="2">
        <f t="shared" si="7"/>
        <v>0</v>
      </c>
      <c r="AM30" s="88"/>
      <c r="AN30" s="157" t="s">
        <v>774</v>
      </c>
    </row>
    <row r="31" spans="2:40" ht="23.15" customHeight="1" thickBot="1">
      <c r="B31" s="87"/>
      <c r="C31" s="2" t="s">
        <v>292</v>
      </c>
      <c r="D31" s="15" t="s">
        <v>6</v>
      </c>
      <c r="E31" s="17" t="s">
        <v>25</v>
      </c>
      <c r="F31" s="17" t="s">
        <v>40</v>
      </c>
      <c r="G31" s="18">
        <v>29</v>
      </c>
      <c r="H31" s="18">
        <v>17</v>
      </c>
      <c r="I31" s="18" t="s">
        <v>294</v>
      </c>
      <c r="J31" s="18" t="s">
        <v>294</v>
      </c>
      <c r="K31" s="19">
        <v>130282.08021869701</v>
      </c>
      <c r="L31" s="41">
        <v>0</v>
      </c>
      <c r="M31" s="41" t="s">
        <v>294</v>
      </c>
      <c r="N31" s="41">
        <v>0</v>
      </c>
      <c r="O31" s="41" t="s">
        <v>294</v>
      </c>
      <c r="P31" s="41">
        <v>0</v>
      </c>
      <c r="Q31" s="43">
        <v>0</v>
      </c>
      <c r="R31" s="43">
        <v>0</v>
      </c>
      <c r="S31" s="43">
        <v>0</v>
      </c>
      <c r="T31" s="43">
        <v>0</v>
      </c>
      <c r="U31" s="19"/>
      <c r="V31" s="13">
        <f t="shared" si="4"/>
        <v>130282.08021869701</v>
      </c>
      <c r="W31" s="13"/>
      <c r="X31" s="13"/>
      <c r="Y31" s="13"/>
      <c r="Z31" s="13"/>
      <c r="AA31" s="22">
        <v>45689</v>
      </c>
      <c r="AB31" s="22" cm="1">
        <f t="array" ref="AB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1" s="4"/>
      <c r="AD31" s="13"/>
      <c r="AE31" s="15"/>
      <c r="AF31" s="3"/>
      <c r="AG31" s="3"/>
      <c r="AH31" s="3"/>
      <c r="AI31" s="3"/>
      <c r="AJ31" s="2">
        <f t="shared" si="5"/>
        <v>0</v>
      </c>
      <c r="AK31" s="2">
        <f t="shared" si="6"/>
        <v>0</v>
      </c>
      <c r="AL31" s="2">
        <f t="shared" si="7"/>
        <v>0</v>
      </c>
      <c r="AM31" s="88"/>
      <c r="AN31" s="157" t="s">
        <v>774</v>
      </c>
    </row>
    <row r="32" spans="2:40" ht="23.15" customHeight="1" thickBot="1">
      <c r="B32" s="87"/>
      <c r="C32" s="2" t="s">
        <v>292</v>
      </c>
      <c r="D32" s="15" t="s">
        <v>6</v>
      </c>
      <c r="E32" s="17" t="s">
        <v>25</v>
      </c>
      <c r="F32" s="17" t="s">
        <v>40</v>
      </c>
      <c r="G32" s="18">
        <v>29</v>
      </c>
      <c r="H32" s="18">
        <v>17</v>
      </c>
      <c r="I32" s="18">
        <v>0</v>
      </c>
      <c r="J32" s="18">
        <v>0</v>
      </c>
      <c r="K32" s="19">
        <v>130282.08021869701</v>
      </c>
      <c r="L32" s="41">
        <v>0</v>
      </c>
      <c r="M32" s="41">
        <v>0</v>
      </c>
      <c r="N32" s="41">
        <v>0</v>
      </c>
      <c r="O32" s="41">
        <v>0</v>
      </c>
      <c r="P32" s="41">
        <v>0</v>
      </c>
      <c r="Q32" s="43">
        <v>0</v>
      </c>
      <c r="R32" s="43">
        <v>0</v>
      </c>
      <c r="S32" s="43">
        <v>0</v>
      </c>
      <c r="T32" s="43">
        <v>0</v>
      </c>
      <c r="U32" s="19" t="s">
        <v>295</v>
      </c>
      <c r="V32" s="13">
        <f t="shared" si="4"/>
        <v>130282.08021869701</v>
      </c>
      <c r="W32" s="13"/>
      <c r="X32" s="13"/>
      <c r="Y32" s="13"/>
      <c r="Z32" s="13"/>
      <c r="AA32" s="22">
        <v>45717</v>
      </c>
      <c r="AB32" s="22" cm="1">
        <f t="array" ref="AB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2" s="4">
        <v>1548.2</v>
      </c>
      <c r="AD32" s="13">
        <v>1548.2</v>
      </c>
      <c r="AE32" s="15"/>
      <c r="AF32" s="3"/>
      <c r="AG32" s="3"/>
      <c r="AH32" s="3"/>
      <c r="AI32" s="3"/>
      <c r="AJ32" s="2">
        <f t="shared" si="5"/>
        <v>0</v>
      </c>
      <c r="AK32" s="2">
        <f t="shared" si="6"/>
        <v>0</v>
      </c>
      <c r="AL32" s="2">
        <f t="shared" si="7"/>
        <v>0</v>
      </c>
      <c r="AM32" s="88"/>
      <c r="AN32" s="157" t="s">
        <v>774</v>
      </c>
    </row>
    <row r="33" spans="2:40" ht="23.15" customHeight="1" thickBot="1">
      <c r="B33" s="87"/>
      <c r="C33" s="2" t="s">
        <v>292</v>
      </c>
      <c r="D33" s="15" t="s">
        <v>6</v>
      </c>
      <c r="E33" s="17" t="s">
        <v>25</v>
      </c>
      <c r="F33" s="17" t="s">
        <v>40</v>
      </c>
      <c r="G33" s="18">
        <v>29</v>
      </c>
      <c r="H33" s="18">
        <v>17</v>
      </c>
      <c r="I33" s="18" t="s">
        <v>294</v>
      </c>
      <c r="J33" s="18" t="s">
        <v>294</v>
      </c>
      <c r="K33" s="19">
        <v>130282.08021869701</v>
      </c>
      <c r="L33" s="41">
        <v>0</v>
      </c>
      <c r="M33" s="41" t="s">
        <v>294</v>
      </c>
      <c r="N33" s="41">
        <v>0</v>
      </c>
      <c r="O33" s="41" t="s">
        <v>294</v>
      </c>
      <c r="P33" s="41" t="s">
        <v>293</v>
      </c>
      <c r="Q33" s="43">
        <v>0</v>
      </c>
      <c r="R33" s="43">
        <v>0</v>
      </c>
      <c r="S33" s="43">
        <v>0</v>
      </c>
      <c r="T33" s="43">
        <v>0</v>
      </c>
      <c r="U33" s="19"/>
      <c r="V33" s="13">
        <f t="shared" si="4"/>
        <v>130282.08021869701</v>
      </c>
      <c r="W33" s="13"/>
      <c r="X33" s="13"/>
      <c r="Y33" s="13"/>
      <c r="Z33" s="13"/>
      <c r="AA33" s="22">
        <v>45748</v>
      </c>
      <c r="AB33" s="22" cm="1">
        <f t="array" ref="AB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3" s="4">
        <v>4724.2299999999996</v>
      </c>
      <c r="AD33" s="13">
        <v>4724.2299999999996</v>
      </c>
      <c r="AE33" s="15">
        <v>4505.88</v>
      </c>
      <c r="AF33" s="3"/>
      <c r="AG33" s="3"/>
      <c r="AH33" s="3"/>
      <c r="AI33" s="3"/>
      <c r="AJ33" s="2">
        <f t="shared" si="5"/>
        <v>0</v>
      </c>
      <c r="AK33" s="2">
        <f t="shared" si="6"/>
        <v>0</v>
      </c>
      <c r="AL33" s="2">
        <f t="shared" si="7"/>
        <v>0</v>
      </c>
      <c r="AM33" s="88"/>
      <c r="AN33" s="157" t="s">
        <v>774</v>
      </c>
    </row>
    <row r="34" spans="2:40" ht="23.15" customHeight="1" thickBot="1">
      <c r="B34" s="87"/>
      <c r="C34" s="2" t="s">
        <v>292</v>
      </c>
      <c r="D34" s="15" t="s">
        <v>6</v>
      </c>
      <c r="E34" s="17" t="s">
        <v>25</v>
      </c>
      <c r="F34" s="17" t="s">
        <v>40</v>
      </c>
      <c r="G34" s="18">
        <v>29</v>
      </c>
      <c r="H34" s="18">
        <v>17</v>
      </c>
      <c r="I34" s="18">
        <v>0</v>
      </c>
      <c r="J34" s="41">
        <v>0</v>
      </c>
      <c r="K34" s="19">
        <v>130282.08021869701</v>
      </c>
      <c r="L34" s="41">
        <v>0</v>
      </c>
      <c r="M34" s="41">
        <v>0</v>
      </c>
      <c r="N34" s="41">
        <v>0</v>
      </c>
      <c r="O34" s="41">
        <v>0</v>
      </c>
      <c r="P34" s="41">
        <v>0</v>
      </c>
      <c r="Q34" s="43">
        <v>0</v>
      </c>
      <c r="R34" s="43">
        <v>0</v>
      </c>
      <c r="S34" s="43">
        <v>0</v>
      </c>
      <c r="T34" s="43">
        <v>0</v>
      </c>
      <c r="U34" s="19" t="s">
        <v>292</v>
      </c>
      <c r="V34" s="13">
        <f t="shared" si="4"/>
        <v>130282.08021869701</v>
      </c>
      <c r="W34" s="13"/>
      <c r="X34" s="13"/>
      <c r="Y34" s="13"/>
      <c r="Z34" s="13"/>
      <c r="AA34" s="22">
        <v>45778</v>
      </c>
      <c r="AB34" s="22" cm="1">
        <f t="array" ref="AB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4" s="4"/>
      <c r="AD34" s="13"/>
      <c r="AE34" s="15"/>
      <c r="AF34" s="3"/>
      <c r="AG34" s="3"/>
      <c r="AH34" s="3"/>
      <c r="AI34" s="3"/>
      <c r="AJ34" s="2">
        <f t="shared" si="5"/>
        <v>0</v>
      </c>
      <c r="AK34" s="2">
        <f t="shared" si="6"/>
        <v>0</v>
      </c>
      <c r="AL34" s="2">
        <f t="shared" si="7"/>
        <v>0</v>
      </c>
      <c r="AM34" s="88"/>
      <c r="AN34" s="157" t="s">
        <v>774</v>
      </c>
    </row>
    <row r="35" spans="2:40" ht="23.15" customHeight="1" thickBot="1">
      <c r="B35" s="87"/>
      <c r="C35" s="2" t="s">
        <v>292</v>
      </c>
      <c r="D35" s="15" t="s">
        <v>6</v>
      </c>
      <c r="E35" s="17" t="s">
        <v>25</v>
      </c>
      <c r="F35" s="17" t="s">
        <v>40</v>
      </c>
      <c r="G35" s="18">
        <v>29</v>
      </c>
      <c r="H35" s="18">
        <v>17</v>
      </c>
      <c r="I35" s="18" t="s">
        <v>294</v>
      </c>
      <c r="J35" s="18" t="s">
        <v>294</v>
      </c>
      <c r="K35" s="19">
        <v>130282.08021869701</v>
      </c>
      <c r="L35" s="41">
        <v>0</v>
      </c>
      <c r="M35" s="41" t="s">
        <v>294</v>
      </c>
      <c r="N35" s="41">
        <v>0</v>
      </c>
      <c r="O35" s="41" t="s">
        <v>294</v>
      </c>
      <c r="P35" s="41" t="s">
        <v>293</v>
      </c>
      <c r="Q35" s="43">
        <v>0</v>
      </c>
      <c r="R35" s="43">
        <v>0</v>
      </c>
      <c r="S35" s="43">
        <v>0</v>
      </c>
      <c r="T35" s="43">
        <v>0</v>
      </c>
      <c r="U35" s="19" t="s">
        <v>292</v>
      </c>
      <c r="V35" s="13">
        <f t="shared" si="4"/>
        <v>130282.08021869701</v>
      </c>
      <c r="W35" s="13"/>
      <c r="X35" s="13"/>
      <c r="Y35" s="13"/>
      <c r="Z35" s="13"/>
      <c r="AA35" s="22">
        <v>45809</v>
      </c>
      <c r="AB35" s="22" cm="1">
        <f t="array" ref="AB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5" s="4"/>
      <c r="AD35" s="13"/>
      <c r="AE35" s="15"/>
      <c r="AF35" s="3"/>
      <c r="AG35" s="3"/>
      <c r="AH35" s="3"/>
      <c r="AI35" s="3"/>
      <c r="AJ35" s="2">
        <f t="shared" si="5"/>
        <v>0</v>
      </c>
      <c r="AK35" s="2">
        <f t="shared" si="6"/>
        <v>0</v>
      </c>
      <c r="AL35" s="2">
        <f t="shared" si="7"/>
        <v>0</v>
      </c>
      <c r="AM35" s="88"/>
      <c r="AN35" s="157" t="s">
        <v>774</v>
      </c>
    </row>
    <row r="36" spans="2:40" ht="23.15" customHeight="1" thickBot="1">
      <c r="B36" s="263"/>
      <c r="C36" s="2" t="s">
        <v>292</v>
      </c>
      <c r="D36" s="15" t="s">
        <v>6</v>
      </c>
      <c r="E36" s="17" t="s">
        <v>25</v>
      </c>
      <c r="F36" s="17" t="s">
        <v>40</v>
      </c>
      <c r="G36" s="18">
        <v>29</v>
      </c>
      <c r="H36" s="18">
        <v>17</v>
      </c>
      <c r="I36" s="18" t="s">
        <v>294</v>
      </c>
      <c r="J36" s="18" t="s">
        <v>294</v>
      </c>
      <c r="K36" s="19">
        <v>137066.54655046307</v>
      </c>
      <c r="L36" s="41">
        <v>0</v>
      </c>
      <c r="M36" s="18" t="s">
        <v>294</v>
      </c>
      <c r="N36" s="41">
        <v>0</v>
      </c>
      <c r="O36" s="18" t="s">
        <v>294</v>
      </c>
      <c r="P36" s="41" t="s">
        <v>293</v>
      </c>
      <c r="Q36" s="43">
        <v>0</v>
      </c>
      <c r="R36" s="43">
        <v>0</v>
      </c>
      <c r="S36" s="43">
        <v>0</v>
      </c>
      <c r="T36" s="43">
        <v>0</v>
      </c>
      <c r="U36" s="19"/>
      <c r="V36" s="13">
        <f t="shared" si="4"/>
        <v>137066.54655046307</v>
      </c>
      <c r="W36" s="13"/>
      <c r="X36" s="13"/>
      <c r="Y36" s="13"/>
      <c r="Z36" s="13"/>
      <c r="AA36" s="22">
        <v>45870</v>
      </c>
      <c r="AB36" s="22" cm="1">
        <f t="array" ref="AB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6" s="4">
        <v>5356.83</v>
      </c>
      <c r="AD36" s="13">
        <v>5282.1994235561242</v>
      </c>
      <c r="AE36" s="15"/>
      <c r="AF36" s="3"/>
      <c r="AG36" s="3"/>
      <c r="AH36" s="3"/>
      <c r="AI36" s="3"/>
      <c r="AJ36" s="2">
        <f t="shared" si="5"/>
        <v>0</v>
      </c>
      <c r="AK36" s="2">
        <f t="shared" si="6"/>
        <v>74.630576443875725</v>
      </c>
      <c r="AL36" s="2">
        <f t="shared" si="7"/>
        <v>0</v>
      </c>
      <c r="AM36" s="88"/>
      <c r="AN36" s="157" t="s">
        <v>774</v>
      </c>
    </row>
    <row r="37" spans="2:40" ht="23.15" customHeight="1" thickBot="1">
      <c r="B37" s="87"/>
      <c r="C37" s="2" t="s">
        <v>292</v>
      </c>
      <c r="D37" s="15" t="s">
        <v>6</v>
      </c>
      <c r="E37" s="17" t="s">
        <v>26</v>
      </c>
      <c r="F37" s="17" t="s">
        <v>40</v>
      </c>
      <c r="G37" s="18">
        <v>4</v>
      </c>
      <c r="H37" s="18">
        <v>3</v>
      </c>
      <c r="I37" s="18" t="s">
        <v>294</v>
      </c>
      <c r="J37" s="18" t="s">
        <v>294</v>
      </c>
      <c r="K37" s="19">
        <v>27438.271612041444</v>
      </c>
      <c r="L37" s="41">
        <v>0</v>
      </c>
      <c r="M37" s="41" t="s">
        <v>294</v>
      </c>
      <c r="N37" s="41">
        <v>0</v>
      </c>
      <c r="O37" s="41" t="s">
        <v>294</v>
      </c>
      <c r="P37" s="41" t="s">
        <v>301</v>
      </c>
      <c r="Q37" s="43">
        <v>0</v>
      </c>
      <c r="R37" s="43">
        <v>0</v>
      </c>
      <c r="S37" s="43">
        <v>0</v>
      </c>
      <c r="T37" s="43">
        <v>0</v>
      </c>
      <c r="U37" s="19"/>
      <c r="V37" s="13">
        <f t="shared" si="4"/>
        <v>27438.271612041444</v>
      </c>
      <c r="W37" s="13"/>
      <c r="X37" s="13"/>
      <c r="Y37" s="13"/>
      <c r="Z37" s="13"/>
      <c r="AA37" s="22">
        <v>45839</v>
      </c>
      <c r="AB37" s="22" cm="1">
        <f t="array" ref="AB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7" s="4"/>
      <c r="AD37" s="13"/>
      <c r="AE37" s="15"/>
      <c r="AF37" s="3"/>
      <c r="AG37" s="3"/>
      <c r="AH37" s="3"/>
      <c r="AI37" s="3"/>
      <c r="AJ37" s="2">
        <f t="shared" si="5"/>
        <v>0</v>
      </c>
      <c r="AK37" s="2">
        <f t="shared" si="6"/>
        <v>0</v>
      </c>
      <c r="AL37" s="2">
        <f t="shared" si="7"/>
        <v>0</v>
      </c>
      <c r="AM37" s="88"/>
      <c r="AN37" s="157" t="s">
        <v>774</v>
      </c>
    </row>
    <row r="38" spans="2:40" ht="23.15" customHeight="1" thickBot="1">
      <c r="B38" s="87"/>
      <c r="C38" s="2" t="s">
        <v>292</v>
      </c>
      <c r="D38" s="15" t="s">
        <v>6</v>
      </c>
      <c r="E38" s="17" t="s">
        <v>25</v>
      </c>
      <c r="F38" s="17" t="s">
        <v>40</v>
      </c>
      <c r="G38" s="18">
        <v>29</v>
      </c>
      <c r="H38" s="18">
        <v>20</v>
      </c>
      <c r="I38" s="18" t="s">
        <v>294</v>
      </c>
      <c r="J38" s="18" t="s">
        <v>294</v>
      </c>
      <c r="K38" s="19">
        <v>155292.79497933504</v>
      </c>
      <c r="L38" s="41">
        <v>0</v>
      </c>
      <c r="M38" s="11" t="s">
        <v>294</v>
      </c>
      <c r="N38" s="41">
        <v>0</v>
      </c>
      <c r="O38" s="11" t="s">
        <v>294</v>
      </c>
      <c r="P38" s="41" t="s">
        <v>293</v>
      </c>
      <c r="Q38" s="43">
        <v>0</v>
      </c>
      <c r="R38" s="41">
        <v>0</v>
      </c>
      <c r="S38" s="41">
        <v>0</v>
      </c>
      <c r="T38" s="41">
        <v>0</v>
      </c>
      <c r="U38" s="19"/>
      <c r="V38" s="13">
        <f t="shared" si="4"/>
        <v>155292.79497933504</v>
      </c>
      <c r="W38" s="13"/>
      <c r="X38" s="13"/>
      <c r="Y38" s="13"/>
      <c r="Z38" s="13"/>
      <c r="AA38" s="22">
        <v>45901</v>
      </c>
      <c r="AB38" s="22" cm="1">
        <f t="array" ref="AB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8" s="4">
        <v>7501.85</v>
      </c>
      <c r="AD38" s="13">
        <v>7351.9725669609224</v>
      </c>
      <c r="AE38" s="15"/>
      <c r="AF38" s="3"/>
      <c r="AG38" s="3"/>
      <c r="AH38" s="3"/>
      <c r="AI38" s="3"/>
      <c r="AJ38" s="2">
        <f t="shared" si="5"/>
        <v>0</v>
      </c>
      <c r="AK38" s="2">
        <f t="shared" si="6"/>
        <v>149.87743303907791</v>
      </c>
      <c r="AL38" s="2">
        <f t="shared" si="7"/>
        <v>0</v>
      </c>
      <c r="AM38" s="88"/>
      <c r="AN38" s="157" t="s">
        <v>774</v>
      </c>
    </row>
    <row r="39" spans="2:40" ht="23.15" customHeight="1" thickBot="1">
      <c r="B39" s="87"/>
      <c r="C39" s="2" t="s">
        <v>292</v>
      </c>
      <c r="D39" s="15" t="s">
        <v>6</v>
      </c>
      <c r="E39" s="17" t="s">
        <v>25</v>
      </c>
      <c r="F39" s="17" t="s">
        <v>40</v>
      </c>
      <c r="G39" s="18">
        <v>29</v>
      </c>
      <c r="H39" s="18">
        <v>20</v>
      </c>
      <c r="I39" s="18" t="s">
        <v>294</v>
      </c>
      <c r="J39" s="18" t="s">
        <v>294</v>
      </c>
      <c r="K39" s="19">
        <v>155292.79497933504</v>
      </c>
      <c r="L39" s="41"/>
      <c r="M39" s="18" t="s">
        <v>294</v>
      </c>
      <c r="N39" s="41"/>
      <c r="O39" s="18" t="s">
        <v>294</v>
      </c>
      <c r="P39" s="41" t="s">
        <v>293</v>
      </c>
      <c r="Q39" s="18" t="s">
        <v>294</v>
      </c>
      <c r="R39" s="43"/>
      <c r="S39" s="43"/>
      <c r="T39" s="18"/>
      <c r="U39" s="19"/>
      <c r="V39" s="13">
        <f t="shared" si="4"/>
        <v>155292.79497933504</v>
      </c>
      <c r="W39" s="13"/>
      <c r="X39" s="13"/>
      <c r="Y39" s="13"/>
      <c r="Z39" s="13"/>
      <c r="AA39" s="22">
        <v>45931</v>
      </c>
      <c r="AB39" s="22" cm="1">
        <f t="array" ref="AB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9" s="4"/>
      <c r="AD39" s="13"/>
      <c r="AE39" s="15"/>
      <c r="AF39" s="3"/>
      <c r="AG39" s="3"/>
      <c r="AH39" s="3"/>
      <c r="AI39" s="3"/>
      <c r="AJ39" s="2">
        <f t="shared" si="5"/>
        <v>0</v>
      </c>
      <c r="AK39" s="2">
        <f t="shared" si="6"/>
        <v>0</v>
      </c>
      <c r="AL39" s="2">
        <f t="shared" si="7"/>
        <v>0</v>
      </c>
      <c r="AM39" s="88"/>
      <c r="AN39" s="157" t="s">
        <v>774</v>
      </c>
    </row>
    <row r="40" spans="2:40" ht="23.15" customHeight="1" thickBot="1">
      <c r="B40" s="87"/>
      <c r="C40" s="2"/>
      <c r="D40" s="15" t="s">
        <v>6</v>
      </c>
      <c r="E40" s="17" t="s">
        <v>25</v>
      </c>
      <c r="F40" s="17" t="s">
        <v>40</v>
      </c>
      <c r="G40" s="18">
        <v>29</v>
      </c>
      <c r="H40" s="18"/>
      <c r="I40" s="18"/>
      <c r="J40" s="18"/>
      <c r="K40" s="19"/>
      <c r="L40" s="41"/>
      <c r="M40" s="41"/>
      <c r="N40" s="41"/>
      <c r="O40" s="41"/>
      <c r="P40" s="41"/>
      <c r="Q40" s="43"/>
      <c r="R40" s="43"/>
      <c r="S40" s="43"/>
      <c r="T40" s="43"/>
      <c r="U40" s="19"/>
      <c r="V40" s="13">
        <f t="shared" si="4"/>
        <v>0</v>
      </c>
      <c r="W40" s="13"/>
      <c r="X40" s="13"/>
      <c r="Y40" s="13"/>
      <c r="Z40" s="13"/>
      <c r="AA40" s="22">
        <v>45962</v>
      </c>
      <c r="AB40" s="22" cm="1">
        <f t="array" ref="AB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0" s="4"/>
      <c r="AD40" s="13"/>
      <c r="AE40" s="15"/>
      <c r="AF40" s="3"/>
      <c r="AG40" s="3"/>
      <c r="AH40" s="3"/>
      <c r="AI40" s="3"/>
      <c r="AJ40" s="2">
        <f t="shared" si="5"/>
        <v>0</v>
      </c>
      <c r="AK40" s="2">
        <f t="shared" si="6"/>
        <v>0</v>
      </c>
      <c r="AL40" s="2">
        <f t="shared" si="7"/>
        <v>0</v>
      </c>
      <c r="AM40" s="88"/>
      <c r="AN40" s="157" t="s">
        <v>774</v>
      </c>
    </row>
    <row r="41" spans="2:40" ht="23.15" customHeight="1" thickBot="1">
      <c r="B41" s="87"/>
      <c r="C41" s="2"/>
      <c r="D41" s="15" t="s">
        <v>6</v>
      </c>
      <c r="E41" s="20" t="s">
        <v>25</v>
      </c>
      <c r="F41" s="17" t="s">
        <v>40</v>
      </c>
      <c r="G41" s="17">
        <v>29</v>
      </c>
      <c r="H41" s="18"/>
      <c r="I41" s="18"/>
      <c r="J41" s="18"/>
      <c r="K41" s="19"/>
      <c r="L41" s="41"/>
      <c r="M41" s="41"/>
      <c r="N41" s="41"/>
      <c r="O41" s="43"/>
      <c r="P41" s="43"/>
      <c r="Q41" s="43"/>
      <c r="R41" s="43"/>
      <c r="S41" s="43"/>
      <c r="T41" s="43"/>
      <c r="U41" s="19"/>
      <c r="V41" s="13">
        <f t="shared" ref="V41:V62" si="8">IFERROR((K41+M41+R41+S41+T41+O41)+IF(U41="Sim",P41+Q41,0),(K41+R41+S41+T41)+IF(U41="Sim",P41+Q41,0))</f>
        <v>0</v>
      </c>
      <c r="W41" s="13"/>
      <c r="X41" s="13"/>
      <c r="Y41" s="13"/>
      <c r="Z41" s="13"/>
      <c r="AA41" s="22">
        <v>45992</v>
      </c>
      <c r="AB41" s="22" cm="1">
        <f t="array" ref="AB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1" s="4"/>
      <c r="AD41" s="13"/>
      <c r="AE41" s="15"/>
      <c r="AF41" s="3"/>
      <c r="AG41" s="3"/>
      <c r="AH41" s="3"/>
      <c r="AI41" s="3"/>
      <c r="AJ41" s="2">
        <f t="shared" si="5"/>
        <v>0</v>
      </c>
      <c r="AK41" s="2">
        <f t="shared" si="6"/>
        <v>0</v>
      </c>
      <c r="AL41" s="2">
        <f t="shared" si="7"/>
        <v>0</v>
      </c>
      <c r="AM41" s="88"/>
      <c r="AN41" s="157" t="s">
        <v>774</v>
      </c>
    </row>
    <row r="42" spans="2:40" ht="23.15" customHeight="1" thickBot="1">
      <c r="B42" s="87"/>
      <c r="C42" s="2" t="s">
        <v>292</v>
      </c>
      <c r="D42" s="15" t="s">
        <v>6</v>
      </c>
      <c r="E42" s="17" t="s">
        <v>26</v>
      </c>
      <c r="F42" s="17" t="s">
        <v>40</v>
      </c>
      <c r="G42" s="18">
        <v>4</v>
      </c>
      <c r="H42" s="18">
        <v>3</v>
      </c>
      <c r="I42" s="18" t="s">
        <v>294</v>
      </c>
      <c r="J42" s="18" t="s">
        <v>294</v>
      </c>
      <c r="K42" s="19">
        <v>26027.65</v>
      </c>
      <c r="L42" s="41">
        <v>0</v>
      </c>
      <c r="M42" s="41" t="s">
        <v>294</v>
      </c>
      <c r="N42" s="41">
        <v>0</v>
      </c>
      <c r="O42" s="41" t="s">
        <v>294</v>
      </c>
      <c r="P42" s="41">
        <v>0</v>
      </c>
      <c r="Q42" s="41">
        <v>0</v>
      </c>
      <c r="R42" s="41">
        <v>0</v>
      </c>
      <c r="S42" s="41">
        <v>0</v>
      </c>
      <c r="T42" s="41">
        <v>0</v>
      </c>
      <c r="U42" s="19"/>
      <c r="V42" s="13">
        <f t="shared" si="8"/>
        <v>26027.65</v>
      </c>
      <c r="W42" s="13"/>
      <c r="X42" s="13"/>
      <c r="Y42" s="13"/>
      <c r="Z42" s="13"/>
      <c r="AA42" s="22">
        <v>45658</v>
      </c>
      <c r="AB42" s="22" cm="1">
        <f t="array" ref="AB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42" s="4"/>
      <c r="AD42" s="13"/>
      <c r="AE42" s="15"/>
      <c r="AF42" s="3"/>
      <c r="AG42" s="3"/>
      <c r="AH42" s="3"/>
      <c r="AI42" s="3"/>
      <c r="AJ42" s="2">
        <f t="shared" si="5"/>
        <v>0</v>
      </c>
      <c r="AK42" s="2">
        <f t="shared" si="6"/>
        <v>0</v>
      </c>
      <c r="AL42" s="2">
        <f t="shared" si="7"/>
        <v>0</v>
      </c>
      <c r="AM42" s="88"/>
      <c r="AN42" s="157" t="s">
        <v>774</v>
      </c>
    </row>
    <row r="43" spans="2:40" ht="23.15" customHeight="1" thickBot="1">
      <c r="B43" s="87"/>
      <c r="C43" s="2" t="s">
        <v>292</v>
      </c>
      <c r="D43" s="15" t="s">
        <v>6</v>
      </c>
      <c r="E43" s="17" t="s">
        <v>26</v>
      </c>
      <c r="F43" s="17" t="s">
        <v>40</v>
      </c>
      <c r="G43" s="18">
        <v>4</v>
      </c>
      <c r="H43" s="18">
        <v>3</v>
      </c>
      <c r="I43" s="18" t="s">
        <v>294</v>
      </c>
      <c r="J43" s="18" t="s">
        <v>294</v>
      </c>
      <c r="K43" s="19">
        <v>26027.65</v>
      </c>
      <c r="L43" s="41">
        <v>0</v>
      </c>
      <c r="M43" s="41" t="s">
        <v>294</v>
      </c>
      <c r="N43" s="41">
        <v>0</v>
      </c>
      <c r="O43" s="41" t="s">
        <v>294</v>
      </c>
      <c r="P43" s="41">
        <v>0</v>
      </c>
      <c r="Q43" s="43">
        <v>0</v>
      </c>
      <c r="R43" s="43">
        <v>0</v>
      </c>
      <c r="S43" s="43">
        <v>0</v>
      </c>
      <c r="T43" s="43">
        <v>0</v>
      </c>
      <c r="U43" s="19"/>
      <c r="V43" s="13">
        <f t="shared" si="8"/>
        <v>26027.65</v>
      </c>
      <c r="W43" s="13"/>
      <c r="X43" s="13"/>
      <c r="Y43" s="13"/>
      <c r="Z43" s="13"/>
      <c r="AA43" s="22">
        <v>45689</v>
      </c>
      <c r="AB43" s="22" cm="1">
        <f t="array" ref="AB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3" s="4"/>
      <c r="AD43" s="13"/>
      <c r="AE43" s="15"/>
      <c r="AF43" s="3"/>
      <c r="AG43" s="3"/>
      <c r="AH43" s="3"/>
      <c r="AI43" s="3"/>
      <c r="AJ43" s="2">
        <f t="shared" si="5"/>
        <v>0</v>
      </c>
      <c r="AK43" s="2">
        <f t="shared" si="6"/>
        <v>0</v>
      </c>
      <c r="AL43" s="2">
        <f t="shared" si="7"/>
        <v>0</v>
      </c>
      <c r="AM43" s="88"/>
      <c r="AN43" s="157" t="s">
        <v>774</v>
      </c>
    </row>
    <row r="44" spans="2:40" ht="23.15" customHeight="1" thickBot="1">
      <c r="B44" s="87"/>
      <c r="C44" s="2" t="s">
        <v>292</v>
      </c>
      <c r="D44" s="15" t="s">
        <v>6</v>
      </c>
      <c r="E44" s="17" t="s">
        <v>26</v>
      </c>
      <c r="F44" s="17" t="s">
        <v>40</v>
      </c>
      <c r="G44" s="18">
        <v>4</v>
      </c>
      <c r="H44" s="18">
        <v>3</v>
      </c>
      <c r="I44" s="18">
        <v>0</v>
      </c>
      <c r="J44" s="18">
        <v>0</v>
      </c>
      <c r="K44" s="249">
        <v>26027.65</v>
      </c>
      <c r="L44" s="41">
        <v>0</v>
      </c>
      <c r="M44" s="41">
        <v>0</v>
      </c>
      <c r="N44" s="41">
        <v>0</v>
      </c>
      <c r="O44" s="41">
        <v>0</v>
      </c>
      <c r="P44" s="41">
        <v>0</v>
      </c>
      <c r="Q44" s="43">
        <v>0</v>
      </c>
      <c r="R44" s="43">
        <v>0</v>
      </c>
      <c r="S44" s="43">
        <v>0</v>
      </c>
      <c r="T44" s="43">
        <v>0</v>
      </c>
      <c r="U44" s="19" t="s">
        <v>295</v>
      </c>
      <c r="V44" s="13">
        <f t="shared" si="8"/>
        <v>26027.65</v>
      </c>
      <c r="W44" s="13"/>
      <c r="X44" s="13"/>
      <c r="Y44" s="13"/>
      <c r="Z44" s="13"/>
      <c r="AA44" s="22">
        <v>45717</v>
      </c>
      <c r="AB44" s="22" cm="1">
        <f t="array" ref="AB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4" s="4"/>
      <c r="AD44" s="13"/>
      <c r="AE44" s="15"/>
      <c r="AF44" s="3"/>
      <c r="AG44" s="3"/>
      <c r="AH44" s="3"/>
      <c r="AI44" s="3"/>
      <c r="AJ44" s="2">
        <f t="shared" si="5"/>
        <v>0</v>
      </c>
      <c r="AK44" s="2">
        <f t="shared" si="6"/>
        <v>0</v>
      </c>
      <c r="AL44" s="2">
        <f t="shared" si="7"/>
        <v>0</v>
      </c>
      <c r="AM44" s="88"/>
      <c r="AN44" s="157" t="s">
        <v>774</v>
      </c>
    </row>
    <row r="45" spans="2:40" ht="23.15" customHeight="1" thickBot="1">
      <c r="B45" s="87"/>
      <c r="C45" s="2" t="s">
        <v>292</v>
      </c>
      <c r="D45" s="15" t="s">
        <v>6</v>
      </c>
      <c r="E45" s="17" t="s">
        <v>26</v>
      </c>
      <c r="F45" s="17" t="s">
        <v>40</v>
      </c>
      <c r="G45" s="18">
        <v>4</v>
      </c>
      <c r="H45" s="18">
        <v>3</v>
      </c>
      <c r="I45" s="18" t="s">
        <v>294</v>
      </c>
      <c r="J45" s="18" t="s">
        <v>294</v>
      </c>
      <c r="K45" s="19">
        <v>26027.65</v>
      </c>
      <c r="L45" s="41">
        <v>0</v>
      </c>
      <c r="M45" s="41" t="s">
        <v>294</v>
      </c>
      <c r="N45" s="41">
        <v>0</v>
      </c>
      <c r="O45" s="41" t="s">
        <v>294</v>
      </c>
      <c r="P45" s="41">
        <v>0</v>
      </c>
      <c r="Q45" s="43">
        <v>0</v>
      </c>
      <c r="R45" s="43">
        <v>0</v>
      </c>
      <c r="S45" s="43">
        <v>0</v>
      </c>
      <c r="T45" s="43">
        <v>0</v>
      </c>
      <c r="U45" s="19"/>
      <c r="V45" s="13">
        <f t="shared" si="8"/>
        <v>26027.65</v>
      </c>
      <c r="W45" s="13"/>
      <c r="X45" s="13"/>
      <c r="Y45" s="13"/>
      <c r="Z45" s="13"/>
      <c r="AA45" s="22">
        <v>45748</v>
      </c>
      <c r="AB45" s="22" cm="1">
        <f t="array" ref="AB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5" s="4"/>
      <c r="AD45" s="13"/>
      <c r="AE45" s="15"/>
      <c r="AF45" s="3"/>
      <c r="AG45" s="3"/>
      <c r="AH45" s="3"/>
      <c r="AI45" s="3"/>
      <c r="AJ45" s="2">
        <f t="shared" si="5"/>
        <v>0</v>
      </c>
      <c r="AK45" s="2">
        <f t="shared" si="6"/>
        <v>0</v>
      </c>
      <c r="AL45" s="2">
        <f t="shared" si="7"/>
        <v>0</v>
      </c>
      <c r="AM45" s="88"/>
      <c r="AN45" s="157" t="s">
        <v>774</v>
      </c>
    </row>
    <row r="46" spans="2:40" ht="23.15" customHeight="1" thickBot="1">
      <c r="B46" s="87"/>
      <c r="C46" s="2" t="s">
        <v>292</v>
      </c>
      <c r="D46" s="15" t="s">
        <v>6</v>
      </c>
      <c r="E46" s="17" t="s">
        <v>26</v>
      </c>
      <c r="F46" s="17" t="s">
        <v>40</v>
      </c>
      <c r="G46" s="18">
        <v>4</v>
      </c>
      <c r="H46" s="18">
        <v>3</v>
      </c>
      <c r="I46" s="18">
        <v>0</v>
      </c>
      <c r="J46" s="18">
        <v>0</v>
      </c>
      <c r="K46" s="19">
        <v>26027.65</v>
      </c>
      <c r="L46" s="41">
        <v>0</v>
      </c>
      <c r="M46" s="41">
        <v>0</v>
      </c>
      <c r="N46" s="41">
        <v>0</v>
      </c>
      <c r="O46" s="41">
        <v>0</v>
      </c>
      <c r="P46" s="41">
        <v>0</v>
      </c>
      <c r="Q46" s="43">
        <v>0</v>
      </c>
      <c r="R46" s="43">
        <v>0</v>
      </c>
      <c r="S46" s="43">
        <v>0</v>
      </c>
      <c r="T46" s="43">
        <v>0</v>
      </c>
      <c r="U46" s="19" t="s">
        <v>292</v>
      </c>
      <c r="V46" s="13">
        <f t="shared" si="8"/>
        <v>26027.65</v>
      </c>
      <c r="W46" s="13"/>
      <c r="X46" s="13"/>
      <c r="Y46" s="13"/>
      <c r="Z46" s="13"/>
      <c r="AA46" s="22">
        <v>45778</v>
      </c>
      <c r="AB46" s="22" cm="1">
        <f t="array" ref="AB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6" s="4"/>
      <c r="AD46" s="13"/>
      <c r="AE46" s="15"/>
      <c r="AF46" s="3"/>
      <c r="AG46" s="3"/>
      <c r="AH46" s="3"/>
      <c r="AI46" s="3"/>
      <c r="AJ46" s="2">
        <f t="shared" si="5"/>
        <v>0</v>
      </c>
      <c r="AK46" s="2">
        <f t="shared" si="6"/>
        <v>0</v>
      </c>
      <c r="AL46" s="2">
        <f t="shared" si="7"/>
        <v>0</v>
      </c>
      <c r="AM46" s="88"/>
      <c r="AN46" s="157" t="s">
        <v>774</v>
      </c>
    </row>
    <row r="47" spans="2:40" ht="23.15" customHeight="1" thickBot="1">
      <c r="B47" s="87"/>
      <c r="C47" s="2" t="s">
        <v>292</v>
      </c>
      <c r="D47" s="15" t="s">
        <v>6</v>
      </c>
      <c r="E47" s="17" t="s">
        <v>26</v>
      </c>
      <c r="F47" s="17" t="s">
        <v>40</v>
      </c>
      <c r="G47" s="18">
        <v>4</v>
      </c>
      <c r="H47" s="18">
        <v>3</v>
      </c>
      <c r="I47" s="18" t="s">
        <v>294</v>
      </c>
      <c r="J47" s="18" t="s">
        <v>294</v>
      </c>
      <c r="K47" s="19">
        <v>26027.65</v>
      </c>
      <c r="L47" s="41">
        <v>0</v>
      </c>
      <c r="M47" s="41" t="s">
        <v>294</v>
      </c>
      <c r="N47" s="41">
        <v>0</v>
      </c>
      <c r="O47" s="41" t="s">
        <v>294</v>
      </c>
      <c r="P47" s="41" t="s">
        <v>301</v>
      </c>
      <c r="Q47" s="43">
        <v>0</v>
      </c>
      <c r="R47" s="43">
        <v>0</v>
      </c>
      <c r="S47" s="43">
        <v>0</v>
      </c>
      <c r="T47" s="43">
        <v>0</v>
      </c>
      <c r="U47" s="19" t="s">
        <v>292</v>
      </c>
      <c r="V47" s="13">
        <f t="shared" si="8"/>
        <v>26027.65</v>
      </c>
      <c r="W47" s="13"/>
      <c r="X47" s="13"/>
      <c r="Y47" s="13"/>
      <c r="Z47" s="13"/>
      <c r="AA47" s="22">
        <v>45809</v>
      </c>
      <c r="AB47" s="22" cm="1">
        <f t="array" ref="AB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7" s="4"/>
      <c r="AD47" s="13"/>
      <c r="AE47" s="15"/>
      <c r="AF47" s="3"/>
      <c r="AG47" s="3"/>
      <c r="AH47" s="3"/>
      <c r="AI47" s="3"/>
      <c r="AJ47" s="2">
        <f t="shared" si="5"/>
        <v>0</v>
      </c>
      <c r="AK47" s="2">
        <f t="shared" si="6"/>
        <v>0</v>
      </c>
      <c r="AL47" s="2">
        <f t="shared" si="7"/>
        <v>0</v>
      </c>
      <c r="AM47" s="88"/>
      <c r="AN47" s="157" t="s">
        <v>774</v>
      </c>
    </row>
    <row r="48" spans="2:40" ht="23.15" customHeight="1" thickBot="1">
      <c r="B48" s="87">
        <v>45887</v>
      </c>
      <c r="C48" s="2" t="s">
        <v>295</v>
      </c>
      <c r="D48" s="15" t="s">
        <v>6</v>
      </c>
      <c r="E48" s="17" t="s">
        <v>26</v>
      </c>
      <c r="F48" s="17" t="s">
        <v>40</v>
      </c>
      <c r="G48" s="18">
        <v>4</v>
      </c>
      <c r="H48" s="18">
        <v>3</v>
      </c>
      <c r="I48" s="18">
        <v>0</v>
      </c>
      <c r="J48" s="18">
        <v>0</v>
      </c>
      <c r="K48" s="19">
        <v>27438.271612041444</v>
      </c>
      <c r="L48" s="41">
        <v>0</v>
      </c>
      <c r="M48" s="41">
        <v>0</v>
      </c>
      <c r="N48" s="41">
        <v>0</v>
      </c>
      <c r="O48" s="41">
        <v>0</v>
      </c>
      <c r="P48" s="41">
        <v>0</v>
      </c>
      <c r="Q48" s="41">
        <v>0</v>
      </c>
      <c r="R48" s="41">
        <v>0</v>
      </c>
      <c r="S48" s="41">
        <v>0</v>
      </c>
      <c r="T48" s="41">
        <v>0</v>
      </c>
      <c r="U48" s="19" t="s">
        <v>295</v>
      </c>
      <c r="V48" s="13">
        <f t="shared" si="8"/>
        <v>27438.271612041444</v>
      </c>
      <c r="W48" s="13"/>
      <c r="X48" s="13"/>
      <c r="Y48" s="13"/>
      <c r="Z48" s="13"/>
      <c r="AA48" s="22">
        <v>45870</v>
      </c>
      <c r="AB48" s="22" cm="1">
        <f t="array" ref="AB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8" s="4"/>
      <c r="AD48" s="13"/>
      <c r="AE48" s="15"/>
      <c r="AF48" s="3"/>
      <c r="AG48" s="3"/>
      <c r="AH48" s="3"/>
      <c r="AI48" s="3"/>
      <c r="AJ48" s="2">
        <f t="shared" si="5"/>
        <v>0</v>
      </c>
      <c r="AK48" s="2">
        <f t="shared" si="6"/>
        <v>0</v>
      </c>
      <c r="AL48" s="2">
        <f t="shared" si="7"/>
        <v>0</v>
      </c>
      <c r="AM48" s="88"/>
      <c r="AN48" s="157" t="s">
        <v>774</v>
      </c>
    </row>
    <row r="49" spans="2:40" ht="23.15" customHeight="1" thickBot="1">
      <c r="B49" s="87">
        <v>45887</v>
      </c>
      <c r="C49" s="2" t="s">
        <v>295</v>
      </c>
      <c r="D49" s="15" t="s">
        <v>6</v>
      </c>
      <c r="E49" s="17" t="s">
        <v>31</v>
      </c>
      <c r="F49" s="17" t="s">
        <v>40</v>
      </c>
      <c r="G49" s="18">
        <v>28</v>
      </c>
      <c r="H49" s="18">
        <v>30</v>
      </c>
      <c r="I49" s="18">
        <v>0</v>
      </c>
      <c r="J49" s="18">
        <v>0</v>
      </c>
      <c r="K49" s="19">
        <v>149200.67571439603</v>
      </c>
      <c r="L49" s="41">
        <v>0</v>
      </c>
      <c r="M49" s="41">
        <v>0</v>
      </c>
      <c r="N49" s="41">
        <v>0</v>
      </c>
      <c r="O49" s="41">
        <v>0</v>
      </c>
      <c r="P49" s="41">
        <v>0</v>
      </c>
      <c r="Q49" s="41">
        <v>0</v>
      </c>
      <c r="R49" s="41">
        <v>0</v>
      </c>
      <c r="S49" s="41">
        <v>0</v>
      </c>
      <c r="T49" s="41">
        <v>0</v>
      </c>
      <c r="U49" s="19" t="s">
        <v>295</v>
      </c>
      <c r="V49" s="13">
        <f t="shared" si="8"/>
        <v>149200.67571439603</v>
      </c>
      <c r="W49" s="13"/>
      <c r="X49" s="13"/>
      <c r="Y49" s="13">
        <f>51069.0262382281/3</f>
        <v>17023.008746076033</v>
      </c>
      <c r="Z49" s="13" t="s">
        <v>302</v>
      </c>
      <c r="AA49" s="22">
        <v>45839</v>
      </c>
      <c r="AB49" s="22" cm="1">
        <f t="array" ref="AB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9" s="13"/>
      <c r="AD49" s="13"/>
      <c r="AE49" s="15"/>
      <c r="AF49" s="3"/>
      <c r="AG49" s="3"/>
      <c r="AH49" s="3"/>
      <c r="AI49" s="3"/>
      <c r="AJ49" s="2">
        <f t="shared" si="5"/>
        <v>0</v>
      </c>
      <c r="AK49" s="2">
        <f t="shared" si="6"/>
        <v>0</v>
      </c>
      <c r="AL49" s="2">
        <f t="shared" si="7"/>
        <v>0</v>
      </c>
      <c r="AM49" s="88"/>
      <c r="AN49" s="157" t="s">
        <v>774</v>
      </c>
    </row>
    <row r="50" spans="2:40" ht="23.15" customHeight="1" thickBot="1">
      <c r="B50" s="87">
        <v>45887</v>
      </c>
      <c r="C50" s="2" t="s">
        <v>295</v>
      </c>
      <c r="D50" s="15" t="s">
        <v>6</v>
      </c>
      <c r="E50" s="17" t="s">
        <v>26</v>
      </c>
      <c r="F50" s="17" t="s">
        <v>40</v>
      </c>
      <c r="G50" s="18">
        <v>4</v>
      </c>
      <c r="H50" s="18">
        <v>3</v>
      </c>
      <c r="I50" s="18">
        <v>0</v>
      </c>
      <c r="J50" s="18">
        <v>0</v>
      </c>
      <c r="K50" s="19">
        <v>27438.271612041444</v>
      </c>
      <c r="L50" s="41">
        <v>0</v>
      </c>
      <c r="M50" s="41">
        <v>0</v>
      </c>
      <c r="N50" s="41">
        <v>0</v>
      </c>
      <c r="O50" s="41">
        <v>0</v>
      </c>
      <c r="P50" s="41">
        <v>0</v>
      </c>
      <c r="Q50" s="41">
        <v>0</v>
      </c>
      <c r="R50" s="41">
        <v>0</v>
      </c>
      <c r="S50" s="41">
        <v>0</v>
      </c>
      <c r="T50" s="41">
        <v>0</v>
      </c>
      <c r="U50" s="19" t="s">
        <v>295</v>
      </c>
      <c r="V50" s="13">
        <f t="shared" si="8"/>
        <v>27438.271612041444</v>
      </c>
      <c r="W50" s="13"/>
      <c r="X50" s="13"/>
      <c r="Y50" s="13"/>
      <c r="Z50" s="13"/>
      <c r="AA50" s="22">
        <v>45901</v>
      </c>
      <c r="AB50" s="22" cm="1">
        <f t="array" ref="AB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0" s="4"/>
      <c r="AD50" s="13"/>
      <c r="AE50" s="15"/>
      <c r="AF50" s="3"/>
      <c r="AG50" s="3"/>
      <c r="AH50" s="3"/>
      <c r="AI50" s="3"/>
      <c r="AJ50" s="2">
        <f t="shared" si="5"/>
        <v>0</v>
      </c>
      <c r="AK50" s="2">
        <f t="shared" si="6"/>
        <v>0</v>
      </c>
      <c r="AL50" s="2">
        <f t="shared" si="7"/>
        <v>0</v>
      </c>
      <c r="AM50" s="88"/>
      <c r="AN50" s="157" t="s">
        <v>774</v>
      </c>
    </row>
    <row r="51" spans="2:40" ht="23.15" customHeight="1" thickBot="1">
      <c r="B51" s="87"/>
      <c r="C51" s="2" t="s">
        <v>292</v>
      </c>
      <c r="D51" s="15" t="s">
        <v>6</v>
      </c>
      <c r="E51" s="17" t="s">
        <v>26</v>
      </c>
      <c r="F51" s="17" t="s">
        <v>40</v>
      </c>
      <c r="G51" s="18">
        <v>4</v>
      </c>
      <c r="H51" s="18">
        <v>3</v>
      </c>
      <c r="I51" s="18" t="s">
        <v>294</v>
      </c>
      <c r="J51" s="18" t="s">
        <v>294</v>
      </c>
      <c r="K51" s="19">
        <v>27438.271612041444</v>
      </c>
      <c r="L51" s="41"/>
      <c r="M51" s="18" t="s">
        <v>294</v>
      </c>
      <c r="N51" s="41"/>
      <c r="O51" s="18" t="s">
        <v>294</v>
      </c>
      <c r="P51" s="41" t="s">
        <v>293</v>
      </c>
      <c r="Q51" s="18" t="s">
        <v>294</v>
      </c>
      <c r="R51" s="18"/>
      <c r="S51" s="43"/>
      <c r="T51" s="43"/>
      <c r="U51" s="19"/>
      <c r="V51" s="13">
        <f t="shared" si="8"/>
        <v>27438.271612041444</v>
      </c>
      <c r="W51" s="13"/>
      <c r="X51" s="13"/>
      <c r="Y51" s="13"/>
      <c r="Z51" s="13"/>
      <c r="AA51" s="22">
        <v>45931</v>
      </c>
      <c r="AB51" s="22" cm="1">
        <f t="array" ref="AB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1" s="4"/>
      <c r="AD51" s="13"/>
      <c r="AE51" s="15"/>
      <c r="AF51" s="3"/>
      <c r="AG51" s="3"/>
      <c r="AH51" s="3"/>
      <c r="AI51" s="3"/>
      <c r="AJ51" s="2">
        <f t="shared" si="5"/>
        <v>0</v>
      </c>
      <c r="AK51" s="2">
        <f t="shared" si="6"/>
        <v>0</v>
      </c>
      <c r="AL51" s="2">
        <f t="shared" si="7"/>
        <v>0</v>
      </c>
      <c r="AM51" s="88"/>
      <c r="AN51" s="157" t="s">
        <v>774</v>
      </c>
    </row>
    <row r="52" spans="2:40" ht="23.15" customHeight="1" thickBot="1">
      <c r="B52" s="87"/>
      <c r="C52" s="2"/>
      <c r="D52" s="15" t="s">
        <v>6</v>
      </c>
      <c r="E52" s="17" t="s">
        <v>26</v>
      </c>
      <c r="F52" s="17" t="s">
        <v>40</v>
      </c>
      <c r="G52" s="18">
        <v>4</v>
      </c>
      <c r="H52" s="18"/>
      <c r="I52" s="18"/>
      <c r="J52" s="18"/>
      <c r="K52" s="19"/>
      <c r="L52" s="41"/>
      <c r="M52" s="41"/>
      <c r="N52" s="41"/>
      <c r="O52" s="41"/>
      <c r="P52" s="41"/>
      <c r="Q52" s="41"/>
      <c r="R52" s="41"/>
      <c r="S52" s="41"/>
      <c r="T52" s="41"/>
      <c r="U52" s="19"/>
      <c r="V52" s="13">
        <f t="shared" si="8"/>
        <v>0</v>
      </c>
      <c r="W52" s="13"/>
      <c r="X52" s="13"/>
      <c r="Y52" s="13"/>
      <c r="Z52" s="13"/>
      <c r="AA52" s="22">
        <v>45962</v>
      </c>
      <c r="AB52" s="22" cm="1">
        <f t="array" ref="AB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2" s="4"/>
      <c r="AD52" s="13"/>
      <c r="AE52" s="15"/>
      <c r="AF52" s="3"/>
      <c r="AG52" s="3"/>
      <c r="AH52" s="3"/>
      <c r="AI52" s="3"/>
      <c r="AJ52" s="2">
        <f t="shared" si="5"/>
        <v>0</v>
      </c>
      <c r="AK52" s="2">
        <f t="shared" si="6"/>
        <v>0</v>
      </c>
      <c r="AL52" s="2">
        <f t="shared" si="7"/>
        <v>0</v>
      </c>
      <c r="AM52" s="88"/>
      <c r="AN52" s="157" t="s">
        <v>774</v>
      </c>
    </row>
    <row r="53" spans="2:40" ht="23.15" customHeight="1" thickBot="1">
      <c r="B53" s="87"/>
      <c r="C53" s="2"/>
      <c r="D53" s="15" t="s">
        <v>6</v>
      </c>
      <c r="E53" s="17" t="s">
        <v>26</v>
      </c>
      <c r="F53" s="17" t="s">
        <v>40</v>
      </c>
      <c r="G53" s="17">
        <v>4</v>
      </c>
      <c r="H53" s="18"/>
      <c r="I53" s="18"/>
      <c r="J53" s="18"/>
      <c r="K53" s="19"/>
      <c r="L53" s="41"/>
      <c r="M53" s="41"/>
      <c r="N53" s="41"/>
      <c r="O53" s="41"/>
      <c r="P53" s="41"/>
      <c r="Q53" s="43"/>
      <c r="R53" s="43"/>
      <c r="S53" s="43"/>
      <c r="T53" s="43"/>
      <c r="U53" s="19"/>
      <c r="V53" s="13">
        <f t="shared" si="8"/>
        <v>0</v>
      </c>
      <c r="W53" s="13"/>
      <c r="X53" s="13"/>
      <c r="Y53" s="13"/>
      <c r="Z53" s="13"/>
      <c r="AA53" s="22">
        <v>45992</v>
      </c>
      <c r="AB53" s="22" cm="1">
        <f t="array" ref="AB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3" s="4"/>
      <c r="AD53" s="13"/>
      <c r="AE53" s="15"/>
      <c r="AF53" s="3"/>
      <c r="AG53" s="3"/>
      <c r="AH53" s="3"/>
      <c r="AI53" s="3"/>
      <c r="AJ53" s="2">
        <f t="shared" si="5"/>
        <v>0</v>
      </c>
      <c r="AK53" s="2">
        <f t="shared" si="6"/>
        <v>0</v>
      </c>
      <c r="AL53" s="2">
        <f t="shared" si="7"/>
        <v>0</v>
      </c>
      <c r="AM53" s="88"/>
      <c r="AN53" s="157" t="s">
        <v>774</v>
      </c>
    </row>
    <row r="54" spans="2:40" ht="23.15" customHeight="1" thickBot="1">
      <c r="B54" s="87"/>
      <c r="C54" s="2" t="s">
        <v>292</v>
      </c>
      <c r="D54" s="15" t="s">
        <v>6</v>
      </c>
      <c r="E54" s="17" t="s">
        <v>31</v>
      </c>
      <c r="F54" s="17" t="s">
        <v>40</v>
      </c>
      <c r="G54" s="18">
        <v>28</v>
      </c>
      <c r="H54" s="18">
        <v>30</v>
      </c>
      <c r="I54" s="18" t="s">
        <v>294</v>
      </c>
      <c r="J54" s="18" t="s">
        <v>294</v>
      </c>
      <c r="K54" s="19">
        <v>138986.87043479815</v>
      </c>
      <c r="L54" s="41">
        <v>0</v>
      </c>
      <c r="M54" s="41" t="s">
        <v>294</v>
      </c>
      <c r="N54" s="41">
        <v>0</v>
      </c>
      <c r="O54" s="41" t="s">
        <v>294</v>
      </c>
      <c r="P54" s="41">
        <v>0</v>
      </c>
      <c r="Q54" s="43">
        <v>0</v>
      </c>
      <c r="R54" s="43">
        <v>0</v>
      </c>
      <c r="S54" s="43">
        <v>0</v>
      </c>
      <c r="T54" s="43">
        <v>0</v>
      </c>
      <c r="U54" s="19"/>
      <c r="V54" s="13">
        <f t="shared" si="8"/>
        <v>138986.87043479815</v>
      </c>
      <c r="W54" s="13"/>
      <c r="X54" s="13"/>
      <c r="Y54" s="13"/>
      <c r="Z54" s="13"/>
      <c r="AA54" s="22">
        <v>45658</v>
      </c>
      <c r="AB54" s="22" cm="1">
        <f t="array" ref="AB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54" s="4"/>
      <c r="AD54" s="13"/>
      <c r="AE54" s="15"/>
      <c r="AF54" s="3"/>
      <c r="AG54" s="3"/>
      <c r="AH54" s="3"/>
      <c r="AI54" s="3"/>
      <c r="AJ54" s="2">
        <f t="shared" si="5"/>
        <v>0</v>
      </c>
      <c r="AK54" s="2">
        <f t="shared" si="6"/>
        <v>0</v>
      </c>
      <c r="AL54" s="2">
        <f t="shared" si="7"/>
        <v>0</v>
      </c>
      <c r="AM54" s="88"/>
      <c r="AN54" s="157" t="s">
        <v>774</v>
      </c>
    </row>
    <row r="55" spans="2:40" ht="23.15" customHeight="1" thickBot="1">
      <c r="B55" s="87"/>
      <c r="C55" s="2" t="s">
        <v>292</v>
      </c>
      <c r="D55" s="15" t="s">
        <v>6</v>
      </c>
      <c r="E55" s="20" t="s">
        <v>31</v>
      </c>
      <c r="F55" s="17" t="s">
        <v>40</v>
      </c>
      <c r="G55" s="18">
        <v>28</v>
      </c>
      <c r="H55" s="18">
        <v>30</v>
      </c>
      <c r="I55" s="18" t="s">
        <v>294</v>
      </c>
      <c r="J55" s="18" t="s">
        <v>294</v>
      </c>
      <c r="K55" s="19">
        <v>138986.87043479815</v>
      </c>
      <c r="L55" s="41">
        <v>0</v>
      </c>
      <c r="M55" s="43" t="s">
        <v>294</v>
      </c>
      <c r="N55" s="41">
        <v>0</v>
      </c>
      <c r="O55" s="43" t="s">
        <v>294</v>
      </c>
      <c r="P55" s="41">
        <v>0</v>
      </c>
      <c r="Q55" s="43">
        <v>0</v>
      </c>
      <c r="R55" s="43">
        <v>0</v>
      </c>
      <c r="S55" s="43">
        <v>0</v>
      </c>
      <c r="T55" s="43">
        <v>0</v>
      </c>
      <c r="U55" s="19"/>
      <c r="V55" s="13">
        <f t="shared" si="8"/>
        <v>138986.87043479815</v>
      </c>
      <c r="W55" s="13"/>
      <c r="X55" s="13"/>
      <c r="Y55" s="13"/>
      <c r="Z55" s="13"/>
      <c r="AA55" s="22">
        <v>45689</v>
      </c>
      <c r="AB55" s="22" cm="1">
        <f t="array" ref="AB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5" s="4"/>
      <c r="AD55" s="13"/>
      <c r="AE55" s="15"/>
      <c r="AF55" s="3"/>
      <c r="AG55" s="3"/>
      <c r="AH55" s="3"/>
      <c r="AI55" s="3"/>
      <c r="AJ55" s="2">
        <f t="shared" si="5"/>
        <v>0</v>
      </c>
      <c r="AK55" s="2">
        <f t="shared" si="6"/>
        <v>0</v>
      </c>
      <c r="AL55" s="2">
        <f t="shared" si="7"/>
        <v>0</v>
      </c>
      <c r="AM55" s="88"/>
      <c r="AN55" s="157" t="s">
        <v>774</v>
      </c>
    </row>
    <row r="56" spans="2:40" ht="23.15" customHeight="1" thickBot="1">
      <c r="B56" s="87"/>
      <c r="C56" s="2" t="s">
        <v>292</v>
      </c>
      <c r="D56" s="15" t="s">
        <v>6</v>
      </c>
      <c r="E56" s="17" t="s">
        <v>31</v>
      </c>
      <c r="F56" s="17" t="s">
        <v>40</v>
      </c>
      <c r="G56" s="18">
        <v>28</v>
      </c>
      <c r="H56" s="18">
        <v>30</v>
      </c>
      <c r="I56" s="11">
        <v>0</v>
      </c>
      <c r="J56" s="11">
        <v>0</v>
      </c>
      <c r="K56" s="19">
        <v>138986.87043479815</v>
      </c>
      <c r="L56" s="41">
        <v>0</v>
      </c>
      <c r="M56" s="43">
        <v>0</v>
      </c>
      <c r="N56" s="41">
        <v>0</v>
      </c>
      <c r="O56" s="43">
        <v>0</v>
      </c>
      <c r="P56" s="41">
        <v>0</v>
      </c>
      <c r="Q56" s="43">
        <v>0</v>
      </c>
      <c r="R56" s="43">
        <v>0</v>
      </c>
      <c r="S56" s="43">
        <v>0</v>
      </c>
      <c r="T56" s="43">
        <v>0</v>
      </c>
      <c r="U56" s="19" t="s">
        <v>295</v>
      </c>
      <c r="V56" s="13">
        <f t="shared" si="8"/>
        <v>138986.87043479815</v>
      </c>
      <c r="W56" s="13"/>
      <c r="X56" s="13"/>
      <c r="Y56" s="13"/>
      <c r="Z56" s="13"/>
      <c r="AA56" s="22">
        <v>45717</v>
      </c>
      <c r="AB56" s="22" cm="1">
        <f t="array" ref="AB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6" s="4"/>
      <c r="AD56" s="13"/>
      <c r="AE56" s="15"/>
      <c r="AF56" s="3"/>
      <c r="AG56" s="3"/>
      <c r="AH56" s="3"/>
      <c r="AI56" s="3"/>
      <c r="AJ56" s="2">
        <f t="shared" si="5"/>
        <v>0</v>
      </c>
      <c r="AK56" s="2">
        <f t="shared" si="6"/>
        <v>0</v>
      </c>
      <c r="AL56" s="2">
        <f t="shared" si="7"/>
        <v>0</v>
      </c>
      <c r="AM56" s="88"/>
      <c r="AN56" s="157" t="s">
        <v>774</v>
      </c>
    </row>
    <row r="57" spans="2:40" ht="23.15" customHeight="1" thickBot="1">
      <c r="B57" s="87"/>
      <c r="C57" s="2" t="s">
        <v>292</v>
      </c>
      <c r="D57" s="15" t="s">
        <v>6</v>
      </c>
      <c r="E57" s="17" t="s">
        <v>31</v>
      </c>
      <c r="F57" s="17" t="s">
        <v>40</v>
      </c>
      <c r="G57" s="18">
        <v>28</v>
      </c>
      <c r="H57" s="18">
        <v>30</v>
      </c>
      <c r="I57" s="18">
        <v>0</v>
      </c>
      <c r="J57" s="18">
        <v>0</v>
      </c>
      <c r="K57" s="19">
        <v>138986.87043479815</v>
      </c>
      <c r="L57" s="41">
        <v>0</v>
      </c>
      <c r="M57" s="41">
        <v>0</v>
      </c>
      <c r="N57" s="41">
        <v>0</v>
      </c>
      <c r="O57" s="41">
        <v>0</v>
      </c>
      <c r="P57" s="41">
        <v>0</v>
      </c>
      <c r="Q57" s="43">
        <v>0</v>
      </c>
      <c r="R57" s="43">
        <v>0</v>
      </c>
      <c r="S57" s="43">
        <v>0</v>
      </c>
      <c r="T57" s="43">
        <v>0</v>
      </c>
      <c r="U57" s="19" t="s">
        <v>292</v>
      </c>
      <c r="V57" s="13">
        <f t="shared" si="8"/>
        <v>138986.87043479815</v>
      </c>
      <c r="W57" s="13"/>
      <c r="X57" s="13"/>
      <c r="Y57" s="13"/>
      <c r="Z57" s="13"/>
      <c r="AA57" s="22">
        <v>45748</v>
      </c>
      <c r="AB57" s="22" cm="1">
        <f t="array" ref="AB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7" s="4"/>
      <c r="AD57" s="13"/>
      <c r="AE57" s="15"/>
      <c r="AF57" s="3"/>
      <c r="AG57" s="3"/>
      <c r="AH57" s="3"/>
      <c r="AI57" s="3"/>
      <c r="AJ57" s="2">
        <f t="shared" si="5"/>
        <v>0</v>
      </c>
      <c r="AK57" s="2">
        <f t="shared" si="6"/>
        <v>0</v>
      </c>
      <c r="AL57" s="2">
        <f t="shared" si="7"/>
        <v>0</v>
      </c>
      <c r="AM57" s="88"/>
      <c r="AN57" s="157" t="s">
        <v>774</v>
      </c>
    </row>
    <row r="58" spans="2:40" ht="23.15" customHeight="1" thickBot="1">
      <c r="B58" s="87"/>
      <c r="C58" s="2" t="s">
        <v>292</v>
      </c>
      <c r="D58" s="15" t="s">
        <v>6</v>
      </c>
      <c r="E58" s="17" t="s">
        <v>31</v>
      </c>
      <c r="F58" s="17" t="s">
        <v>40</v>
      </c>
      <c r="G58" s="18">
        <v>28</v>
      </c>
      <c r="H58" s="18">
        <v>30</v>
      </c>
      <c r="I58" s="11">
        <v>0</v>
      </c>
      <c r="J58" s="43">
        <v>0</v>
      </c>
      <c r="K58" s="19">
        <v>138986.87043479815</v>
      </c>
      <c r="L58" s="41">
        <v>0</v>
      </c>
      <c r="M58" s="41">
        <v>0</v>
      </c>
      <c r="N58" s="41">
        <v>0</v>
      </c>
      <c r="O58" s="41">
        <v>0</v>
      </c>
      <c r="P58" s="41">
        <v>0</v>
      </c>
      <c r="Q58" s="43">
        <v>0</v>
      </c>
      <c r="R58" s="43">
        <v>0</v>
      </c>
      <c r="S58" s="43">
        <v>0</v>
      </c>
      <c r="T58" s="43">
        <v>0</v>
      </c>
      <c r="U58" s="19" t="s">
        <v>292</v>
      </c>
      <c r="V58" s="13">
        <f t="shared" si="8"/>
        <v>138986.87043479815</v>
      </c>
      <c r="W58" s="13"/>
      <c r="X58" s="13"/>
      <c r="Y58" s="13"/>
      <c r="Z58" s="13"/>
      <c r="AA58" s="22">
        <v>45778</v>
      </c>
      <c r="AB58" s="22" cm="1">
        <f t="array" ref="AB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8" s="4"/>
      <c r="AD58" s="13"/>
      <c r="AE58" s="15"/>
      <c r="AF58" s="3"/>
      <c r="AG58" s="3"/>
      <c r="AH58" s="3"/>
      <c r="AI58" s="3"/>
      <c r="AJ58" s="2">
        <f t="shared" si="5"/>
        <v>0</v>
      </c>
      <c r="AK58" s="2">
        <f t="shared" si="6"/>
        <v>0</v>
      </c>
      <c r="AL58" s="2">
        <f t="shared" si="7"/>
        <v>0</v>
      </c>
      <c r="AM58" s="88"/>
      <c r="AN58" s="157" t="s">
        <v>774</v>
      </c>
    </row>
    <row r="59" spans="2:40" ht="23.15" customHeight="1" thickBot="1">
      <c r="B59" s="87"/>
      <c r="C59" s="2" t="s">
        <v>292</v>
      </c>
      <c r="D59" s="15" t="s">
        <v>6</v>
      </c>
      <c r="E59" s="17" t="s">
        <v>31</v>
      </c>
      <c r="F59" s="17" t="s">
        <v>40</v>
      </c>
      <c r="G59" s="18">
        <v>28</v>
      </c>
      <c r="H59" s="18">
        <v>30</v>
      </c>
      <c r="I59" s="11" t="s">
        <v>294</v>
      </c>
      <c r="J59" s="11" t="s">
        <v>294</v>
      </c>
      <c r="K59" s="19">
        <v>138986.87043479815</v>
      </c>
      <c r="L59" s="41">
        <v>0</v>
      </c>
      <c r="M59" s="41" t="s">
        <v>294</v>
      </c>
      <c r="N59" s="41">
        <v>0</v>
      </c>
      <c r="O59" s="41" t="s">
        <v>294</v>
      </c>
      <c r="P59" s="41" t="s">
        <v>293</v>
      </c>
      <c r="Q59" s="43">
        <v>0</v>
      </c>
      <c r="R59" s="43">
        <v>0</v>
      </c>
      <c r="S59" s="43">
        <v>0</v>
      </c>
      <c r="T59" s="43">
        <v>0</v>
      </c>
      <c r="U59" s="19" t="s">
        <v>292</v>
      </c>
      <c r="V59" s="13">
        <f t="shared" si="8"/>
        <v>138986.87043479815</v>
      </c>
      <c r="W59" s="13"/>
      <c r="X59" s="13"/>
      <c r="Y59" s="13"/>
      <c r="Z59" s="13"/>
      <c r="AA59" s="22">
        <v>45809</v>
      </c>
      <c r="AB59" s="22" cm="1">
        <f t="array" ref="AB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9" s="4"/>
      <c r="AD59" s="13"/>
      <c r="AE59" s="15"/>
      <c r="AF59" s="3"/>
      <c r="AG59" s="3"/>
      <c r="AH59" s="3"/>
      <c r="AI59" s="3"/>
      <c r="AJ59" s="2">
        <f t="shared" si="5"/>
        <v>0</v>
      </c>
      <c r="AK59" s="2">
        <f t="shared" si="6"/>
        <v>0</v>
      </c>
      <c r="AL59" s="2">
        <f t="shared" si="7"/>
        <v>0</v>
      </c>
      <c r="AM59" s="88"/>
      <c r="AN59" s="157" t="s">
        <v>774</v>
      </c>
    </row>
    <row r="60" spans="2:40" ht="23.15" customHeight="1" thickBot="1">
      <c r="B60" s="87"/>
      <c r="C60" s="2" t="s">
        <v>292</v>
      </c>
      <c r="D60" s="15" t="s">
        <v>6</v>
      </c>
      <c r="E60" s="17" t="s">
        <v>31</v>
      </c>
      <c r="F60" s="17" t="s">
        <v>40</v>
      </c>
      <c r="G60" s="18">
        <v>28</v>
      </c>
      <c r="H60" s="18">
        <v>30</v>
      </c>
      <c r="I60" s="11" t="s">
        <v>294</v>
      </c>
      <c r="J60" s="11" t="s">
        <v>294</v>
      </c>
      <c r="K60" s="19">
        <v>149200.67571439603</v>
      </c>
      <c r="L60" s="41">
        <v>0</v>
      </c>
      <c r="M60" s="18" t="s">
        <v>294</v>
      </c>
      <c r="N60" s="41">
        <v>0</v>
      </c>
      <c r="O60" s="18" t="s">
        <v>294</v>
      </c>
      <c r="P60" s="41">
        <v>0</v>
      </c>
      <c r="Q60" s="43">
        <v>0</v>
      </c>
      <c r="R60" s="43">
        <v>0</v>
      </c>
      <c r="S60" s="43">
        <v>0</v>
      </c>
      <c r="T60" s="43">
        <v>0</v>
      </c>
      <c r="U60" s="19"/>
      <c r="V60" s="13">
        <f t="shared" si="8"/>
        <v>149200.67571439603</v>
      </c>
      <c r="W60" s="13"/>
      <c r="X60" s="13"/>
      <c r="Y60" s="13">
        <f>51069.0262382281/3</f>
        <v>17023.008746076033</v>
      </c>
      <c r="Z60" s="13" t="s">
        <v>303</v>
      </c>
      <c r="AA60" s="22">
        <v>45870</v>
      </c>
      <c r="AB60" s="22" cm="1">
        <f t="array" ref="AB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0" s="13"/>
      <c r="AD60" s="13"/>
      <c r="AE60" s="15"/>
      <c r="AF60" s="3"/>
      <c r="AG60" s="3"/>
      <c r="AH60" s="3"/>
      <c r="AI60" s="3"/>
      <c r="AJ60" s="2">
        <f t="shared" si="5"/>
        <v>0</v>
      </c>
      <c r="AK60" s="2">
        <f t="shared" si="6"/>
        <v>0</v>
      </c>
      <c r="AL60" s="2">
        <f t="shared" si="7"/>
        <v>0</v>
      </c>
      <c r="AM60" s="88"/>
      <c r="AN60" s="157" t="s">
        <v>774</v>
      </c>
    </row>
    <row r="61" spans="2:40" ht="23.15" customHeight="1" thickBot="1">
      <c r="B61" s="87">
        <v>45848</v>
      </c>
      <c r="C61" s="2" t="s">
        <v>295</v>
      </c>
      <c r="D61" s="15" t="s">
        <v>6</v>
      </c>
      <c r="E61" s="17" t="s">
        <v>164</v>
      </c>
      <c r="F61" s="17" t="s">
        <v>39</v>
      </c>
      <c r="G61" s="18">
        <v>1</v>
      </c>
      <c r="H61" s="18">
        <v>1</v>
      </c>
      <c r="I61" s="18">
        <v>0</v>
      </c>
      <c r="J61" s="18">
        <v>0</v>
      </c>
      <c r="K61" s="19">
        <v>6254.8923681827418</v>
      </c>
      <c r="L61" s="41">
        <v>0</v>
      </c>
      <c r="M61" s="41">
        <v>0</v>
      </c>
      <c r="N61" s="41">
        <v>0</v>
      </c>
      <c r="O61" s="41">
        <v>0</v>
      </c>
      <c r="P61" s="41">
        <v>0</v>
      </c>
      <c r="Q61" s="43">
        <v>0</v>
      </c>
      <c r="R61" s="43">
        <v>0</v>
      </c>
      <c r="S61" s="43">
        <v>0</v>
      </c>
      <c r="T61" s="43">
        <v>0</v>
      </c>
      <c r="U61" s="19"/>
      <c r="V61" s="13">
        <f t="shared" si="8"/>
        <v>6254.8923681827418</v>
      </c>
      <c r="W61" s="13"/>
      <c r="X61" s="13"/>
      <c r="Y61" s="13"/>
      <c r="Z61" s="13"/>
      <c r="AA61" s="22">
        <v>45839</v>
      </c>
      <c r="AB61" s="22" cm="1">
        <f t="array" ref="AB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1" s="4"/>
      <c r="AD61" s="13"/>
      <c r="AE61" s="15"/>
      <c r="AF61" s="3"/>
      <c r="AG61" s="3"/>
      <c r="AH61" s="3"/>
      <c r="AI61" s="3"/>
      <c r="AJ61" s="2">
        <f t="shared" si="5"/>
        <v>0</v>
      </c>
      <c r="AK61" s="2">
        <f t="shared" si="6"/>
        <v>0</v>
      </c>
      <c r="AL61" s="2">
        <f t="shared" si="7"/>
        <v>0</v>
      </c>
      <c r="AM61" s="88"/>
      <c r="AN61" s="157" t="s">
        <v>774</v>
      </c>
    </row>
    <row r="62" spans="2:40" ht="23.15" customHeight="1" thickBot="1">
      <c r="B62" s="87"/>
      <c r="C62" s="2" t="s">
        <v>292</v>
      </c>
      <c r="D62" s="15" t="s">
        <v>6</v>
      </c>
      <c r="E62" s="20" t="s">
        <v>31</v>
      </c>
      <c r="F62" s="17" t="s">
        <v>40</v>
      </c>
      <c r="G62" s="18">
        <v>28</v>
      </c>
      <c r="H62" s="18">
        <v>30</v>
      </c>
      <c r="I62" s="18" t="s">
        <v>294</v>
      </c>
      <c r="J62" s="18" t="s">
        <v>294</v>
      </c>
      <c r="K62" s="19">
        <v>149200.67571439603</v>
      </c>
      <c r="L62" s="41">
        <v>0</v>
      </c>
      <c r="M62" s="18" t="s">
        <v>294</v>
      </c>
      <c r="N62" s="41">
        <v>0</v>
      </c>
      <c r="O62" s="18" t="s">
        <v>294</v>
      </c>
      <c r="P62" s="41" t="s">
        <v>293</v>
      </c>
      <c r="Q62" s="43">
        <v>0</v>
      </c>
      <c r="R62" s="43">
        <v>0</v>
      </c>
      <c r="S62" s="43">
        <v>0</v>
      </c>
      <c r="T62" s="43">
        <v>0</v>
      </c>
      <c r="U62" s="19"/>
      <c r="V62" s="13">
        <f t="shared" si="8"/>
        <v>149200.67571439603</v>
      </c>
      <c r="W62" s="13"/>
      <c r="X62" s="13"/>
      <c r="Y62" s="13">
        <f>51069.0262382281/3</f>
        <v>17023.008746076033</v>
      </c>
      <c r="Z62" s="13" t="s">
        <v>304</v>
      </c>
      <c r="AA62" s="22">
        <v>45901</v>
      </c>
      <c r="AB62" s="22" cm="1">
        <f t="array" ref="AB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2" s="4"/>
      <c r="AD62" s="13">
        <v>3710.33</v>
      </c>
      <c r="AE62" s="15"/>
      <c r="AF62" s="3"/>
      <c r="AG62" s="3"/>
      <c r="AH62" s="3"/>
      <c r="AI62" s="3"/>
      <c r="AJ62" s="2">
        <f t="shared" si="5"/>
        <v>0</v>
      </c>
      <c r="AK62" s="2">
        <f t="shared" si="6"/>
        <v>-3710.33</v>
      </c>
      <c r="AL62" s="2">
        <f t="shared" si="7"/>
        <v>0</v>
      </c>
      <c r="AM62" s="88"/>
      <c r="AN62" s="157" t="s">
        <v>774</v>
      </c>
    </row>
    <row r="63" spans="2:40" ht="23.15" customHeight="1" thickBot="1">
      <c r="B63" s="87"/>
      <c r="C63" s="2" t="s">
        <v>292</v>
      </c>
      <c r="D63" s="15" t="s">
        <v>6</v>
      </c>
      <c r="E63" s="17" t="s">
        <v>31</v>
      </c>
      <c r="F63" s="17" t="s">
        <v>40</v>
      </c>
      <c r="G63" s="18">
        <v>28</v>
      </c>
      <c r="H63" s="18">
        <v>30</v>
      </c>
      <c r="I63" s="18" t="s">
        <v>294</v>
      </c>
      <c r="J63" s="18" t="s">
        <v>294</v>
      </c>
      <c r="K63" s="19">
        <v>149200.67571439603</v>
      </c>
      <c r="L63" s="41"/>
      <c r="M63" s="18" t="s">
        <v>294</v>
      </c>
      <c r="N63" s="41"/>
      <c r="O63" s="18" t="s">
        <v>294</v>
      </c>
      <c r="P63" s="41" t="s">
        <v>293</v>
      </c>
      <c r="Q63" s="18" t="s">
        <v>294</v>
      </c>
      <c r="R63" s="18" t="s">
        <v>294</v>
      </c>
      <c r="S63" s="18" t="s">
        <v>294</v>
      </c>
      <c r="T63" s="18" t="s">
        <v>294</v>
      </c>
      <c r="U63" s="19"/>
      <c r="V63" s="13" t="e">
        <f>IFERROR((K63+M63+R63+S63+T63+#REF!)+IF(U63="Sim",P63+Q63,0),(K63+R63+S63+T63)+IF(U63="Sim",P63+Q63,0))</f>
        <v>#VALUE!</v>
      </c>
      <c r="W63" s="13"/>
      <c r="X63" s="13"/>
      <c r="Y63" s="13"/>
      <c r="Z63" s="13"/>
      <c r="AA63" s="22">
        <v>45931</v>
      </c>
      <c r="AB63" s="22" cm="1">
        <f t="array" ref="AB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3" s="4"/>
      <c r="AD63" s="13">
        <v>8132.42</v>
      </c>
      <c r="AE63" s="15"/>
      <c r="AF63" s="3"/>
      <c r="AG63" s="3"/>
      <c r="AH63" s="3"/>
      <c r="AI63" s="3"/>
      <c r="AJ63" s="2">
        <f t="shared" si="5"/>
        <v>0</v>
      </c>
      <c r="AK63" s="2">
        <f t="shared" si="6"/>
        <v>-8132.42</v>
      </c>
      <c r="AL63" s="2" t="e">
        <f t="shared" si="7"/>
        <v>#VALUE!</v>
      </c>
      <c r="AM63" s="88"/>
      <c r="AN63" s="157" t="s">
        <v>774</v>
      </c>
    </row>
    <row r="64" spans="2:40" ht="23.15" customHeight="1" thickBot="1">
      <c r="B64" s="87"/>
      <c r="C64" s="2"/>
      <c r="D64" s="15" t="s">
        <v>6</v>
      </c>
      <c r="E64" s="17" t="s">
        <v>31</v>
      </c>
      <c r="F64" s="17" t="s">
        <v>40</v>
      </c>
      <c r="G64" s="18">
        <v>28</v>
      </c>
      <c r="H64" s="11"/>
      <c r="I64" s="18"/>
      <c r="J64" s="18"/>
      <c r="K64" s="19"/>
      <c r="L64" s="41"/>
      <c r="M64" s="41"/>
      <c r="N64" s="41"/>
      <c r="O64" s="41"/>
      <c r="P64" s="41"/>
      <c r="Q64" s="43"/>
      <c r="R64" s="43"/>
      <c r="S64" s="43"/>
      <c r="T64" s="43"/>
      <c r="U64" s="19"/>
      <c r="V64" s="13">
        <f t="shared" ref="V64:V95" si="9">IFERROR((K64+M64+R64+S64+T64+O64)+IF(U64="Sim",P64+Q64,0),(K64+R64+S64+T64)+IF(U64="Sim",P64+Q64,0))</f>
        <v>0</v>
      </c>
      <c r="W64" s="13"/>
      <c r="X64" s="13"/>
      <c r="Y64" s="13"/>
      <c r="Z64" s="13"/>
      <c r="AA64" s="22">
        <v>45962</v>
      </c>
      <c r="AB64" s="22" cm="1">
        <f t="array" ref="AB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4" s="4"/>
      <c r="AD64" s="13"/>
      <c r="AE64" s="15"/>
      <c r="AF64" s="3"/>
      <c r="AG64" s="3"/>
      <c r="AH64" s="3"/>
      <c r="AI64" s="3"/>
      <c r="AJ64" s="2">
        <f t="shared" si="5"/>
        <v>0</v>
      </c>
      <c r="AK64" s="2">
        <f t="shared" si="6"/>
        <v>0</v>
      </c>
      <c r="AL64" s="2">
        <f t="shared" si="7"/>
        <v>0</v>
      </c>
      <c r="AM64" s="88"/>
      <c r="AN64" s="157" t="s">
        <v>774</v>
      </c>
    </row>
    <row r="65" spans="2:40" ht="23.15" customHeight="1" thickBot="1">
      <c r="B65" s="87"/>
      <c r="C65" s="2"/>
      <c r="D65" s="15" t="s">
        <v>6</v>
      </c>
      <c r="E65" s="17" t="s">
        <v>31</v>
      </c>
      <c r="F65" s="17" t="s">
        <v>40</v>
      </c>
      <c r="G65" s="17">
        <v>28</v>
      </c>
      <c r="H65" s="11"/>
      <c r="I65" s="18"/>
      <c r="J65" s="18"/>
      <c r="K65" s="19"/>
      <c r="L65" s="41"/>
      <c r="M65" s="41"/>
      <c r="N65" s="41"/>
      <c r="O65" s="41"/>
      <c r="P65" s="41"/>
      <c r="Q65" s="43"/>
      <c r="R65" s="43"/>
      <c r="S65" s="43"/>
      <c r="T65" s="43"/>
      <c r="U65" s="19"/>
      <c r="V65" s="13">
        <f t="shared" si="9"/>
        <v>0</v>
      </c>
      <c r="W65" s="13"/>
      <c r="X65" s="13"/>
      <c r="Y65" s="13"/>
      <c r="Z65" s="13"/>
      <c r="AA65" s="22">
        <v>45992</v>
      </c>
      <c r="AB65" s="22" cm="1">
        <f t="array" ref="AB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5" s="4">
        <v>7519.04</v>
      </c>
      <c r="AD65" s="13">
        <v>8132.42</v>
      </c>
      <c r="AE65" s="15"/>
      <c r="AF65" s="3"/>
      <c r="AG65" s="3"/>
      <c r="AH65" s="3"/>
      <c r="AI65" s="3"/>
      <c r="AJ65" s="2">
        <f t="shared" si="5"/>
        <v>0</v>
      </c>
      <c r="AK65" s="2">
        <f t="shared" si="6"/>
        <v>-613.38000000000011</v>
      </c>
      <c r="AL65" s="2">
        <f t="shared" si="7"/>
        <v>0</v>
      </c>
      <c r="AM65" s="88"/>
      <c r="AN65" s="157" t="s">
        <v>774</v>
      </c>
    </row>
    <row r="66" spans="2:40" ht="23.15" customHeight="1" thickBot="1">
      <c r="B66" s="87">
        <v>45818</v>
      </c>
      <c r="C66" s="2" t="s">
        <v>295</v>
      </c>
      <c r="D66" s="15" t="s">
        <v>6</v>
      </c>
      <c r="E66" s="17" t="s">
        <v>164</v>
      </c>
      <c r="F66" s="17" t="s">
        <v>39</v>
      </c>
      <c r="G66" s="18">
        <v>1</v>
      </c>
      <c r="H66" s="11">
        <v>1</v>
      </c>
      <c r="I66" s="18">
        <v>0</v>
      </c>
      <c r="J66" s="18">
        <v>0</v>
      </c>
      <c r="K66" s="19">
        <v>6254.8923681827418</v>
      </c>
      <c r="L66" s="41">
        <v>0</v>
      </c>
      <c r="M66" s="41">
        <v>0</v>
      </c>
      <c r="N66" s="41">
        <v>0</v>
      </c>
      <c r="O66" s="41">
        <v>0</v>
      </c>
      <c r="P66" s="41">
        <v>0</v>
      </c>
      <c r="Q66" s="43">
        <v>0</v>
      </c>
      <c r="R66" s="43">
        <v>0</v>
      </c>
      <c r="S66" s="43">
        <v>0</v>
      </c>
      <c r="T66" s="43">
        <v>0</v>
      </c>
      <c r="U66" s="19" t="s">
        <v>292</v>
      </c>
      <c r="V66" s="13">
        <f t="shared" si="9"/>
        <v>6254.8923681827418</v>
      </c>
      <c r="W66" s="13"/>
      <c r="X66" s="13"/>
      <c r="Y66" s="13"/>
      <c r="Z66" s="13"/>
      <c r="AA66" s="22">
        <v>45809</v>
      </c>
      <c r="AB66" s="22" cm="1">
        <f t="array" ref="AB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6" s="4"/>
      <c r="AD66" s="13"/>
      <c r="AE66" s="15"/>
      <c r="AF66" s="3"/>
      <c r="AG66" s="3"/>
      <c r="AH66" s="3"/>
      <c r="AI66" s="3"/>
      <c r="AJ66" s="2">
        <f t="shared" si="5"/>
        <v>0</v>
      </c>
      <c r="AK66" s="2">
        <f t="shared" si="6"/>
        <v>0</v>
      </c>
      <c r="AL66" s="2">
        <f t="shared" si="7"/>
        <v>0</v>
      </c>
      <c r="AM66" s="88"/>
      <c r="AN66" s="157" t="s">
        <v>774</v>
      </c>
    </row>
    <row r="67" spans="2:40" ht="23.15" customHeight="1" thickBot="1">
      <c r="B67" s="87">
        <v>45842</v>
      </c>
      <c r="C67" s="2" t="s">
        <v>295</v>
      </c>
      <c r="D67" s="15" t="s">
        <v>6</v>
      </c>
      <c r="E67" s="17" t="s">
        <v>35</v>
      </c>
      <c r="F67" s="17" t="s">
        <v>39</v>
      </c>
      <c r="G67" s="18">
        <f>Tab_Faturamento_RJ[[#This Row],[HC Planilha]]</f>
        <v>2</v>
      </c>
      <c r="H67" s="18">
        <v>2</v>
      </c>
      <c r="I67" s="18">
        <v>0</v>
      </c>
      <c r="J67" s="18">
        <v>0</v>
      </c>
      <c r="K67" s="19">
        <v>12461.141519566572</v>
      </c>
      <c r="L67" s="41">
        <v>0</v>
      </c>
      <c r="M67" s="41">
        <v>0</v>
      </c>
      <c r="N67" s="41">
        <v>0</v>
      </c>
      <c r="O67" s="41">
        <v>0</v>
      </c>
      <c r="P67" s="41">
        <v>0</v>
      </c>
      <c r="Q67" s="43">
        <v>0</v>
      </c>
      <c r="R67" s="43">
        <v>0</v>
      </c>
      <c r="S67" s="43">
        <v>0</v>
      </c>
      <c r="T67" s="43">
        <v>0</v>
      </c>
      <c r="U67" s="19" t="s">
        <v>295</v>
      </c>
      <c r="V67" s="13">
        <f t="shared" si="9"/>
        <v>12461.141519566572</v>
      </c>
      <c r="W67" s="13"/>
      <c r="X67" s="13"/>
      <c r="Y67" s="13">
        <f>2565.17176354316/4</f>
        <v>641.29294088579002</v>
      </c>
      <c r="Z67" s="45" t="s">
        <v>296</v>
      </c>
      <c r="AA67" s="22">
        <v>45839</v>
      </c>
      <c r="AB67" s="22" cm="1">
        <f t="array" ref="AB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7" s="4"/>
      <c r="AD67" s="13"/>
      <c r="AE67" s="15"/>
      <c r="AF67" s="3"/>
      <c r="AG67" s="3"/>
      <c r="AH67" s="3"/>
      <c r="AI67" s="3"/>
      <c r="AJ67" s="2">
        <f t="shared" si="5"/>
        <v>0</v>
      </c>
      <c r="AK67" s="2">
        <f t="shared" si="6"/>
        <v>0</v>
      </c>
      <c r="AL67" s="2">
        <f t="shared" si="7"/>
        <v>0</v>
      </c>
      <c r="AM67" s="88"/>
      <c r="AN67" s="157" t="s">
        <v>774</v>
      </c>
    </row>
    <row r="68" spans="2:40" ht="23.15" customHeight="1" thickBot="1">
      <c r="B68" s="87">
        <v>45877</v>
      </c>
      <c r="C68" s="2" t="s">
        <v>295</v>
      </c>
      <c r="D68" s="15" t="s">
        <v>6</v>
      </c>
      <c r="E68" s="20" t="s">
        <v>164</v>
      </c>
      <c r="F68" s="17" t="s">
        <v>39</v>
      </c>
      <c r="G68" s="18">
        <v>1</v>
      </c>
      <c r="H68" s="18">
        <v>1</v>
      </c>
      <c r="I68" s="18">
        <v>0</v>
      </c>
      <c r="J68" s="18">
        <v>0</v>
      </c>
      <c r="K68" s="19">
        <v>6254.8923681827418</v>
      </c>
      <c r="L68" s="41">
        <v>0</v>
      </c>
      <c r="M68" s="41">
        <v>0</v>
      </c>
      <c r="N68" s="41">
        <v>0</v>
      </c>
      <c r="O68" s="41">
        <v>0</v>
      </c>
      <c r="P68" s="41">
        <v>0</v>
      </c>
      <c r="Q68" s="43">
        <v>0</v>
      </c>
      <c r="R68" s="43">
        <v>0</v>
      </c>
      <c r="S68" s="43">
        <v>0</v>
      </c>
      <c r="T68" s="43">
        <v>0</v>
      </c>
      <c r="U68" s="19" t="s">
        <v>295</v>
      </c>
      <c r="V68" s="13">
        <f t="shared" si="9"/>
        <v>6254.8923681827418</v>
      </c>
      <c r="W68" s="13"/>
      <c r="X68" s="13"/>
      <c r="Y68" s="13"/>
      <c r="Z68" s="13"/>
      <c r="AA68" s="22">
        <v>45870</v>
      </c>
      <c r="AB68" s="22" cm="1">
        <f t="array" ref="AB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8" s="4"/>
      <c r="AD68" s="13"/>
      <c r="AE68" s="15"/>
      <c r="AF68" s="3"/>
      <c r="AG68" s="3"/>
      <c r="AH68" s="3"/>
      <c r="AI68" s="3"/>
      <c r="AJ68" s="2">
        <f t="shared" si="5"/>
        <v>0</v>
      </c>
      <c r="AK68" s="2">
        <f t="shared" si="6"/>
        <v>0</v>
      </c>
      <c r="AL68" s="2">
        <f t="shared" si="7"/>
        <v>0</v>
      </c>
      <c r="AM68" s="88"/>
      <c r="AN68" s="157" t="s">
        <v>774</v>
      </c>
    </row>
    <row r="69" spans="2:40" ht="23.15" customHeight="1" thickBot="1">
      <c r="B69" s="87">
        <v>45908</v>
      </c>
      <c r="C69" s="2" t="s">
        <v>295</v>
      </c>
      <c r="D69" s="15" t="s">
        <v>6</v>
      </c>
      <c r="E69" s="17" t="s">
        <v>164</v>
      </c>
      <c r="F69" s="17" t="s">
        <v>39</v>
      </c>
      <c r="G69" s="18">
        <v>1</v>
      </c>
      <c r="H69" s="18">
        <v>1</v>
      </c>
      <c r="I69" s="18">
        <v>0</v>
      </c>
      <c r="J69" s="18">
        <v>0</v>
      </c>
      <c r="K69" s="19">
        <v>6254.8923681827418</v>
      </c>
      <c r="L69" s="41">
        <v>0</v>
      </c>
      <c r="M69" s="41">
        <v>0</v>
      </c>
      <c r="N69" s="41">
        <v>0</v>
      </c>
      <c r="O69" s="41">
        <v>0</v>
      </c>
      <c r="P69" s="41">
        <v>0</v>
      </c>
      <c r="Q69" s="43">
        <v>0</v>
      </c>
      <c r="R69" s="43">
        <v>0</v>
      </c>
      <c r="S69" s="43">
        <v>0</v>
      </c>
      <c r="T69" s="43">
        <v>0</v>
      </c>
      <c r="U69" s="19" t="s">
        <v>295</v>
      </c>
      <c r="V69" s="13">
        <f t="shared" si="9"/>
        <v>6254.8923681827418</v>
      </c>
      <c r="W69" s="13"/>
      <c r="X69" s="13"/>
      <c r="Y69" s="13"/>
      <c r="Z69" s="13"/>
      <c r="AA69" s="22">
        <v>45901</v>
      </c>
      <c r="AB69" s="22" cm="1">
        <f t="array" ref="AB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9" s="4"/>
      <c r="AD69" s="13"/>
      <c r="AE69" s="15"/>
      <c r="AF69" s="3"/>
      <c r="AG69" s="3"/>
      <c r="AH69" s="3"/>
      <c r="AI69" s="3"/>
      <c r="AJ69" s="2">
        <f t="shared" si="5"/>
        <v>0</v>
      </c>
      <c r="AK69" s="2">
        <f t="shared" si="6"/>
        <v>0</v>
      </c>
      <c r="AL69" s="2">
        <f t="shared" si="7"/>
        <v>0</v>
      </c>
      <c r="AM69" s="88"/>
      <c r="AN69" s="157" t="s">
        <v>774</v>
      </c>
    </row>
    <row r="70" spans="2:40" ht="23.15" customHeight="1" thickBot="1">
      <c r="B70" s="87">
        <v>45931</v>
      </c>
      <c r="C70" s="2" t="s">
        <v>295</v>
      </c>
      <c r="D70" s="15" t="s">
        <v>6</v>
      </c>
      <c r="E70" s="17" t="s">
        <v>164</v>
      </c>
      <c r="F70" s="17" t="s">
        <v>39</v>
      </c>
      <c r="G70" s="18">
        <v>1</v>
      </c>
      <c r="H70" s="18">
        <v>1</v>
      </c>
      <c r="I70" s="18">
        <v>0</v>
      </c>
      <c r="J70" s="18">
        <v>0</v>
      </c>
      <c r="K70" s="19">
        <f>(K69/30.44)*10</f>
        <v>2054.8266649746192</v>
      </c>
      <c r="L70" s="41"/>
      <c r="M70" s="41">
        <v>0</v>
      </c>
      <c r="N70" s="41"/>
      <c r="O70" s="41">
        <v>0</v>
      </c>
      <c r="P70" s="41">
        <v>0</v>
      </c>
      <c r="Q70" s="43">
        <v>0</v>
      </c>
      <c r="R70" s="43">
        <v>0</v>
      </c>
      <c r="S70" s="43">
        <v>0</v>
      </c>
      <c r="T70" s="43">
        <v>0</v>
      </c>
      <c r="U70" s="19" t="s">
        <v>299</v>
      </c>
      <c r="V70" s="13">
        <f t="shared" si="9"/>
        <v>2054.8266649746192</v>
      </c>
      <c r="W70" s="13"/>
      <c r="X70" s="13"/>
      <c r="Y70" s="13"/>
      <c r="Z70" s="13"/>
      <c r="AA70" s="22">
        <v>45931</v>
      </c>
      <c r="AB70" s="22" cm="1">
        <f t="array" ref="AB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0" s="4"/>
      <c r="AD70" s="13"/>
      <c r="AE70" s="15"/>
      <c r="AF70" s="3"/>
      <c r="AG70" s="3"/>
      <c r="AH70" s="3"/>
      <c r="AI70" s="3"/>
      <c r="AJ70" s="2">
        <f t="shared" si="5"/>
        <v>0</v>
      </c>
      <c r="AK70" s="2">
        <f t="shared" si="6"/>
        <v>0</v>
      </c>
      <c r="AL70" s="2">
        <f t="shared" si="7"/>
        <v>0</v>
      </c>
      <c r="AM70" s="88"/>
      <c r="AN70" s="157" t="s">
        <v>774</v>
      </c>
    </row>
    <row r="71" spans="2:40" ht="23.15" customHeight="1" thickBot="1">
      <c r="B71" s="87"/>
      <c r="C71" s="2"/>
      <c r="D71" s="15" t="s">
        <v>6</v>
      </c>
      <c r="E71" s="17" t="s">
        <v>164</v>
      </c>
      <c r="F71" s="17" t="s">
        <v>39</v>
      </c>
      <c r="G71" s="18">
        <v>1</v>
      </c>
      <c r="H71" s="18">
        <v>1</v>
      </c>
      <c r="I71" s="18"/>
      <c r="J71" s="18"/>
      <c r="K71" s="176"/>
      <c r="L71" s="41"/>
      <c r="M71" s="41"/>
      <c r="N71" s="41"/>
      <c r="O71" s="41"/>
      <c r="P71" s="41"/>
      <c r="Q71" s="43"/>
      <c r="R71" s="43"/>
      <c r="S71" s="43"/>
      <c r="T71" s="43"/>
      <c r="U71" s="19"/>
      <c r="V71" s="13">
        <f t="shared" si="9"/>
        <v>0</v>
      </c>
      <c r="W71" s="13"/>
      <c r="X71" s="13"/>
      <c r="Y71" s="13"/>
      <c r="Z71" s="13"/>
      <c r="AA71" s="22">
        <v>45962</v>
      </c>
      <c r="AB71" s="22" cm="1">
        <f t="array" ref="AB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1" s="4"/>
      <c r="AD71" s="13"/>
      <c r="AE71" s="15"/>
      <c r="AF71" s="3"/>
      <c r="AG71" s="3"/>
      <c r="AH71" s="3"/>
      <c r="AI71" s="3"/>
      <c r="AJ71" s="2">
        <f t="shared" si="5"/>
        <v>0</v>
      </c>
      <c r="AK71" s="2">
        <f t="shared" si="6"/>
        <v>0</v>
      </c>
      <c r="AL71" s="2">
        <f t="shared" si="7"/>
        <v>0</v>
      </c>
      <c r="AM71" s="88"/>
      <c r="AN71" s="157" t="s">
        <v>774</v>
      </c>
    </row>
    <row r="72" spans="2:40" ht="23.15" customHeight="1" thickBot="1">
      <c r="B72" s="87"/>
      <c r="C72" s="2"/>
      <c r="D72" s="15" t="s">
        <v>6</v>
      </c>
      <c r="E72" s="17" t="s">
        <v>164</v>
      </c>
      <c r="F72" s="17" t="s">
        <v>39</v>
      </c>
      <c r="G72" s="18">
        <v>1</v>
      </c>
      <c r="H72" s="18">
        <v>1</v>
      </c>
      <c r="I72" s="18"/>
      <c r="J72" s="18"/>
      <c r="K72" s="176"/>
      <c r="L72" s="41"/>
      <c r="M72" s="41"/>
      <c r="N72" s="41"/>
      <c r="O72" s="41"/>
      <c r="P72" s="41"/>
      <c r="Q72" s="43"/>
      <c r="R72" s="43"/>
      <c r="S72" s="43"/>
      <c r="T72" s="43"/>
      <c r="U72" s="19"/>
      <c r="V72" s="13">
        <f t="shared" si="9"/>
        <v>0</v>
      </c>
      <c r="W72" s="13"/>
      <c r="X72" s="13"/>
      <c r="Y72" s="13"/>
      <c r="Z72" s="13"/>
      <c r="AA72" s="22">
        <v>45992</v>
      </c>
      <c r="AB72" s="22" cm="1">
        <f t="array" ref="AB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2" s="4"/>
      <c r="AD72" s="13"/>
      <c r="AE72" s="15"/>
      <c r="AF72" s="3"/>
      <c r="AG72" s="3"/>
      <c r="AH72" s="3"/>
      <c r="AI72" s="3"/>
      <c r="AJ72" s="2">
        <f t="shared" si="5"/>
        <v>0</v>
      </c>
      <c r="AK72" s="2">
        <f t="shared" si="6"/>
        <v>0</v>
      </c>
      <c r="AL72" s="2">
        <f t="shared" si="7"/>
        <v>0</v>
      </c>
      <c r="AM72" s="88"/>
      <c r="AN72" s="157" t="s">
        <v>774</v>
      </c>
    </row>
    <row r="73" spans="2:40" ht="23.15" customHeight="1" thickBot="1">
      <c r="B73" s="87"/>
      <c r="C73" s="2" t="s">
        <v>292</v>
      </c>
      <c r="D73" s="15" t="s">
        <v>6</v>
      </c>
      <c r="E73" s="17" t="s">
        <v>35</v>
      </c>
      <c r="F73" s="17" t="s">
        <v>39</v>
      </c>
      <c r="G73" s="18">
        <v>2</v>
      </c>
      <c r="H73" s="18">
        <v>2</v>
      </c>
      <c r="I73" s="18">
        <v>0</v>
      </c>
      <c r="J73" s="18">
        <v>0</v>
      </c>
      <c r="K73" s="19">
        <v>11606.08</v>
      </c>
      <c r="L73" s="41">
        <v>0</v>
      </c>
      <c r="M73" s="41">
        <v>0</v>
      </c>
      <c r="N73" s="41">
        <v>0</v>
      </c>
      <c r="O73" s="41">
        <v>0</v>
      </c>
      <c r="P73" s="41">
        <v>0</v>
      </c>
      <c r="Q73" s="43">
        <v>0</v>
      </c>
      <c r="R73" s="43">
        <v>0</v>
      </c>
      <c r="S73" s="43">
        <v>0</v>
      </c>
      <c r="T73" s="43">
        <v>0</v>
      </c>
      <c r="U73" s="19" t="s">
        <v>292</v>
      </c>
      <c r="V73" s="13">
        <f t="shared" si="9"/>
        <v>11606.08</v>
      </c>
      <c r="W73" s="13"/>
      <c r="X73" s="13"/>
      <c r="Y73" s="13"/>
      <c r="Z73" s="13"/>
      <c r="AA73" s="22">
        <v>45658</v>
      </c>
      <c r="AB73" s="22" cm="1">
        <f t="array" ref="AB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73" s="4"/>
      <c r="AD73" s="13"/>
      <c r="AE73" s="15"/>
      <c r="AF73" s="3"/>
      <c r="AG73" s="3"/>
      <c r="AH73" s="3"/>
      <c r="AI73" s="3"/>
      <c r="AJ73" s="2">
        <f t="shared" ref="AJ73:AJ103" si="10">IFERROR(L73-M73,0)</f>
        <v>0</v>
      </c>
      <c r="AK73" s="2">
        <f t="shared" ref="AK73:AK103" si="11">AC73-AD73</f>
        <v>0</v>
      </c>
      <c r="AL73" s="2">
        <f t="shared" ref="AL73:AL103" si="12">K73-V73</f>
        <v>0</v>
      </c>
      <c r="AM73" s="88"/>
      <c r="AN73" s="157" t="s">
        <v>774</v>
      </c>
    </row>
    <row r="74" spans="2:40" ht="23.15" customHeight="1" thickBot="1">
      <c r="B74" s="87"/>
      <c r="C74" s="2" t="s">
        <v>295</v>
      </c>
      <c r="D74" s="15" t="s">
        <v>6</v>
      </c>
      <c r="E74" s="17" t="s">
        <v>35</v>
      </c>
      <c r="F74" s="17" t="s">
        <v>39</v>
      </c>
      <c r="G74" s="18">
        <v>2</v>
      </c>
      <c r="H74" s="18">
        <v>2</v>
      </c>
      <c r="I74" s="18">
        <v>0</v>
      </c>
      <c r="J74" s="18">
        <v>0</v>
      </c>
      <c r="K74" s="19">
        <v>11606.08</v>
      </c>
      <c r="L74" s="41">
        <v>0</v>
      </c>
      <c r="M74" s="41">
        <v>0</v>
      </c>
      <c r="N74" s="41">
        <v>0</v>
      </c>
      <c r="O74" s="41">
        <v>0</v>
      </c>
      <c r="P74" s="41">
        <v>0</v>
      </c>
      <c r="Q74" s="43">
        <v>0</v>
      </c>
      <c r="R74" s="43">
        <v>0</v>
      </c>
      <c r="S74" s="43">
        <v>0</v>
      </c>
      <c r="T74" s="43">
        <v>0</v>
      </c>
      <c r="U74" s="19" t="s">
        <v>292</v>
      </c>
      <c r="V74" s="13">
        <f t="shared" si="9"/>
        <v>11606.08</v>
      </c>
      <c r="W74" s="13"/>
      <c r="X74" s="13"/>
      <c r="Y74" s="13"/>
      <c r="Z74" s="13"/>
      <c r="AA74" s="22">
        <v>45689</v>
      </c>
      <c r="AB74" s="22" cm="1">
        <f t="array" ref="AB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4" s="4"/>
      <c r="AD74" s="13"/>
      <c r="AE74" s="15"/>
      <c r="AF74" s="3"/>
      <c r="AG74" s="3"/>
      <c r="AH74" s="3"/>
      <c r="AI74" s="3"/>
      <c r="AJ74" s="2">
        <f t="shared" si="10"/>
        <v>0</v>
      </c>
      <c r="AK74" s="2">
        <f t="shared" si="11"/>
        <v>0</v>
      </c>
      <c r="AL74" s="2">
        <f t="shared" si="12"/>
        <v>0</v>
      </c>
      <c r="AM74" s="88"/>
      <c r="AN74" s="157" t="s">
        <v>774</v>
      </c>
    </row>
    <row r="75" spans="2:40" ht="23.15" customHeight="1" thickBot="1">
      <c r="B75" s="87"/>
      <c r="C75" s="2" t="s">
        <v>295</v>
      </c>
      <c r="D75" s="15" t="s">
        <v>6</v>
      </c>
      <c r="E75" s="20" t="s">
        <v>35</v>
      </c>
      <c r="F75" s="17" t="s">
        <v>39</v>
      </c>
      <c r="G75" s="18">
        <v>2</v>
      </c>
      <c r="H75" s="18">
        <v>2</v>
      </c>
      <c r="I75" s="18">
        <v>0</v>
      </c>
      <c r="J75" s="18">
        <v>0</v>
      </c>
      <c r="K75" s="19">
        <v>11606.08</v>
      </c>
      <c r="L75" s="41">
        <v>0</v>
      </c>
      <c r="M75" s="41">
        <v>0</v>
      </c>
      <c r="N75" s="41">
        <v>0</v>
      </c>
      <c r="O75" s="41">
        <v>0</v>
      </c>
      <c r="P75" s="41">
        <v>0</v>
      </c>
      <c r="Q75" s="43">
        <v>0</v>
      </c>
      <c r="R75" s="43">
        <v>0</v>
      </c>
      <c r="S75" s="43">
        <v>0</v>
      </c>
      <c r="T75" s="43">
        <v>0</v>
      </c>
      <c r="U75" s="19" t="s">
        <v>295</v>
      </c>
      <c r="V75" s="13">
        <f t="shared" si="9"/>
        <v>11606.08</v>
      </c>
      <c r="W75" s="13"/>
      <c r="X75" s="13"/>
      <c r="Y75" s="13"/>
      <c r="Z75" s="13"/>
      <c r="AA75" s="22">
        <v>45717</v>
      </c>
      <c r="AB75" s="22" cm="1">
        <f t="array" ref="AB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5" s="4"/>
      <c r="AD75" s="13"/>
      <c r="AE75" s="15"/>
      <c r="AF75" s="3"/>
      <c r="AG75" s="3"/>
      <c r="AH75" s="3"/>
      <c r="AI75" s="3"/>
      <c r="AJ75" s="2">
        <f t="shared" si="10"/>
        <v>0</v>
      </c>
      <c r="AK75" s="2">
        <f t="shared" si="11"/>
        <v>0</v>
      </c>
      <c r="AL75" s="2">
        <f t="shared" si="12"/>
        <v>0</v>
      </c>
      <c r="AM75" s="88"/>
      <c r="AN75" s="157" t="s">
        <v>774</v>
      </c>
    </row>
    <row r="76" spans="2:40" ht="23.15" customHeight="1" thickBot="1">
      <c r="B76" s="87">
        <v>45754</v>
      </c>
      <c r="C76" s="2" t="s">
        <v>295</v>
      </c>
      <c r="D76" s="15" t="s">
        <v>6</v>
      </c>
      <c r="E76" s="17" t="s">
        <v>35</v>
      </c>
      <c r="F76" s="17" t="s">
        <v>39</v>
      </c>
      <c r="G76" s="18">
        <v>2</v>
      </c>
      <c r="H76" s="18">
        <v>2</v>
      </c>
      <c r="I76" s="18">
        <v>0</v>
      </c>
      <c r="J76" s="18">
        <v>0</v>
      </c>
      <c r="K76" s="19">
        <v>11606.08</v>
      </c>
      <c r="L76" s="41">
        <v>0</v>
      </c>
      <c r="M76" s="41">
        <v>0</v>
      </c>
      <c r="N76" s="41">
        <v>0</v>
      </c>
      <c r="O76" s="41">
        <v>0</v>
      </c>
      <c r="P76" s="41">
        <v>0</v>
      </c>
      <c r="Q76" s="43">
        <v>0</v>
      </c>
      <c r="R76" s="43">
        <v>0</v>
      </c>
      <c r="S76" s="43">
        <v>0</v>
      </c>
      <c r="T76" s="43">
        <v>0</v>
      </c>
      <c r="U76" s="19"/>
      <c r="V76" s="13">
        <f t="shared" si="9"/>
        <v>11606.08</v>
      </c>
      <c r="W76" s="13"/>
      <c r="X76" s="13"/>
      <c r="Y76" s="13"/>
      <c r="Z76" s="13"/>
      <c r="AA76" s="22">
        <v>45748</v>
      </c>
      <c r="AB76" s="22" cm="1">
        <f t="array" ref="AB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6" s="4"/>
      <c r="AD76" s="13"/>
      <c r="AE76" s="15"/>
      <c r="AF76" s="3"/>
      <c r="AG76" s="3"/>
      <c r="AH76" s="3"/>
      <c r="AI76" s="3"/>
      <c r="AJ76" s="2">
        <f t="shared" si="10"/>
        <v>0</v>
      </c>
      <c r="AK76" s="2">
        <f t="shared" si="11"/>
        <v>0</v>
      </c>
      <c r="AL76" s="2">
        <f t="shared" si="12"/>
        <v>0</v>
      </c>
      <c r="AM76" s="88"/>
      <c r="AN76" s="157" t="s">
        <v>774</v>
      </c>
    </row>
    <row r="77" spans="2:40" ht="23.15" customHeight="1" thickBot="1">
      <c r="B77" s="87">
        <v>45789</v>
      </c>
      <c r="C77" s="2" t="s">
        <v>295</v>
      </c>
      <c r="D77" s="15" t="s">
        <v>6</v>
      </c>
      <c r="E77" s="17" t="s">
        <v>35</v>
      </c>
      <c r="F77" s="17" t="s">
        <v>39</v>
      </c>
      <c r="G77" s="18">
        <v>2</v>
      </c>
      <c r="H77" s="18">
        <v>2</v>
      </c>
      <c r="I77" s="18">
        <v>0</v>
      </c>
      <c r="J77" s="18">
        <v>0</v>
      </c>
      <c r="K77" s="19">
        <v>11606.08</v>
      </c>
      <c r="L77" s="41">
        <v>0</v>
      </c>
      <c r="M77" s="41">
        <v>0</v>
      </c>
      <c r="N77" s="41">
        <v>0</v>
      </c>
      <c r="O77" s="41">
        <v>0</v>
      </c>
      <c r="P77" s="41">
        <v>0</v>
      </c>
      <c r="Q77" s="43">
        <v>0</v>
      </c>
      <c r="R77" s="43">
        <v>0</v>
      </c>
      <c r="S77" s="43">
        <v>0</v>
      </c>
      <c r="T77" s="43">
        <v>0</v>
      </c>
      <c r="U77" s="19" t="s">
        <v>292</v>
      </c>
      <c r="V77" s="13">
        <f t="shared" si="9"/>
        <v>11606.08</v>
      </c>
      <c r="W77" s="13"/>
      <c r="X77" s="13"/>
      <c r="Y77" s="13">
        <f>2565.17176354316/4</f>
        <v>641.29294088579002</v>
      </c>
      <c r="Z77" s="45" t="s">
        <v>297</v>
      </c>
      <c r="AA77" s="22">
        <v>45778</v>
      </c>
      <c r="AB77" s="22" cm="1">
        <f t="array" ref="AB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7" s="4"/>
      <c r="AD77" s="13"/>
      <c r="AE77" s="15"/>
      <c r="AF77" s="3"/>
      <c r="AG77" s="3"/>
      <c r="AH77" s="3"/>
      <c r="AI77" s="3"/>
      <c r="AJ77" s="2">
        <f t="shared" si="10"/>
        <v>0</v>
      </c>
      <c r="AK77" s="2">
        <f t="shared" si="11"/>
        <v>0</v>
      </c>
      <c r="AL77" s="2">
        <f t="shared" si="12"/>
        <v>0</v>
      </c>
      <c r="AM77" s="88"/>
      <c r="AN77" s="157" t="s">
        <v>774</v>
      </c>
    </row>
    <row r="78" spans="2:40" ht="23.15" customHeight="1" thickBot="1">
      <c r="B78" s="87">
        <v>45818</v>
      </c>
      <c r="C78" s="2" t="s">
        <v>295</v>
      </c>
      <c r="D78" s="15" t="s">
        <v>6</v>
      </c>
      <c r="E78" s="17" t="s">
        <v>35</v>
      </c>
      <c r="F78" s="17" t="s">
        <v>39</v>
      </c>
      <c r="G78" s="18">
        <v>2</v>
      </c>
      <c r="H78" s="18">
        <v>2</v>
      </c>
      <c r="I78" s="18">
        <v>0</v>
      </c>
      <c r="J78" s="18">
        <v>0</v>
      </c>
      <c r="K78" s="19">
        <v>12461.141519566572</v>
      </c>
      <c r="L78" s="41">
        <v>0</v>
      </c>
      <c r="M78" s="41">
        <v>0</v>
      </c>
      <c r="N78" s="41">
        <v>0</v>
      </c>
      <c r="O78" s="41">
        <v>0</v>
      </c>
      <c r="P78" s="41">
        <v>0</v>
      </c>
      <c r="Q78" s="43">
        <v>0</v>
      </c>
      <c r="R78" s="43">
        <v>0</v>
      </c>
      <c r="S78" s="43">
        <v>0</v>
      </c>
      <c r="T78" s="43">
        <v>0</v>
      </c>
      <c r="U78" s="19" t="s">
        <v>295</v>
      </c>
      <c r="V78" s="13">
        <f t="shared" si="9"/>
        <v>12461.141519566572</v>
      </c>
      <c r="W78" s="13"/>
      <c r="X78" s="13"/>
      <c r="Y78" s="13">
        <f>2565.17176354316/4</f>
        <v>641.29294088579002</v>
      </c>
      <c r="Z78" s="45" t="s">
        <v>298</v>
      </c>
      <c r="AA78" s="22">
        <v>45809</v>
      </c>
      <c r="AB78" s="22" cm="1">
        <f t="array" ref="AB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8" s="4"/>
      <c r="AD78" s="13"/>
      <c r="AE78" s="15"/>
      <c r="AF78" s="3"/>
      <c r="AG78" s="3"/>
      <c r="AH78" s="3"/>
      <c r="AI78" s="3"/>
      <c r="AJ78" s="2">
        <f t="shared" si="10"/>
        <v>0</v>
      </c>
      <c r="AK78" s="2">
        <f t="shared" si="11"/>
        <v>0</v>
      </c>
      <c r="AL78" s="2">
        <f t="shared" si="12"/>
        <v>0</v>
      </c>
      <c r="AM78" s="88"/>
      <c r="AN78" s="157" t="s">
        <v>774</v>
      </c>
    </row>
    <row r="79" spans="2:40" ht="23.15" customHeight="1" thickBot="1">
      <c r="B79" s="87">
        <v>45887</v>
      </c>
      <c r="C79" s="2" t="s">
        <v>295</v>
      </c>
      <c r="D79" s="15" t="s">
        <v>6</v>
      </c>
      <c r="E79" s="17" t="s">
        <v>32</v>
      </c>
      <c r="F79" s="17" t="s">
        <v>40</v>
      </c>
      <c r="G79" s="18">
        <v>20</v>
      </c>
      <c r="H79" s="18">
        <v>20</v>
      </c>
      <c r="I79" s="18">
        <v>0</v>
      </c>
      <c r="J79" s="18">
        <v>0</v>
      </c>
      <c r="K79" s="19">
        <v>133633.18</v>
      </c>
      <c r="L79" s="41">
        <v>0</v>
      </c>
      <c r="M79" s="41">
        <v>0</v>
      </c>
      <c r="N79" s="41">
        <v>0</v>
      </c>
      <c r="O79" s="41">
        <v>0</v>
      </c>
      <c r="P79" s="41">
        <v>0</v>
      </c>
      <c r="Q79" s="43">
        <v>0</v>
      </c>
      <c r="R79" s="43">
        <v>0</v>
      </c>
      <c r="S79" s="43">
        <v>0</v>
      </c>
      <c r="T79" s="43">
        <v>0</v>
      </c>
      <c r="U79" s="19" t="s">
        <v>295</v>
      </c>
      <c r="V79" s="13">
        <f t="shared" si="9"/>
        <v>133633.18</v>
      </c>
      <c r="W79" s="13"/>
      <c r="X79" s="13"/>
      <c r="Y79" s="13">
        <f>11183.19/2</f>
        <v>5591.5950000000003</v>
      </c>
      <c r="Z79" s="13" t="s">
        <v>303</v>
      </c>
      <c r="AA79" s="22">
        <v>45839</v>
      </c>
      <c r="AB79" s="22" cm="1">
        <f t="array" ref="AB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9" s="4"/>
      <c r="AD79" s="13"/>
      <c r="AE79" s="15"/>
      <c r="AF79" s="3"/>
      <c r="AG79" s="3"/>
      <c r="AH79" s="3"/>
      <c r="AI79" s="3"/>
      <c r="AJ79" s="2">
        <f t="shared" si="10"/>
        <v>0</v>
      </c>
      <c r="AK79" s="2">
        <f t="shared" si="11"/>
        <v>0</v>
      </c>
      <c r="AL79" s="2">
        <f t="shared" si="12"/>
        <v>0</v>
      </c>
      <c r="AM79" s="88"/>
      <c r="AN79" s="157" t="s">
        <v>774</v>
      </c>
    </row>
    <row r="80" spans="2:40" ht="23.15" customHeight="1" thickBot="1">
      <c r="B80" s="87">
        <v>45877</v>
      </c>
      <c r="C80" s="2" t="s">
        <v>295</v>
      </c>
      <c r="D80" s="15" t="s">
        <v>6</v>
      </c>
      <c r="E80" s="17" t="s">
        <v>35</v>
      </c>
      <c r="F80" s="17" t="s">
        <v>39</v>
      </c>
      <c r="G80" s="18">
        <v>3</v>
      </c>
      <c r="H80" s="18">
        <v>2</v>
      </c>
      <c r="I80" s="18">
        <v>0</v>
      </c>
      <c r="J80" s="18">
        <v>0</v>
      </c>
      <c r="K80" s="19">
        <v>12461.141519566572</v>
      </c>
      <c r="L80" s="41">
        <v>0</v>
      </c>
      <c r="M80" s="41">
        <v>0</v>
      </c>
      <c r="N80" s="41">
        <v>0</v>
      </c>
      <c r="O80" s="41">
        <v>0</v>
      </c>
      <c r="P80" s="41">
        <v>0</v>
      </c>
      <c r="Q80" s="43">
        <v>0</v>
      </c>
      <c r="R80" s="43">
        <v>0</v>
      </c>
      <c r="S80" s="43">
        <v>0</v>
      </c>
      <c r="T80" s="43">
        <v>0</v>
      </c>
      <c r="U80" s="19" t="s">
        <v>295</v>
      </c>
      <c r="V80" s="13">
        <f t="shared" si="9"/>
        <v>12461.141519566572</v>
      </c>
      <c r="W80" s="13"/>
      <c r="X80" s="13"/>
      <c r="Y80" s="13">
        <f>2565.17176354316/4</f>
        <v>641.29294088579002</v>
      </c>
      <c r="Z80" s="45" t="s">
        <v>300</v>
      </c>
      <c r="AA80" s="22">
        <v>45870</v>
      </c>
      <c r="AB80" s="22" cm="1">
        <f t="array" ref="AB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0" s="4"/>
      <c r="AD80" s="13"/>
      <c r="AE80" s="15"/>
      <c r="AF80" s="3"/>
      <c r="AG80" s="3"/>
      <c r="AH80" s="3"/>
      <c r="AI80" s="3"/>
      <c r="AJ80" s="2">
        <f t="shared" si="10"/>
        <v>0</v>
      </c>
      <c r="AK80" s="2">
        <f t="shared" si="11"/>
        <v>0</v>
      </c>
      <c r="AL80" s="2">
        <f t="shared" si="12"/>
        <v>0</v>
      </c>
      <c r="AM80" s="88"/>
      <c r="AN80" s="157" t="s">
        <v>774</v>
      </c>
    </row>
    <row r="81" spans="2:40" ht="23.15" customHeight="1" thickBot="1">
      <c r="B81" s="87">
        <v>45908</v>
      </c>
      <c r="C81" s="2" t="s">
        <v>295</v>
      </c>
      <c r="D81" s="15" t="s">
        <v>6</v>
      </c>
      <c r="E81" s="17" t="s">
        <v>35</v>
      </c>
      <c r="F81" s="17" t="s">
        <v>39</v>
      </c>
      <c r="G81" s="18">
        <v>3</v>
      </c>
      <c r="H81" s="18">
        <v>2</v>
      </c>
      <c r="I81" s="18">
        <v>0</v>
      </c>
      <c r="J81" s="18">
        <v>0</v>
      </c>
      <c r="K81" s="19">
        <v>12461.141519566572</v>
      </c>
      <c r="L81" s="41">
        <v>0</v>
      </c>
      <c r="M81" s="41">
        <v>0</v>
      </c>
      <c r="N81" s="41">
        <v>0</v>
      </c>
      <c r="O81" s="41">
        <v>0</v>
      </c>
      <c r="P81" s="41">
        <v>0</v>
      </c>
      <c r="Q81" s="43">
        <v>0</v>
      </c>
      <c r="R81" s="43">
        <v>0</v>
      </c>
      <c r="S81" s="43">
        <v>0</v>
      </c>
      <c r="T81" s="43">
        <v>0</v>
      </c>
      <c r="U81" s="19" t="s">
        <v>299</v>
      </c>
      <c r="V81" s="13">
        <f t="shared" si="9"/>
        <v>12461.141519566572</v>
      </c>
      <c r="W81" s="13"/>
      <c r="X81" s="13"/>
      <c r="Y81" s="13"/>
      <c r="Z81" s="13"/>
      <c r="AA81" s="22">
        <v>45901</v>
      </c>
      <c r="AB81" s="22" cm="1">
        <f t="array" ref="AB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1" s="4"/>
      <c r="AD81" s="13"/>
      <c r="AE81" s="15"/>
      <c r="AF81" s="3"/>
      <c r="AG81" s="3"/>
      <c r="AH81" s="3"/>
      <c r="AI81" s="3"/>
      <c r="AJ81" s="2">
        <f t="shared" si="10"/>
        <v>0</v>
      </c>
      <c r="AK81" s="2">
        <f t="shared" si="11"/>
        <v>0</v>
      </c>
      <c r="AL81" s="2">
        <f t="shared" si="12"/>
        <v>0</v>
      </c>
      <c r="AM81" s="88"/>
      <c r="AN81" s="157" t="s">
        <v>774</v>
      </c>
    </row>
    <row r="82" spans="2:40" ht="23.15" customHeight="1" thickBot="1">
      <c r="B82" s="87">
        <v>45931</v>
      </c>
      <c r="C82" s="2" t="s">
        <v>295</v>
      </c>
      <c r="D82" s="15" t="s">
        <v>6</v>
      </c>
      <c r="E82" s="20" t="s">
        <v>35</v>
      </c>
      <c r="F82" s="17" t="s">
        <v>39</v>
      </c>
      <c r="G82" s="18">
        <v>3</v>
      </c>
      <c r="H82" s="18">
        <v>2</v>
      </c>
      <c r="I82" s="18">
        <v>0</v>
      </c>
      <c r="J82" s="18">
        <v>0</v>
      </c>
      <c r="K82" s="19">
        <f>(K81/30.44)*10</f>
        <v>4093.6732981493337</v>
      </c>
      <c r="L82" s="41"/>
      <c r="M82" s="41">
        <v>0</v>
      </c>
      <c r="N82" s="41"/>
      <c r="O82" s="41">
        <v>0</v>
      </c>
      <c r="P82" s="41">
        <v>0</v>
      </c>
      <c r="Q82" s="43">
        <v>0</v>
      </c>
      <c r="R82" s="43">
        <v>0</v>
      </c>
      <c r="S82" s="43">
        <v>0</v>
      </c>
      <c r="T82" s="43">
        <v>0</v>
      </c>
      <c r="U82" s="19" t="s">
        <v>295</v>
      </c>
      <c r="V82" s="13">
        <f t="shared" si="9"/>
        <v>4093.6732981493337</v>
      </c>
      <c r="W82" s="13"/>
      <c r="X82" s="13"/>
      <c r="Y82" s="13"/>
      <c r="Z82" s="13"/>
      <c r="AA82" s="22">
        <v>45931</v>
      </c>
      <c r="AB82" s="22" cm="1">
        <f t="array" ref="AB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2" s="4"/>
      <c r="AD82" s="13"/>
      <c r="AE82" s="15"/>
      <c r="AF82" s="3"/>
      <c r="AG82" s="3"/>
      <c r="AH82" s="3"/>
      <c r="AI82" s="3"/>
      <c r="AJ82" s="2">
        <f t="shared" si="10"/>
        <v>0</v>
      </c>
      <c r="AK82" s="2">
        <f t="shared" si="11"/>
        <v>0</v>
      </c>
      <c r="AL82" s="2">
        <f t="shared" si="12"/>
        <v>0</v>
      </c>
      <c r="AM82" s="88"/>
      <c r="AN82" s="157" t="s">
        <v>774</v>
      </c>
    </row>
    <row r="83" spans="2:40" ht="23.15" customHeight="1" thickBot="1">
      <c r="B83" s="87"/>
      <c r="C83" s="2"/>
      <c r="D83" s="15" t="s">
        <v>6</v>
      </c>
      <c r="E83" s="17" t="s">
        <v>35</v>
      </c>
      <c r="F83" s="17" t="s">
        <v>39</v>
      </c>
      <c r="G83" s="18">
        <v>3</v>
      </c>
      <c r="H83" s="18"/>
      <c r="I83" s="18"/>
      <c r="J83" s="18"/>
      <c r="K83" s="19"/>
      <c r="L83" s="41"/>
      <c r="M83" s="41"/>
      <c r="N83" s="41"/>
      <c r="O83" s="41"/>
      <c r="P83" s="41"/>
      <c r="Q83" s="43"/>
      <c r="R83" s="43"/>
      <c r="S83" s="43"/>
      <c r="T83" s="43"/>
      <c r="U83" s="19"/>
      <c r="V83" s="13">
        <f t="shared" si="9"/>
        <v>0</v>
      </c>
      <c r="W83" s="13"/>
      <c r="X83" s="13"/>
      <c r="Y83" s="13"/>
      <c r="Z83" s="13"/>
      <c r="AA83" s="22">
        <v>45962</v>
      </c>
      <c r="AB83" s="22" cm="1">
        <f t="array" ref="AB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3" s="4"/>
      <c r="AD83" s="13"/>
      <c r="AE83" s="15"/>
      <c r="AF83" s="3"/>
      <c r="AG83" s="3"/>
      <c r="AH83" s="3"/>
      <c r="AI83" s="3"/>
      <c r="AJ83" s="2">
        <f t="shared" si="10"/>
        <v>0</v>
      </c>
      <c r="AK83" s="2">
        <f t="shared" si="11"/>
        <v>0</v>
      </c>
      <c r="AL83" s="2">
        <f t="shared" si="12"/>
        <v>0</v>
      </c>
      <c r="AM83" s="88"/>
      <c r="AN83" s="157" t="s">
        <v>774</v>
      </c>
    </row>
    <row r="84" spans="2:40" ht="23.15" customHeight="1" thickBot="1">
      <c r="B84" s="87"/>
      <c r="C84" s="2"/>
      <c r="D84" s="15" t="s">
        <v>6</v>
      </c>
      <c r="E84" s="17" t="s">
        <v>35</v>
      </c>
      <c r="F84" s="17" t="s">
        <v>39</v>
      </c>
      <c r="G84" s="18">
        <v>3</v>
      </c>
      <c r="H84" s="18"/>
      <c r="I84" s="18"/>
      <c r="J84" s="18"/>
      <c r="K84" s="19"/>
      <c r="L84" s="41"/>
      <c r="M84" s="41"/>
      <c r="N84" s="41"/>
      <c r="O84" s="41"/>
      <c r="P84" s="41"/>
      <c r="Q84" s="43"/>
      <c r="R84" s="43"/>
      <c r="S84" s="43"/>
      <c r="T84" s="43"/>
      <c r="U84" s="19"/>
      <c r="V84" s="13">
        <f t="shared" si="9"/>
        <v>0</v>
      </c>
      <c r="W84" s="13"/>
      <c r="X84" s="13"/>
      <c r="Y84" s="13"/>
      <c r="Z84" s="13"/>
      <c r="AA84" s="22">
        <v>45992</v>
      </c>
      <c r="AB84" s="22" cm="1">
        <f t="array" ref="AB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4" s="4"/>
      <c r="AD84" s="13"/>
      <c r="AE84" s="15"/>
      <c r="AF84" s="3"/>
      <c r="AG84" s="3"/>
      <c r="AH84" s="3"/>
      <c r="AI84" s="3"/>
      <c r="AJ84" s="2">
        <f t="shared" si="10"/>
        <v>0</v>
      </c>
      <c r="AK84" s="2">
        <f t="shared" si="11"/>
        <v>0</v>
      </c>
      <c r="AL84" s="2">
        <f t="shared" si="12"/>
        <v>0</v>
      </c>
      <c r="AM84" s="88"/>
      <c r="AN84" s="157" t="s">
        <v>774</v>
      </c>
    </row>
    <row r="85" spans="2:40" ht="23.15" customHeight="1" thickBot="1">
      <c r="B85" s="87"/>
      <c r="C85" s="2" t="s">
        <v>292</v>
      </c>
      <c r="D85" s="15" t="s">
        <v>6</v>
      </c>
      <c r="E85" s="17" t="s">
        <v>32</v>
      </c>
      <c r="F85" s="17" t="s">
        <v>40</v>
      </c>
      <c r="G85" s="18">
        <v>20</v>
      </c>
      <c r="H85" s="11">
        <v>20</v>
      </c>
      <c r="I85" s="18" t="s">
        <v>294</v>
      </c>
      <c r="J85" s="18" t="s">
        <v>294</v>
      </c>
      <c r="K85" s="10">
        <v>128079.26</v>
      </c>
      <c r="L85" s="41">
        <v>0</v>
      </c>
      <c r="M85" s="41" t="s">
        <v>294</v>
      </c>
      <c r="N85" s="41">
        <v>0</v>
      </c>
      <c r="O85" s="41" t="s">
        <v>294</v>
      </c>
      <c r="P85" s="41">
        <v>0</v>
      </c>
      <c r="Q85" s="43">
        <v>0</v>
      </c>
      <c r="R85" s="43">
        <v>0</v>
      </c>
      <c r="S85" s="43">
        <v>0</v>
      </c>
      <c r="T85" s="43">
        <v>0</v>
      </c>
      <c r="U85" s="19"/>
      <c r="V85" s="13">
        <f t="shared" si="9"/>
        <v>128079.26</v>
      </c>
      <c r="W85" s="13"/>
      <c r="X85" s="13"/>
      <c r="Y85" s="13"/>
      <c r="Z85" s="13"/>
      <c r="AA85" s="22">
        <v>45658</v>
      </c>
      <c r="AB85" s="22" cm="1">
        <f t="array" ref="AB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85" s="4"/>
      <c r="AD85" s="13"/>
      <c r="AE85" s="15"/>
      <c r="AF85" s="3"/>
      <c r="AG85" s="3"/>
      <c r="AH85" s="3"/>
      <c r="AI85" s="3"/>
      <c r="AJ85" s="2">
        <f t="shared" si="10"/>
        <v>0</v>
      </c>
      <c r="AK85" s="2">
        <f t="shared" si="11"/>
        <v>0</v>
      </c>
      <c r="AL85" s="2">
        <f t="shared" si="12"/>
        <v>0</v>
      </c>
      <c r="AM85" s="88"/>
      <c r="AN85" s="157" t="s">
        <v>774</v>
      </c>
    </row>
    <row r="86" spans="2:40" ht="23.15" customHeight="1" thickBot="1">
      <c r="B86" s="87"/>
      <c r="C86" s="2" t="s">
        <v>292</v>
      </c>
      <c r="D86" s="15" t="s">
        <v>6</v>
      </c>
      <c r="E86" s="17" t="s">
        <v>32</v>
      </c>
      <c r="F86" s="17" t="s">
        <v>40</v>
      </c>
      <c r="G86" s="18">
        <v>20</v>
      </c>
      <c r="H86" s="18">
        <v>20</v>
      </c>
      <c r="I86" s="18" t="s">
        <v>294</v>
      </c>
      <c r="J86" s="18" t="s">
        <v>294</v>
      </c>
      <c r="K86" s="10">
        <v>128079.26</v>
      </c>
      <c r="L86" s="41">
        <v>0</v>
      </c>
      <c r="M86" s="41" t="s">
        <v>294</v>
      </c>
      <c r="N86" s="41">
        <v>0</v>
      </c>
      <c r="O86" s="41" t="s">
        <v>294</v>
      </c>
      <c r="P86" s="41">
        <v>0</v>
      </c>
      <c r="Q86" s="43">
        <v>0</v>
      </c>
      <c r="R86" s="43">
        <v>0</v>
      </c>
      <c r="S86" s="43">
        <v>0</v>
      </c>
      <c r="T86" s="43">
        <v>0</v>
      </c>
      <c r="U86" s="19"/>
      <c r="V86" s="13">
        <f t="shared" si="9"/>
        <v>128079.26</v>
      </c>
      <c r="W86" s="13"/>
      <c r="X86" s="13"/>
      <c r="Y86" s="13"/>
      <c r="Z86" s="13"/>
      <c r="AA86" s="22">
        <v>45689</v>
      </c>
      <c r="AB86" s="22" cm="1">
        <f t="array" ref="AB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6" s="4"/>
      <c r="AD86" s="13"/>
      <c r="AE86" s="15"/>
      <c r="AF86" s="3"/>
      <c r="AG86" s="3"/>
      <c r="AH86" s="3"/>
      <c r="AI86" s="3"/>
      <c r="AJ86" s="2">
        <f t="shared" si="10"/>
        <v>0</v>
      </c>
      <c r="AK86" s="2">
        <f t="shared" si="11"/>
        <v>0</v>
      </c>
      <c r="AL86" s="2">
        <f t="shared" si="12"/>
        <v>0</v>
      </c>
      <c r="AM86" s="88"/>
      <c r="AN86" s="157" t="s">
        <v>774</v>
      </c>
    </row>
    <row r="87" spans="2:40" ht="23.15" customHeight="1" thickBot="1">
      <c r="B87" s="87"/>
      <c r="C87" s="2" t="s">
        <v>292</v>
      </c>
      <c r="D87" s="15" t="s">
        <v>6</v>
      </c>
      <c r="E87" s="17" t="s">
        <v>32</v>
      </c>
      <c r="F87" s="17" t="s">
        <v>40</v>
      </c>
      <c r="G87" s="18">
        <v>20</v>
      </c>
      <c r="H87" s="18">
        <v>20</v>
      </c>
      <c r="I87" s="18">
        <v>0</v>
      </c>
      <c r="J87" s="18">
        <v>0</v>
      </c>
      <c r="K87" s="19">
        <v>133633.18</v>
      </c>
      <c r="L87" s="41">
        <v>0</v>
      </c>
      <c r="M87" s="41">
        <v>0</v>
      </c>
      <c r="N87" s="41">
        <v>0</v>
      </c>
      <c r="O87" s="41">
        <v>0</v>
      </c>
      <c r="P87" s="41">
        <v>0</v>
      </c>
      <c r="Q87" s="43">
        <v>0</v>
      </c>
      <c r="R87" s="43">
        <v>0</v>
      </c>
      <c r="S87" s="43">
        <v>0</v>
      </c>
      <c r="T87" s="43">
        <v>0</v>
      </c>
      <c r="U87" s="19" t="s">
        <v>295</v>
      </c>
      <c r="V87" s="13">
        <f t="shared" si="9"/>
        <v>133633.18</v>
      </c>
      <c r="W87" s="13"/>
      <c r="X87" s="13"/>
      <c r="Y87" s="13"/>
      <c r="Z87" s="13"/>
      <c r="AA87" s="22">
        <v>45717</v>
      </c>
      <c r="AB87" s="22" cm="1">
        <f t="array" ref="AB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7" s="4">
        <v>4491.37</v>
      </c>
      <c r="AD87" s="13">
        <v>4491.37</v>
      </c>
      <c r="AE87" s="15"/>
      <c r="AF87" s="3"/>
      <c r="AG87" s="3"/>
      <c r="AH87" s="3"/>
      <c r="AI87" s="3"/>
      <c r="AJ87" s="2">
        <f t="shared" si="10"/>
        <v>0</v>
      </c>
      <c r="AK87" s="2">
        <f t="shared" si="11"/>
        <v>0</v>
      </c>
      <c r="AL87" s="2">
        <f t="shared" si="12"/>
        <v>0</v>
      </c>
      <c r="AM87" s="88"/>
      <c r="AN87" s="157" t="s">
        <v>774</v>
      </c>
    </row>
    <row r="88" spans="2:40" ht="23.15" customHeight="1" thickBot="1">
      <c r="B88" s="87"/>
      <c r="C88" s="2" t="s">
        <v>292</v>
      </c>
      <c r="D88" s="15" t="s">
        <v>6</v>
      </c>
      <c r="E88" s="17" t="s">
        <v>32</v>
      </c>
      <c r="F88" s="17" t="s">
        <v>40</v>
      </c>
      <c r="G88" s="18">
        <v>20</v>
      </c>
      <c r="H88" s="18">
        <v>20</v>
      </c>
      <c r="I88" s="18">
        <v>0</v>
      </c>
      <c r="J88" s="18">
        <v>0</v>
      </c>
      <c r="K88" s="19">
        <v>133633.18</v>
      </c>
      <c r="L88" s="41">
        <v>0</v>
      </c>
      <c r="M88" s="41">
        <v>0</v>
      </c>
      <c r="N88" s="41">
        <v>0</v>
      </c>
      <c r="O88" s="41">
        <v>0</v>
      </c>
      <c r="P88" s="41">
        <v>0</v>
      </c>
      <c r="Q88" s="43">
        <v>0</v>
      </c>
      <c r="R88" s="43">
        <v>0</v>
      </c>
      <c r="S88" s="43">
        <v>0</v>
      </c>
      <c r="T88" s="43">
        <v>0</v>
      </c>
      <c r="U88" s="19"/>
      <c r="V88" s="13">
        <f t="shared" si="9"/>
        <v>133633.18</v>
      </c>
      <c r="W88" s="13"/>
      <c r="X88" s="13"/>
      <c r="Y88" s="13"/>
      <c r="Z88" s="13"/>
      <c r="AA88" s="22">
        <v>45748</v>
      </c>
      <c r="AB88" s="22" cm="1">
        <f t="array" ref="AB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8" s="4"/>
      <c r="AD88" s="13"/>
      <c r="AE88" s="15"/>
      <c r="AF88" s="3"/>
      <c r="AG88" s="3"/>
      <c r="AH88" s="3"/>
      <c r="AI88" s="3"/>
      <c r="AJ88" s="2">
        <f t="shared" si="10"/>
        <v>0</v>
      </c>
      <c r="AK88" s="2">
        <f t="shared" si="11"/>
        <v>0</v>
      </c>
      <c r="AL88" s="2">
        <f t="shared" si="12"/>
        <v>0</v>
      </c>
      <c r="AM88" s="88"/>
      <c r="AN88" s="157" t="s">
        <v>774</v>
      </c>
    </row>
    <row r="89" spans="2:40" ht="23.15" customHeight="1" thickBot="1">
      <c r="B89" s="87"/>
      <c r="C89" s="2" t="s">
        <v>292</v>
      </c>
      <c r="D89" s="15" t="s">
        <v>6</v>
      </c>
      <c r="E89" s="20" t="s">
        <v>32</v>
      </c>
      <c r="F89" s="20" t="s">
        <v>40</v>
      </c>
      <c r="G89" s="18">
        <v>20</v>
      </c>
      <c r="H89" s="18">
        <v>20</v>
      </c>
      <c r="I89" s="18" t="s">
        <v>294</v>
      </c>
      <c r="J89" s="18" t="s">
        <v>294</v>
      </c>
      <c r="K89" s="19">
        <v>133633.18</v>
      </c>
      <c r="L89" s="41">
        <v>0</v>
      </c>
      <c r="M89" s="18" t="s">
        <v>294</v>
      </c>
      <c r="N89" s="41">
        <v>0</v>
      </c>
      <c r="O89" s="18" t="s">
        <v>294</v>
      </c>
      <c r="P89" s="41">
        <v>0</v>
      </c>
      <c r="Q89" s="43">
        <v>0</v>
      </c>
      <c r="R89" s="43">
        <v>0</v>
      </c>
      <c r="S89" s="43">
        <v>0</v>
      </c>
      <c r="T89" s="43">
        <v>0</v>
      </c>
      <c r="U89" s="19"/>
      <c r="V89" s="13">
        <f t="shared" si="9"/>
        <v>133633.18</v>
      </c>
      <c r="W89" s="13"/>
      <c r="X89" s="13"/>
      <c r="Y89" s="13">
        <f>11183.19/2</f>
        <v>5591.5950000000003</v>
      </c>
      <c r="Z89" s="13" t="s">
        <v>305</v>
      </c>
      <c r="AA89" s="22">
        <v>45870</v>
      </c>
      <c r="AB89" s="22" cm="1">
        <f t="array" ref="AB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9" s="4"/>
      <c r="AD89" s="4"/>
      <c r="AE89" s="2"/>
      <c r="AF89" s="3"/>
      <c r="AG89" s="3"/>
      <c r="AH89" s="3"/>
      <c r="AI89" s="3"/>
      <c r="AJ89" s="2">
        <f t="shared" si="10"/>
        <v>0</v>
      </c>
      <c r="AK89" s="2">
        <f t="shared" si="11"/>
        <v>0</v>
      </c>
      <c r="AL89" s="2">
        <f t="shared" si="12"/>
        <v>0</v>
      </c>
      <c r="AM89" s="88"/>
      <c r="AN89" s="157" t="s">
        <v>774</v>
      </c>
    </row>
    <row r="90" spans="2:40" ht="23.15" customHeight="1" thickBot="1">
      <c r="B90" s="87"/>
      <c r="C90" s="2" t="s">
        <v>292</v>
      </c>
      <c r="D90" s="15" t="s">
        <v>6</v>
      </c>
      <c r="E90" s="20" t="s">
        <v>32</v>
      </c>
      <c r="F90" s="20" t="s">
        <v>40</v>
      </c>
      <c r="G90" s="11">
        <v>20</v>
      </c>
      <c r="H90" s="18">
        <v>20</v>
      </c>
      <c r="I90" s="41">
        <v>0</v>
      </c>
      <c r="J90" s="41">
        <v>0</v>
      </c>
      <c r="K90" s="19">
        <v>133633.18</v>
      </c>
      <c r="L90" s="41">
        <v>0</v>
      </c>
      <c r="M90" s="41">
        <v>0</v>
      </c>
      <c r="N90" s="41">
        <v>0</v>
      </c>
      <c r="O90" s="41">
        <v>0</v>
      </c>
      <c r="P90" s="41">
        <v>0</v>
      </c>
      <c r="Q90" s="43">
        <v>0</v>
      </c>
      <c r="R90" s="43">
        <v>0</v>
      </c>
      <c r="S90" s="43">
        <v>0</v>
      </c>
      <c r="T90" s="43">
        <v>0</v>
      </c>
      <c r="U90" s="19" t="s">
        <v>292</v>
      </c>
      <c r="V90" s="13">
        <f t="shared" si="9"/>
        <v>133633.18</v>
      </c>
      <c r="W90" s="13"/>
      <c r="X90" s="13"/>
      <c r="Y90" s="13"/>
      <c r="Z90" s="13"/>
      <c r="AA90" s="22">
        <v>45778</v>
      </c>
      <c r="AB90" s="22" cm="1">
        <f t="array" ref="AB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0" s="4"/>
      <c r="AD90" s="4"/>
      <c r="AE90" s="2"/>
      <c r="AF90" s="3"/>
      <c r="AG90" s="3"/>
      <c r="AH90" s="3"/>
      <c r="AI90" s="3"/>
      <c r="AJ90" s="2">
        <f t="shared" si="10"/>
        <v>0</v>
      </c>
      <c r="AK90" s="2">
        <f t="shared" si="11"/>
        <v>0</v>
      </c>
      <c r="AL90" s="2">
        <f t="shared" si="12"/>
        <v>0</v>
      </c>
      <c r="AM90" s="88"/>
      <c r="AN90" s="157" t="s">
        <v>774</v>
      </c>
    </row>
    <row r="91" spans="2:40" ht="23.15" customHeight="1" thickBot="1">
      <c r="B91" s="87"/>
      <c r="C91" s="2" t="s">
        <v>292</v>
      </c>
      <c r="D91" s="15" t="s">
        <v>6</v>
      </c>
      <c r="E91" s="20" t="s">
        <v>32</v>
      </c>
      <c r="F91" s="20" t="s">
        <v>40</v>
      </c>
      <c r="G91" s="11">
        <v>20</v>
      </c>
      <c r="H91" s="18">
        <v>20</v>
      </c>
      <c r="I91" s="18" t="s">
        <v>294</v>
      </c>
      <c r="J91" s="18" t="s">
        <v>294</v>
      </c>
      <c r="K91" s="19">
        <v>133633.18</v>
      </c>
      <c r="L91" s="41">
        <v>0</v>
      </c>
      <c r="M91" s="41" t="s">
        <v>294</v>
      </c>
      <c r="N91" s="41">
        <v>0</v>
      </c>
      <c r="O91" s="41" t="s">
        <v>294</v>
      </c>
      <c r="P91" s="41" t="s">
        <v>293</v>
      </c>
      <c r="Q91" s="43">
        <v>0</v>
      </c>
      <c r="R91" s="43">
        <v>0</v>
      </c>
      <c r="S91" s="43">
        <v>0</v>
      </c>
      <c r="T91" s="43">
        <v>0</v>
      </c>
      <c r="U91" s="19" t="s">
        <v>292</v>
      </c>
      <c r="V91" s="13">
        <f t="shared" si="9"/>
        <v>133633.18</v>
      </c>
      <c r="W91" s="13"/>
      <c r="X91" s="13"/>
      <c r="Y91" s="13"/>
      <c r="Z91" s="13"/>
      <c r="AA91" s="22">
        <v>45809</v>
      </c>
      <c r="AB91" s="22" cm="1">
        <f t="array" ref="AB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1" s="4"/>
      <c r="AD91" s="4"/>
      <c r="AE91" s="2"/>
      <c r="AF91" s="3"/>
      <c r="AG91" s="3"/>
      <c r="AH91" s="3"/>
      <c r="AI91" s="3"/>
      <c r="AJ91" s="2">
        <f t="shared" si="10"/>
        <v>0</v>
      </c>
      <c r="AK91" s="2">
        <f t="shared" si="11"/>
        <v>0</v>
      </c>
      <c r="AL91" s="2">
        <f t="shared" si="12"/>
        <v>0</v>
      </c>
      <c r="AM91" s="88"/>
      <c r="AN91" s="157" t="s">
        <v>774</v>
      </c>
    </row>
    <row r="92" spans="2:40" ht="23.15" customHeight="1" thickBot="1">
      <c r="B92" s="87">
        <v>45874</v>
      </c>
      <c r="C92" s="2" t="s">
        <v>295</v>
      </c>
      <c r="D92" s="15" t="s">
        <v>11</v>
      </c>
      <c r="E92" s="20" t="s">
        <v>35</v>
      </c>
      <c r="F92" s="20" t="s">
        <v>56</v>
      </c>
      <c r="G92" s="11">
        <v>6</v>
      </c>
      <c r="H92" s="18">
        <v>6</v>
      </c>
      <c r="I92" s="18">
        <v>0</v>
      </c>
      <c r="J92" s="18">
        <v>0</v>
      </c>
      <c r="K92" s="19">
        <v>34666.010151130125</v>
      </c>
      <c r="L92" s="41">
        <v>0</v>
      </c>
      <c r="M92" s="41">
        <v>0</v>
      </c>
      <c r="N92" s="41">
        <v>0</v>
      </c>
      <c r="O92" s="41">
        <v>0</v>
      </c>
      <c r="P92" s="41">
        <v>0</v>
      </c>
      <c r="Q92" s="43">
        <v>0</v>
      </c>
      <c r="R92" s="43">
        <v>0</v>
      </c>
      <c r="S92" s="43">
        <v>0</v>
      </c>
      <c r="T92" s="43">
        <v>0</v>
      </c>
      <c r="U92" s="19"/>
      <c r="V92" s="13">
        <f t="shared" si="9"/>
        <v>34666.010151130125</v>
      </c>
      <c r="W92" s="13"/>
      <c r="X92" s="13"/>
      <c r="Y92" s="13"/>
      <c r="Z92" s="13"/>
      <c r="AA92" s="22">
        <v>45839</v>
      </c>
      <c r="AB92" s="22" cm="1">
        <f t="array" ref="AB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2" s="4"/>
      <c r="AD92" s="4"/>
      <c r="AE92" s="2"/>
      <c r="AF92" s="3"/>
      <c r="AG92" s="3"/>
      <c r="AH92" s="3"/>
      <c r="AI92" s="3"/>
      <c r="AJ92" s="2">
        <f t="shared" si="10"/>
        <v>0</v>
      </c>
      <c r="AK92" s="2">
        <f t="shared" si="11"/>
        <v>0</v>
      </c>
      <c r="AL92" s="2">
        <f t="shared" si="12"/>
        <v>0</v>
      </c>
      <c r="AM92" s="88"/>
      <c r="AN92" s="157" t="s">
        <v>774</v>
      </c>
    </row>
    <row r="93" spans="2:40" ht="23.15" customHeight="1" thickBot="1">
      <c r="B93" s="87"/>
      <c r="C93" s="2" t="s">
        <v>292</v>
      </c>
      <c r="D93" s="15" t="s">
        <v>6</v>
      </c>
      <c r="E93" s="20" t="s">
        <v>32</v>
      </c>
      <c r="F93" s="20" t="s">
        <v>40</v>
      </c>
      <c r="G93" s="11">
        <v>20</v>
      </c>
      <c r="H93" s="18">
        <v>20</v>
      </c>
      <c r="I93" s="18" t="s">
        <v>294</v>
      </c>
      <c r="J93" s="18" t="s">
        <v>294</v>
      </c>
      <c r="K93" s="19">
        <v>133633.18</v>
      </c>
      <c r="L93" s="41">
        <v>0</v>
      </c>
      <c r="M93" s="18" t="s">
        <v>294</v>
      </c>
      <c r="N93" s="41">
        <v>0</v>
      </c>
      <c r="O93" s="18" t="s">
        <v>294</v>
      </c>
      <c r="P93" s="41" t="s">
        <v>293</v>
      </c>
      <c r="Q93" s="43">
        <v>0</v>
      </c>
      <c r="R93" s="43">
        <v>0</v>
      </c>
      <c r="S93" s="43">
        <v>0</v>
      </c>
      <c r="T93" s="43">
        <v>0</v>
      </c>
      <c r="U93" s="19"/>
      <c r="V93" s="13">
        <f t="shared" si="9"/>
        <v>133633.18</v>
      </c>
      <c r="W93" s="13"/>
      <c r="X93" s="13"/>
      <c r="Y93" s="13"/>
      <c r="Z93" s="13"/>
      <c r="AA93" s="22">
        <v>45901</v>
      </c>
      <c r="AB93" s="22" cm="1">
        <f t="array" ref="AB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3" s="4"/>
      <c r="AD93" s="4"/>
      <c r="AE93" s="2"/>
      <c r="AF93" s="3"/>
      <c r="AG93" s="3"/>
      <c r="AH93" s="3"/>
      <c r="AI93" s="3"/>
      <c r="AJ93" s="2">
        <f t="shared" si="10"/>
        <v>0</v>
      </c>
      <c r="AK93" s="2">
        <f t="shared" si="11"/>
        <v>0</v>
      </c>
      <c r="AL93" s="2">
        <f t="shared" si="12"/>
        <v>0</v>
      </c>
      <c r="AM93" s="88"/>
      <c r="AN93" s="157" t="s">
        <v>774</v>
      </c>
    </row>
    <row r="94" spans="2:40" ht="23.15" customHeight="1" thickBot="1">
      <c r="B94" s="87"/>
      <c r="C94" s="2" t="s">
        <v>292</v>
      </c>
      <c r="D94" s="15" t="s">
        <v>6</v>
      </c>
      <c r="E94" s="20" t="s">
        <v>32</v>
      </c>
      <c r="F94" s="20" t="s">
        <v>40</v>
      </c>
      <c r="G94" s="11">
        <v>20</v>
      </c>
      <c r="H94" s="11">
        <v>20</v>
      </c>
      <c r="I94" s="18" t="s">
        <v>294</v>
      </c>
      <c r="J94" s="18" t="s">
        <v>294</v>
      </c>
      <c r="K94" s="19">
        <v>133633.18</v>
      </c>
      <c r="L94" s="41"/>
      <c r="M94" s="18" t="s">
        <v>294</v>
      </c>
      <c r="N94" s="41"/>
      <c r="O94" s="18" t="s">
        <v>294</v>
      </c>
      <c r="P94" s="41" t="s">
        <v>293</v>
      </c>
      <c r="Q94" s="18"/>
      <c r="R94" s="18"/>
      <c r="S94" s="18"/>
      <c r="T94" s="18"/>
      <c r="U94" s="19"/>
      <c r="V94" s="13">
        <f t="shared" si="9"/>
        <v>133633.18</v>
      </c>
      <c r="W94" s="13"/>
      <c r="X94" s="13"/>
      <c r="Y94" s="13"/>
      <c r="Z94" s="13"/>
      <c r="AA94" s="22">
        <v>45931</v>
      </c>
      <c r="AB94" s="22" cm="1">
        <f t="array" ref="AB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4" s="4"/>
      <c r="AD94" s="4"/>
      <c r="AE94" s="2"/>
      <c r="AF94" s="3"/>
      <c r="AG94" s="3"/>
      <c r="AH94" s="3"/>
      <c r="AI94" s="3"/>
      <c r="AJ94" s="2">
        <f t="shared" si="10"/>
        <v>0</v>
      </c>
      <c r="AK94" s="2">
        <f t="shared" si="11"/>
        <v>0</v>
      </c>
      <c r="AL94" s="2">
        <f t="shared" si="12"/>
        <v>0</v>
      </c>
      <c r="AM94" s="88"/>
      <c r="AN94" s="157" t="s">
        <v>774</v>
      </c>
    </row>
    <row r="95" spans="2:40" ht="23.15" customHeight="1" thickBot="1">
      <c r="B95" s="87"/>
      <c r="C95" s="2"/>
      <c r="D95" s="15" t="s">
        <v>6</v>
      </c>
      <c r="E95" s="20" t="s">
        <v>32</v>
      </c>
      <c r="F95" s="20" t="s">
        <v>40</v>
      </c>
      <c r="G95" s="11">
        <v>20</v>
      </c>
      <c r="H95" s="18"/>
      <c r="I95" s="18"/>
      <c r="J95" s="18"/>
      <c r="K95" s="19"/>
      <c r="L95" s="41"/>
      <c r="M95" s="43"/>
      <c r="N95" s="41"/>
      <c r="O95" s="43"/>
      <c r="P95" s="41"/>
      <c r="Q95" s="43"/>
      <c r="R95" s="43"/>
      <c r="S95" s="43"/>
      <c r="T95" s="43"/>
      <c r="U95" s="19"/>
      <c r="V95" s="13">
        <f t="shared" si="9"/>
        <v>0</v>
      </c>
      <c r="W95" s="13"/>
      <c r="X95" s="13"/>
      <c r="Y95" s="13"/>
      <c r="Z95" s="13"/>
      <c r="AA95" s="22">
        <v>45962</v>
      </c>
      <c r="AB95" s="22" cm="1">
        <f t="array" ref="AB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5" s="4"/>
      <c r="AD95" s="4"/>
      <c r="AE95" s="2"/>
      <c r="AF95" s="3"/>
      <c r="AG95" s="3"/>
      <c r="AH95" s="3"/>
      <c r="AI95" s="3"/>
      <c r="AJ95" s="2">
        <f t="shared" si="10"/>
        <v>0</v>
      </c>
      <c r="AK95" s="2">
        <f t="shared" si="11"/>
        <v>0</v>
      </c>
      <c r="AL95" s="2">
        <f t="shared" si="12"/>
        <v>0</v>
      </c>
      <c r="AM95" s="88"/>
      <c r="AN95" s="157" t="s">
        <v>774</v>
      </c>
    </row>
    <row r="96" spans="2:40" ht="23.15" customHeight="1" thickBot="1">
      <c r="B96" s="87"/>
      <c r="C96" s="2"/>
      <c r="D96" s="15" t="s">
        <v>6</v>
      </c>
      <c r="E96" s="20" t="s">
        <v>32</v>
      </c>
      <c r="F96" s="20" t="s">
        <v>40</v>
      </c>
      <c r="G96" s="20">
        <v>20</v>
      </c>
      <c r="H96" s="11"/>
      <c r="I96" s="18"/>
      <c r="J96" s="18"/>
      <c r="K96" s="19"/>
      <c r="L96" s="41"/>
      <c r="M96" s="41"/>
      <c r="N96" s="41"/>
      <c r="O96" s="41"/>
      <c r="P96" s="41"/>
      <c r="Q96" s="43"/>
      <c r="R96" s="43"/>
      <c r="S96" s="43"/>
      <c r="T96" s="43"/>
      <c r="U96" s="19"/>
      <c r="V96" s="13">
        <f t="shared" ref="V96:V103" si="13">IFERROR((K96+M96+R96+S96+T96+O96)+IF(U96="Sim",P96+Q96,0),(K96+R96+S96+T96)+IF(U96="Sim",P96+Q96,0))</f>
        <v>0</v>
      </c>
      <c r="W96" s="13"/>
      <c r="X96" s="13"/>
      <c r="Y96" s="13"/>
      <c r="Z96" s="13"/>
      <c r="AA96" s="22">
        <v>45992</v>
      </c>
      <c r="AB96" s="22" cm="1">
        <f t="array" ref="AB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6" s="4"/>
      <c r="AD96" s="4"/>
      <c r="AE96" s="2"/>
      <c r="AF96" s="3"/>
      <c r="AG96" s="3"/>
      <c r="AH96" s="3"/>
      <c r="AI96" s="3"/>
      <c r="AJ96" s="2">
        <f t="shared" si="10"/>
        <v>0</v>
      </c>
      <c r="AK96" s="2">
        <f t="shared" si="11"/>
        <v>0</v>
      </c>
      <c r="AL96" s="2">
        <f t="shared" si="12"/>
        <v>0</v>
      </c>
      <c r="AM96" s="88"/>
      <c r="AN96" s="157" t="s">
        <v>774</v>
      </c>
    </row>
    <row r="97" spans="2:40" ht="23.15" customHeight="1" thickBot="1">
      <c r="B97" s="87"/>
      <c r="C97" s="2" t="s">
        <v>292</v>
      </c>
      <c r="D97" s="15" t="s">
        <v>11</v>
      </c>
      <c r="E97" s="20" t="s">
        <v>35</v>
      </c>
      <c r="F97" s="20" t="s">
        <v>56</v>
      </c>
      <c r="G97" s="11">
        <v>6</v>
      </c>
      <c r="H97" s="18">
        <v>6</v>
      </c>
      <c r="I97" s="18" t="s">
        <v>294</v>
      </c>
      <c r="J97" s="18" t="s">
        <v>294</v>
      </c>
      <c r="K97" s="19">
        <v>32285.474905129413</v>
      </c>
      <c r="L97" s="41">
        <v>0</v>
      </c>
      <c r="M97" s="43" t="s">
        <v>294</v>
      </c>
      <c r="N97" s="41">
        <v>0</v>
      </c>
      <c r="O97" s="41" t="s">
        <v>294</v>
      </c>
      <c r="P97" s="41">
        <v>0</v>
      </c>
      <c r="Q97" s="43">
        <v>0</v>
      </c>
      <c r="R97" s="43">
        <v>0</v>
      </c>
      <c r="S97" s="43">
        <v>0</v>
      </c>
      <c r="T97" s="43">
        <v>0</v>
      </c>
      <c r="U97" s="19"/>
      <c r="V97" s="13">
        <f t="shared" si="13"/>
        <v>32285.474905129413</v>
      </c>
      <c r="W97" s="13"/>
      <c r="X97" s="13"/>
      <c r="Y97" s="13"/>
      <c r="Z97" s="13"/>
      <c r="AA97" s="22">
        <v>45658</v>
      </c>
      <c r="AB97" s="22" cm="1">
        <f t="array" ref="AB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7" s="4"/>
      <c r="AD97" s="4"/>
      <c r="AE97" s="2"/>
      <c r="AF97" s="3"/>
      <c r="AG97" s="3"/>
      <c r="AH97" s="3"/>
      <c r="AI97" s="3"/>
      <c r="AJ97" s="2">
        <f t="shared" si="10"/>
        <v>0</v>
      </c>
      <c r="AK97" s="2">
        <f t="shared" si="11"/>
        <v>0</v>
      </c>
      <c r="AL97" s="2">
        <f t="shared" si="12"/>
        <v>0</v>
      </c>
      <c r="AM97" s="88"/>
      <c r="AN97" s="157" t="s">
        <v>774</v>
      </c>
    </row>
    <row r="98" spans="2:40" ht="23.15" customHeight="1" thickBot="1">
      <c r="B98" s="87"/>
      <c r="C98" s="2" t="s">
        <v>292</v>
      </c>
      <c r="D98" s="15" t="s">
        <v>11</v>
      </c>
      <c r="E98" s="20" t="s">
        <v>35</v>
      </c>
      <c r="F98" s="20" t="s">
        <v>56</v>
      </c>
      <c r="G98" s="11">
        <v>6</v>
      </c>
      <c r="H98" s="18">
        <v>6</v>
      </c>
      <c r="I98" s="18" t="s">
        <v>294</v>
      </c>
      <c r="J98" s="18" t="s">
        <v>294</v>
      </c>
      <c r="K98" s="19">
        <v>32285.474905129413</v>
      </c>
      <c r="L98" s="41">
        <v>0</v>
      </c>
      <c r="M98" s="41" t="s">
        <v>294</v>
      </c>
      <c r="N98" s="41">
        <v>0</v>
      </c>
      <c r="O98" s="41" t="s">
        <v>294</v>
      </c>
      <c r="P98" s="41">
        <v>0</v>
      </c>
      <c r="Q98" s="43">
        <v>0</v>
      </c>
      <c r="R98" s="43">
        <v>0</v>
      </c>
      <c r="S98" s="43">
        <v>0</v>
      </c>
      <c r="T98" s="43">
        <v>0</v>
      </c>
      <c r="U98" s="19"/>
      <c r="V98" s="13">
        <f t="shared" si="13"/>
        <v>32285.474905129413</v>
      </c>
      <c r="W98" s="13"/>
      <c r="X98" s="13"/>
      <c r="Y98" s="13"/>
      <c r="Z98" s="13"/>
      <c r="AA98" s="22">
        <v>45689</v>
      </c>
      <c r="AB98" s="22" cm="1">
        <f t="array" ref="AB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8" s="4"/>
      <c r="AD98" s="4"/>
      <c r="AE98" s="2"/>
      <c r="AF98" s="3"/>
      <c r="AG98" s="3"/>
      <c r="AH98" s="3"/>
      <c r="AI98" s="3"/>
      <c r="AJ98" s="2">
        <f t="shared" si="10"/>
        <v>0</v>
      </c>
      <c r="AK98" s="2">
        <f t="shared" si="11"/>
        <v>0</v>
      </c>
      <c r="AL98" s="2">
        <f t="shared" si="12"/>
        <v>0</v>
      </c>
      <c r="AM98" s="88"/>
      <c r="AN98" s="157" t="s">
        <v>774</v>
      </c>
    </row>
    <row r="99" spans="2:40" ht="23.15" customHeight="1" thickBot="1">
      <c r="B99" s="87"/>
      <c r="C99" s="2" t="s">
        <v>292</v>
      </c>
      <c r="D99" s="15" t="s">
        <v>11</v>
      </c>
      <c r="E99" s="20" t="s">
        <v>35</v>
      </c>
      <c r="F99" s="20" t="s">
        <v>56</v>
      </c>
      <c r="G99" s="11">
        <v>6</v>
      </c>
      <c r="H99" s="11">
        <v>6</v>
      </c>
      <c r="I99" s="18" t="s">
        <v>294</v>
      </c>
      <c r="J99" s="18" t="s">
        <v>294</v>
      </c>
      <c r="K99" s="19">
        <v>32285.474905129413</v>
      </c>
      <c r="L99" s="41">
        <v>0</v>
      </c>
      <c r="M99" s="41" t="s">
        <v>294</v>
      </c>
      <c r="N99" s="41">
        <v>0</v>
      </c>
      <c r="O99" s="41" t="s">
        <v>294</v>
      </c>
      <c r="P99" s="41">
        <v>0</v>
      </c>
      <c r="Q99" s="43">
        <v>0</v>
      </c>
      <c r="R99" s="43">
        <v>0</v>
      </c>
      <c r="S99" s="43">
        <v>0</v>
      </c>
      <c r="T99" s="43">
        <v>0</v>
      </c>
      <c r="U99" s="19"/>
      <c r="V99" s="13">
        <f t="shared" si="13"/>
        <v>32285.474905129413</v>
      </c>
      <c r="W99" s="13"/>
      <c r="X99" s="13"/>
      <c r="Y99" s="13"/>
      <c r="Z99" s="13"/>
      <c r="AA99" s="22">
        <v>45717</v>
      </c>
      <c r="AB99" s="22" cm="1">
        <f t="array" ref="AB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9" s="4"/>
      <c r="AD99" s="4"/>
      <c r="AE99" s="2"/>
      <c r="AF99" s="3"/>
      <c r="AG99" s="3"/>
      <c r="AH99" s="3"/>
      <c r="AI99" s="3"/>
      <c r="AJ99" s="2">
        <f t="shared" si="10"/>
        <v>0</v>
      </c>
      <c r="AK99" s="2">
        <f t="shared" si="11"/>
        <v>0</v>
      </c>
      <c r="AL99" s="2">
        <f t="shared" si="12"/>
        <v>0</v>
      </c>
      <c r="AM99" s="88"/>
      <c r="AN99" s="157" t="s">
        <v>774</v>
      </c>
    </row>
    <row r="100" spans="2:40" ht="23.15" customHeight="1" thickBot="1">
      <c r="B100" s="87"/>
      <c r="C100" s="2" t="s">
        <v>292</v>
      </c>
      <c r="D100" s="15" t="s">
        <v>11</v>
      </c>
      <c r="E100" s="17" t="s">
        <v>35</v>
      </c>
      <c r="F100" s="17" t="s">
        <v>56</v>
      </c>
      <c r="G100" s="18">
        <v>6</v>
      </c>
      <c r="H100" s="18">
        <v>6</v>
      </c>
      <c r="I100" s="18">
        <v>0</v>
      </c>
      <c r="J100" s="18">
        <v>0</v>
      </c>
      <c r="K100" s="19">
        <v>32285.474905129413</v>
      </c>
      <c r="L100" s="41">
        <v>0</v>
      </c>
      <c r="M100" s="41">
        <v>0</v>
      </c>
      <c r="N100" s="41">
        <v>0</v>
      </c>
      <c r="O100" s="41">
        <v>0</v>
      </c>
      <c r="P100" s="41">
        <v>0</v>
      </c>
      <c r="Q100" s="43">
        <v>0</v>
      </c>
      <c r="R100" s="43">
        <v>0</v>
      </c>
      <c r="S100" s="43">
        <v>0</v>
      </c>
      <c r="T100" s="43">
        <v>0</v>
      </c>
      <c r="U100" s="19"/>
      <c r="V100" s="13">
        <f t="shared" si="13"/>
        <v>32285.474905129413</v>
      </c>
      <c r="W100" s="13"/>
      <c r="X100" s="13"/>
      <c r="Y100" s="13"/>
      <c r="Z100" s="13"/>
      <c r="AA100" s="22">
        <v>45748</v>
      </c>
      <c r="AB100" s="22" cm="1">
        <f t="array" ref="AB1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00" s="4"/>
      <c r="AD100" s="13"/>
      <c r="AE100" s="15"/>
      <c r="AF100" s="3"/>
      <c r="AG100" s="3"/>
      <c r="AH100" s="3"/>
      <c r="AI100" s="3"/>
      <c r="AJ100" s="2">
        <f t="shared" si="10"/>
        <v>0</v>
      </c>
      <c r="AK100" s="2">
        <f t="shared" si="11"/>
        <v>0</v>
      </c>
      <c r="AL100" s="2">
        <f t="shared" si="12"/>
        <v>0</v>
      </c>
      <c r="AM100" s="88"/>
      <c r="AN100" s="157" t="s">
        <v>774</v>
      </c>
    </row>
    <row r="101" spans="2:40" ht="23.15" customHeight="1" thickBot="1">
      <c r="B101" s="87">
        <v>45813</v>
      </c>
      <c r="C101" s="2" t="s">
        <v>295</v>
      </c>
      <c r="D101" s="15" t="s">
        <v>11</v>
      </c>
      <c r="E101" s="20" t="s">
        <v>35</v>
      </c>
      <c r="F101" s="20" t="s">
        <v>56</v>
      </c>
      <c r="G101" s="11">
        <v>60</v>
      </c>
      <c r="H101" s="11">
        <v>6</v>
      </c>
      <c r="I101" s="18">
        <v>0</v>
      </c>
      <c r="J101" s="18">
        <v>0</v>
      </c>
      <c r="K101" s="19">
        <v>34666.010151130125</v>
      </c>
      <c r="L101" s="41">
        <v>0</v>
      </c>
      <c r="M101" s="43">
        <v>0</v>
      </c>
      <c r="N101" s="41">
        <v>0</v>
      </c>
      <c r="O101" s="43">
        <v>0</v>
      </c>
      <c r="P101" s="41">
        <v>0</v>
      </c>
      <c r="Q101" s="43">
        <v>0</v>
      </c>
      <c r="R101" s="43">
        <v>0</v>
      </c>
      <c r="S101" s="43">
        <v>0</v>
      </c>
      <c r="T101" s="43">
        <v>0</v>
      </c>
      <c r="U101" s="19" t="s">
        <v>295</v>
      </c>
      <c r="V101" s="13">
        <f t="shared" si="13"/>
        <v>34666.010151130125</v>
      </c>
      <c r="W101" s="13"/>
      <c r="X101" s="13"/>
      <c r="Y101" s="13">
        <v>4761.07</v>
      </c>
      <c r="Z101" s="13" t="s">
        <v>302</v>
      </c>
      <c r="AA101" s="22">
        <v>45778</v>
      </c>
      <c r="AB101" s="22" cm="1">
        <f t="array" ref="AB1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01" s="4"/>
      <c r="AD101" s="4"/>
      <c r="AE101" s="2"/>
      <c r="AF101" s="3"/>
      <c r="AG101" s="3"/>
      <c r="AH101" s="3"/>
      <c r="AI101" s="3"/>
      <c r="AJ101" s="2">
        <f t="shared" si="10"/>
        <v>0</v>
      </c>
      <c r="AK101" s="2">
        <f t="shared" si="11"/>
        <v>0</v>
      </c>
      <c r="AL101" s="2">
        <f t="shared" si="12"/>
        <v>0</v>
      </c>
      <c r="AM101" s="88"/>
      <c r="AN101" s="157" t="s">
        <v>774</v>
      </c>
    </row>
    <row r="102" spans="2:40" ht="23.15" customHeight="1" thickBot="1">
      <c r="B102" s="87">
        <v>45842</v>
      </c>
      <c r="C102" s="2" t="s">
        <v>295</v>
      </c>
      <c r="D102" s="15" t="s">
        <v>11</v>
      </c>
      <c r="E102" s="20" t="s">
        <v>35</v>
      </c>
      <c r="F102" s="20" t="s">
        <v>56</v>
      </c>
      <c r="G102" s="11">
        <v>6</v>
      </c>
      <c r="H102" s="18">
        <v>6</v>
      </c>
      <c r="I102" s="18">
        <v>1</v>
      </c>
      <c r="J102" s="18">
        <v>0</v>
      </c>
      <c r="K102" s="19">
        <v>34666.010151130125</v>
      </c>
      <c r="L102" s="41">
        <v>0</v>
      </c>
      <c r="M102" s="43">
        <f>-186.5</f>
        <v>-186.5</v>
      </c>
      <c r="N102" s="41">
        <v>0</v>
      </c>
      <c r="O102" s="41">
        <v>0</v>
      </c>
      <c r="P102" s="41">
        <v>0</v>
      </c>
      <c r="Q102" s="43">
        <v>0</v>
      </c>
      <c r="R102" s="43">
        <v>0</v>
      </c>
      <c r="S102" s="43">
        <v>0</v>
      </c>
      <c r="T102" s="43">
        <v>0</v>
      </c>
      <c r="U102" s="19" t="s">
        <v>295</v>
      </c>
      <c r="V102" s="13">
        <f t="shared" si="13"/>
        <v>34479.510151130125</v>
      </c>
      <c r="W102" s="13"/>
      <c r="X102" s="13"/>
      <c r="Y102" s="13"/>
      <c r="Z102" s="13"/>
      <c r="AA102" s="22">
        <v>45809</v>
      </c>
      <c r="AB102" s="22" cm="1">
        <f t="array" ref="AB1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02" s="4"/>
      <c r="AD102" s="4"/>
      <c r="AE102" s="2"/>
      <c r="AF102" s="3"/>
      <c r="AG102" s="3"/>
      <c r="AH102" s="3"/>
      <c r="AI102" s="3"/>
      <c r="AJ102" s="2">
        <f t="shared" si="10"/>
        <v>186.5</v>
      </c>
      <c r="AK102" s="2">
        <f t="shared" si="11"/>
        <v>0</v>
      </c>
      <c r="AL102" s="2">
        <f t="shared" si="12"/>
        <v>186.5</v>
      </c>
      <c r="AM102" s="88"/>
      <c r="AN102" s="157" t="s">
        <v>774</v>
      </c>
    </row>
    <row r="103" spans="2:40" ht="23.15" customHeight="1" thickBot="1">
      <c r="B103" s="87">
        <v>45873</v>
      </c>
      <c r="C103" s="2" t="s">
        <v>295</v>
      </c>
      <c r="D103" s="15" t="s">
        <v>11</v>
      </c>
      <c r="E103" s="20" t="s">
        <v>29</v>
      </c>
      <c r="F103" s="20" t="s">
        <v>80</v>
      </c>
      <c r="G103" s="11">
        <v>11</v>
      </c>
      <c r="H103" s="11">
        <v>10</v>
      </c>
      <c r="I103" s="18">
        <v>0</v>
      </c>
      <c r="J103" s="18">
        <v>28.7</v>
      </c>
      <c r="K103" s="19">
        <f>(64357/31*25)+(55417.084444475/31*6)</f>
        <v>62626.693763446776</v>
      </c>
      <c r="L103" s="41">
        <v>0</v>
      </c>
      <c r="M103" s="41">
        <v>0</v>
      </c>
      <c r="N103" s="41">
        <v>0</v>
      </c>
      <c r="O103" s="41">
        <v>-725.56923332555004</v>
      </c>
      <c r="P103" s="41">
        <v>-1823.45</v>
      </c>
      <c r="Q103" s="43">
        <v>0</v>
      </c>
      <c r="R103" s="43">
        <v>0</v>
      </c>
      <c r="S103" s="43">
        <v>0</v>
      </c>
      <c r="T103" s="43">
        <v>0</v>
      </c>
      <c r="U103" s="19" t="s">
        <v>295</v>
      </c>
      <c r="V103" s="13">
        <f t="shared" si="13"/>
        <v>60077.674530121229</v>
      </c>
      <c r="W103" s="13"/>
      <c r="X103" s="13"/>
      <c r="Y103" s="13"/>
      <c r="Z103" s="13"/>
      <c r="AA103" s="22">
        <v>45839</v>
      </c>
      <c r="AB103" s="22" cm="1">
        <f t="array" ref="AB1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03" s="4"/>
      <c r="AD103" s="4"/>
      <c r="AE103" s="2"/>
      <c r="AF103" s="3"/>
      <c r="AG103" s="3"/>
      <c r="AH103" s="3"/>
      <c r="AI103" s="3"/>
      <c r="AJ103" s="2">
        <f t="shared" si="10"/>
        <v>0</v>
      </c>
      <c r="AK103" s="2">
        <f t="shared" si="11"/>
        <v>0</v>
      </c>
      <c r="AL103" s="2">
        <f t="shared" si="12"/>
        <v>2549.0192333255472</v>
      </c>
      <c r="AM103" s="88"/>
      <c r="AN103" s="157" t="s">
        <v>774</v>
      </c>
    </row>
    <row r="104" spans="2:40" ht="23.15" customHeight="1" thickBot="1">
      <c r="B104" s="87">
        <v>45904</v>
      </c>
      <c r="C104" s="2" t="s">
        <v>295</v>
      </c>
      <c r="D104" s="15" t="s">
        <v>11</v>
      </c>
      <c r="E104" s="20" t="s">
        <v>28</v>
      </c>
      <c r="F104" s="20" t="s">
        <v>37</v>
      </c>
      <c r="G104" s="11">
        <v>28</v>
      </c>
      <c r="H104" s="18">
        <v>17.18</v>
      </c>
      <c r="I104" s="41">
        <v>0</v>
      </c>
      <c r="J104" s="18">
        <v>0</v>
      </c>
      <c r="K104" s="19">
        <v>108075.2394945534</v>
      </c>
      <c r="L104" s="41">
        <v>0</v>
      </c>
      <c r="M104" s="43">
        <v>0</v>
      </c>
      <c r="N104" s="41">
        <v>0</v>
      </c>
      <c r="O104" s="43">
        <v>0</v>
      </c>
      <c r="P104" s="41">
        <v>0</v>
      </c>
      <c r="Q104" s="43">
        <v>0</v>
      </c>
      <c r="R104" s="43">
        <v>-500</v>
      </c>
      <c r="S104" s="43">
        <v>0</v>
      </c>
      <c r="T104" s="43">
        <v>0</v>
      </c>
      <c r="U104" s="19" t="s">
        <v>295</v>
      </c>
      <c r="V104" s="13">
        <f t="shared" ref="V104:V135" si="14">IFERROR((K104+M104+R104+S104+T104+O104)+IF(U104="Sim",P104+Q104,0),(K104+R104+S104+T104)+IF(U104="Sim",P104+Q104,0))</f>
        <v>107575.2394945534</v>
      </c>
      <c r="W104" s="13"/>
      <c r="X104" s="13"/>
      <c r="Y104" s="13"/>
      <c r="Z104" s="13"/>
      <c r="AA104" s="22">
        <v>45870</v>
      </c>
      <c r="AB104" s="22" cm="1">
        <f t="array" ref="AB1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04" s="4"/>
      <c r="AD104" s="4"/>
      <c r="AE104" s="2"/>
      <c r="AF104" s="3"/>
      <c r="AG104" s="3"/>
      <c r="AH104" s="3"/>
      <c r="AI104" s="3"/>
      <c r="AJ104" s="2">
        <f t="shared" ref="AJ104:AJ135" si="15">IFERROR(L104-M104,0)</f>
        <v>0</v>
      </c>
      <c r="AK104" s="2">
        <f t="shared" ref="AK104:AK135" si="16">AC104-AD104</f>
        <v>0</v>
      </c>
      <c r="AL104" s="2">
        <f t="shared" ref="AL104:AL135" si="17">K104-V104</f>
        <v>500</v>
      </c>
      <c r="AM104" s="88"/>
      <c r="AN104" s="157" t="s">
        <v>774</v>
      </c>
    </row>
    <row r="105" spans="2:40" ht="23.15" customHeight="1" thickBot="1">
      <c r="B105" s="87">
        <v>45693</v>
      </c>
      <c r="C105" s="2" t="s">
        <v>295</v>
      </c>
      <c r="D105" s="15" t="s">
        <v>11</v>
      </c>
      <c r="E105" s="20" t="s">
        <v>29</v>
      </c>
      <c r="F105" s="20" t="s">
        <v>40</v>
      </c>
      <c r="G105" s="11">
        <v>11</v>
      </c>
      <c r="H105" s="18">
        <v>9</v>
      </c>
      <c r="I105" s="18">
        <v>0</v>
      </c>
      <c r="J105" s="18">
        <v>126</v>
      </c>
      <c r="K105" s="19">
        <v>41568.81</v>
      </c>
      <c r="L105" s="41">
        <v>0</v>
      </c>
      <c r="M105" s="41">
        <v>0</v>
      </c>
      <c r="N105" s="41">
        <v>0</v>
      </c>
      <c r="O105" s="41">
        <v>-2480.94</v>
      </c>
      <c r="P105" s="41">
        <v>-415.69</v>
      </c>
      <c r="Q105" s="43">
        <v>0</v>
      </c>
      <c r="R105" s="43">
        <v>0</v>
      </c>
      <c r="S105" s="43">
        <v>0</v>
      </c>
      <c r="T105" s="43">
        <v>0</v>
      </c>
      <c r="U105" s="19" t="s">
        <v>295</v>
      </c>
      <c r="V105" s="13">
        <f t="shared" si="14"/>
        <v>38672.179999999993</v>
      </c>
      <c r="W105" s="13"/>
      <c r="X105" s="13"/>
      <c r="Y105" s="13"/>
      <c r="Z105" s="13"/>
      <c r="AA105" s="22">
        <v>45658</v>
      </c>
      <c r="AB105" s="22" cm="1">
        <f t="array" ref="AB1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05" s="4"/>
      <c r="AD105" s="4"/>
      <c r="AE105" s="2"/>
      <c r="AF105" s="3"/>
      <c r="AG105" s="3"/>
      <c r="AH105" s="3"/>
      <c r="AI105" s="3"/>
      <c r="AJ105" s="2">
        <f t="shared" si="15"/>
        <v>0</v>
      </c>
      <c r="AK105" s="2">
        <f t="shared" si="16"/>
        <v>0</v>
      </c>
      <c r="AL105" s="2">
        <f t="shared" si="17"/>
        <v>2896.6300000000047</v>
      </c>
      <c r="AM105" s="88"/>
      <c r="AN105" s="157" t="s">
        <v>774</v>
      </c>
    </row>
    <row r="106" spans="2:40" ht="23.15" customHeight="1" thickBot="1">
      <c r="B106" s="87">
        <v>45841</v>
      </c>
      <c r="C106" s="2" t="s">
        <v>295</v>
      </c>
      <c r="D106" s="15" t="s">
        <v>11</v>
      </c>
      <c r="E106" s="20" t="s">
        <v>29</v>
      </c>
      <c r="F106" s="20" t="s">
        <v>80</v>
      </c>
      <c r="G106" s="11">
        <v>11</v>
      </c>
      <c r="H106" s="18">
        <v>9</v>
      </c>
      <c r="I106" s="18">
        <v>0</v>
      </c>
      <c r="J106" s="18">
        <v>23.583333333333336</v>
      </c>
      <c r="K106" s="19">
        <v>55417.084444474996</v>
      </c>
      <c r="L106" s="41">
        <v>0</v>
      </c>
      <c r="M106" s="43">
        <v>0</v>
      </c>
      <c r="N106" s="41">
        <v>0</v>
      </c>
      <c r="O106" s="43">
        <f>-583.274166666667</f>
        <v>-583.27416666666704</v>
      </c>
      <c r="P106" s="41">
        <f>-1108.34</f>
        <v>-1108.3399999999999</v>
      </c>
      <c r="Q106" s="43">
        <v>0</v>
      </c>
      <c r="R106" s="43">
        <v>0</v>
      </c>
      <c r="S106" s="43">
        <v>0</v>
      </c>
      <c r="T106" s="43">
        <f>-1793.51835443698*2</f>
        <v>-3587.0367088739599</v>
      </c>
      <c r="U106" s="19" t="s">
        <v>295</v>
      </c>
      <c r="V106" s="13">
        <f t="shared" si="14"/>
        <v>50138.433568934372</v>
      </c>
      <c r="W106" s="13"/>
      <c r="X106" s="13"/>
      <c r="Y106" s="13"/>
      <c r="Z106" s="13"/>
      <c r="AA106" s="22">
        <v>45809</v>
      </c>
      <c r="AB106" s="22" cm="1">
        <f t="array" ref="AB1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06" s="4">
        <v>427.72233873085054</v>
      </c>
      <c r="AD106" s="4">
        <v>427.72233873085054</v>
      </c>
      <c r="AE106" s="2"/>
      <c r="AF106" s="3"/>
      <c r="AG106" s="3"/>
      <c r="AH106" s="3"/>
      <c r="AI106" s="3"/>
      <c r="AJ106" s="2">
        <f t="shared" si="15"/>
        <v>0</v>
      </c>
      <c r="AK106" s="2">
        <f t="shared" si="16"/>
        <v>0</v>
      </c>
      <c r="AL106" s="2">
        <f t="shared" si="17"/>
        <v>5278.6508755406248</v>
      </c>
      <c r="AM106" s="88"/>
      <c r="AN106" s="157" t="s">
        <v>774</v>
      </c>
    </row>
    <row r="107" spans="2:40" ht="23.15" customHeight="1" thickBot="1">
      <c r="B107" s="87">
        <v>45722</v>
      </c>
      <c r="C107" s="2" t="s">
        <v>295</v>
      </c>
      <c r="D107" s="15" t="s">
        <v>11</v>
      </c>
      <c r="E107" s="20" t="s">
        <v>29</v>
      </c>
      <c r="F107" s="20" t="s">
        <v>80</v>
      </c>
      <c r="G107" s="11">
        <v>11</v>
      </c>
      <c r="H107" s="18">
        <v>9</v>
      </c>
      <c r="I107" s="18">
        <v>0</v>
      </c>
      <c r="J107" s="18">
        <v>0</v>
      </c>
      <c r="K107" s="19">
        <v>55417.08444447504</v>
      </c>
      <c r="L107" s="41">
        <v>0</v>
      </c>
      <c r="M107" s="43">
        <v>0</v>
      </c>
      <c r="N107" s="41">
        <v>0</v>
      </c>
      <c r="O107" s="43">
        <v>0</v>
      </c>
      <c r="P107" s="41">
        <v>0</v>
      </c>
      <c r="Q107" s="43">
        <v>0</v>
      </c>
      <c r="R107" s="43">
        <v>0</v>
      </c>
      <c r="S107" s="43">
        <v>0</v>
      </c>
      <c r="T107" s="43">
        <v>0</v>
      </c>
      <c r="U107" s="19" t="s">
        <v>295</v>
      </c>
      <c r="V107" s="13">
        <f t="shared" si="14"/>
        <v>55417.08444447504</v>
      </c>
      <c r="W107" s="13"/>
      <c r="X107" s="13"/>
      <c r="Y107" s="13"/>
      <c r="Z107" s="13"/>
      <c r="AA107" s="22">
        <v>45689</v>
      </c>
      <c r="AB107" s="22" cm="1">
        <f t="array" ref="AB1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07" s="4"/>
      <c r="AD107" s="4"/>
      <c r="AE107" s="2"/>
      <c r="AF107" s="3"/>
      <c r="AG107" s="3"/>
      <c r="AH107" s="3"/>
      <c r="AI107" s="3"/>
      <c r="AJ107" s="2">
        <f t="shared" si="15"/>
        <v>0</v>
      </c>
      <c r="AK107" s="2">
        <f t="shared" si="16"/>
        <v>0</v>
      </c>
      <c r="AL107" s="2">
        <f t="shared" si="17"/>
        <v>0</v>
      </c>
      <c r="AM107" s="88"/>
      <c r="AN107" s="157" t="s">
        <v>774</v>
      </c>
    </row>
    <row r="108" spans="2:40" ht="23.15" customHeight="1" thickBot="1">
      <c r="B108" s="87"/>
      <c r="C108" s="2" t="s">
        <v>295</v>
      </c>
      <c r="D108" s="15" t="s">
        <v>11</v>
      </c>
      <c r="E108" s="20" t="s">
        <v>29</v>
      </c>
      <c r="F108" s="20" t="s">
        <v>80</v>
      </c>
      <c r="G108" s="11">
        <v>11</v>
      </c>
      <c r="H108" s="11">
        <v>9</v>
      </c>
      <c r="I108" s="18">
        <v>0</v>
      </c>
      <c r="J108" s="18">
        <v>0</v>
      </c>
      <c r="K108" s="19">
        <v>55417.08444447504</v>
      </c>
      <c r="L108" s="41">
        <v>0</v>
      </c>
      <c r="M108" s="43">
        <v>0</v>
      </c>
      <c r="N108" s="41">
        <v>0</v>
      </c>
      <c r="O108" s="43">
        <v>0</v>
      </c>
      <c r="P108" s="41">
        <v>0</v>
      </c>
      <c r="Q108" s="43">
        <v>0</v>
      </c>
      <c r="R108" s="43">
        <v>0</v>
      </c>
      <c r="S108" s="43">
        <v>0</v>
      </c>
      <c r="T108" s="43">
        <v>0</v>
      </c>
      <c r="U108" s="19"/>
      <c r="V108" s="13">
        <f t="shared" si="14"/>
        <v>55417.08444447504</v>
      </c>
      <c r="W108" s="13"/>
      <c r="X108" s="13"/>
      <c r="Y108" s="13"/>
      <c r="Z108" s="13"/>
      <c r="AA108" s="22">
        <v>45717</v>
      </c>
      <c r="AB108" s="22" cm="1">
        <f t="array" ref="AB1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08" s="4"/>
      <c r="AD108" s="4"/>
      <c r="AE108" s="2"/>
      <c r="AF108" s="3"/>
      <c r="AG108" s="3"/>
      <c r="AH108" s="3"/>
      <c r="AI108" s="3"/>
      <c r="AJ108" s="2">
        <f t="shared" si="15"/>
        <v>0</v>
      </c>
      <c r="AK108" s="2">
        <f t="shared" si="16"/>
        <v>0</v>
      </c>
      <c r="AL108" s="2">
        <f t="shared" si="17"/>
        <v>0</v>
      </c>
      <c r="AM108" s="88"/>
      <c r="AN108" s="157" t="s">
        <v>774</v>
      </c>
    </row>
    <row r="109" spans="2:40" ht="23.15" customHeight="1" thickBot="1">
      <c r="B109" s="87">
        <v>45779</v>
      </c>
      <c r="C109" s="2" t="s">
        <v>295</v>
      </c>
      <c r="D109" s="15" t="s">
        <v>11</v>
      </c>
      <c r="E109" s="20" t="s">
        <v>29</v>
      </c>
      <c r="F109" s="20" t="s">
        <v>80</v>
      </c>
      <c r="G109" s="11">
        <v>11</v>
      </c>
      <c r="H109" s="18">
        <v>9</v>
      </c>
      <c r="I109" s="18">
        <v>0</v>
      </c>
      <c r="J109" s="18">
        <v>166.4</v>
      </c>
      <c r="K109" s="19">
        <v>55417.08444447504</v>
      </c>
      <c r="L109" s="41">
        <v>0</v>
      </c>
      <c r="M109" s="41">
        <v>0</v>
      </c>
      <c r="N109" s="41">
        <v>0</v>
      </c>
      <c r="O109" s="41">
        <f>-4086.28</f>
        <v>-4086.28</v>
      </c>
      <c r="P109" s="41">
        <f>-1108.34</f>
        <v>-1108.3399999999999</v>
      </c>
      <c r="Q109" s="43">
        <v>0</v>
      </c>
      <c r="R109" s="43">
        <v>0</v>
      </c>
      <c r="S109" s="43">
        <v>0</v>
      </c>
      <c r="T109" s="43">
        <v>0</v>
      </c>
      <c r="U109" s="19" t="s">
        <v>295</v>
      </c>
      <c r="V109" s="13">
        <f t="shared" si="14"/>
        <v>50222.464444475045</v>
      </c>
      <c r="W109" s="13"/>
      <c r="X109" s="13"/>
      <c r="Y109" s="13"/>
      <c r="Z109" s="13"/>
      <c r="AA109" s="22">
        <v>45778</v>
      </c>
      <c r="AB109" s="22" cm="1">
        <f t="array" ref="AB1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09" s="4">
        <v>1610.9262848520229</v>
      </c>
      <c r="AD109" s="4">
        <v>1610.9262848520229</v>
      </c>
      <c r="AE109" s="2"/>
      <c r="AF109" s="3"/>
      <c r="AG109" s="3"/>
      <c r="AH109" s="3"/>
      <c r="AI109" s="3"/>
      <c r="AJ109" s="2">
        <f t="shared" si="15"/>
        <v>0</v>
      </c>
      <c r="AK109" s="2">
        <f t="shared" si="16"/>
        <v>0</v>
      </c>
      <c r="AL109" s="2">
        <f t="shared" si="17"/>
        <v>5194.6199999999953</v>
      </c>
      <c r="AM109" s="88"/>
      <c r="AN109" s="157" t="s">
        <v>774</v>
      </c>
    </row>
    <row r="110" spans="2:40" ht="23.15" customHeight="1" thickBot="1">
      <c r="B110" s="87">
        <v>45870</v>
      </c>
      <c r="C110" s="2" t="s">
        <v>295</v>
      </c>
      <c r="D110" s="15" t="s">
        <v>11</v>
      </c>
      <c r="E110" s="20" t="s">
        <v>31</v>
      </c>
      <c r="F110" s="20" t="s">
        <v>40</v>
      </c>
      <c r="G110" s="11">
        <v>25</v>
      </c>
      <c r="H110" s="18">
        <v>25</v>
      </c>
      <c r="I110" s="18">
        <v>0</v>
      </c>
      <c r="J110" s="18">
        <v>10.42</v>
      </c>
      <c r="K110" s="19">
        <v>121624.34723530685</v>
      </c>
      <c r="L110" s="41">
        <v>0</v>
      </c>
      <c r="M110" s="43">
        <v>0</v>
      </c>
      <c r="N110" s="41">
        <v>0</v>
      </c>
      <c r="O110" s="43">
        <f>-219.166666666667</f>
        <v>-219.166666666667</v>
      </c>
      <c r="P110" s="41">
        <v>0</v>
      </c>
      <c r="Q110" s="43">
        <v>0</v>
      </c>
      <c r="R110" s="43">
        <v>0</v>
      </c>
      <c r="S110" s="43">
        <v>0</v>
      </c>
      <c r="T110" s="43">
        <v>0</v>
      </c>
      <c r="U110" s="19" t="s">
        <v>295</v>
      </c>
      <c r="V110" s="13">
        <f t="shared" si="14"/>
        <v>121405.18056864018</v>
      </c>
      <c r="W110" s="13"/>
      <c r="X110" s="13"/>
      <c r="Y110" s="13">
        <v>25187.059534</v>
      </c>
      <c r="Z110" s="13" t="s">
        <v>302</v>
      </c>
      <c r="AA110" s="22">
        <v>45839</v>
      </c>
      <c r="AB110" s="22" cm="1">
        <f t="array" ref="AB1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10" s="4"/>
      <c r="AD110" s="4"/>
      <c r="AE110" s="2"/>
      <c r="AF110" s="3"/>
      <c r="AG110" s="3"/>
      <c r="AH110" s="3"/>
      <c r="AI110" s="3"/>
      <c r="AJ110" s="2">
        <f t="shared" si="15"/>
        <v>0</v>
      </c>
      <c r="AK110" s="2">
        <f t="shared" si="16"/>
        <v>0</v>
      </c>
      <c r="AL110" s="2">
        <f t="shared" si="17"/>
        <v>219.16666666667152</v>
      </c>
      <c r="AM110" s="88"/>
      <c r="AN110" s="157" t="s">
        <v>774</v>
      </c>
    </row>
    <row r="111" spans="2:40" ht="23.15" customHeight="1" thickBot="1">
      <c r="B111" s="87">
        <v>45931</v>
      </c>
      <c r="C111" s="2" t="s">
        <v>295</v>
      </c>
      <c r="D111" s="15" t="s">
        <v>11</v>
      </c>
      <c r="E111" s="20" t="s">
        <v>28</v>
      </c>
      <c r="F111" s="20" t="s">
        <v>37</v>
      </c>
      <c r="G111" s="11">
        <v>28</v>
      </c>
      <c r="H111" s="18">
        <v>17.18</v>
      </c>
      <c r="I111" s="18">
        <v>0</v>
      </c>
      <c r="J111" s="18">
        <v>88.55</v>
      </c>
      <c r="K111" s="19">
        <v>108075.2394945534</v>
      </c>
      <c r="L111" s="41"/>
      <c r="M111" s="18">
        <v>0</v>
      </c>
      <c r="N111" s="41"/>
      <c r="O111" s="41">
        <v>-2407.6264999999999</v>
      </c>
      <c r="P111" s="41">
        <v>-1075.75</v>
      </c>
      <c r="Q111" s="43">
        <v>0</v>
      </c>
      <c r="R111" s="43">
        <v>-500</v>
      </c>
      <c r="S111" s="43">
        <v>0</v>
      </c>
      <c r="T111" s="43">
        <v>0</v>
      </c>
      <c r="U111" s="19" t="s">
        <v>295</v>
      </c>
      <c r="V111" s="13">
        <f t="shared" si="14"/>
        <v>104091.8629945534</v>
      </c>
      <c r="W111" s="13"/>
      <c r="X111" s="13"/>
      <c r="Y111" s="13"/>
      <c r="Z111" s="13"/>
      <c r="AA111" s="22">
        <v>45901</v>
      </c>
      <c r="AB111" s="22" cm="1">
        <f t="array" ref="AB1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11" s="4"/>
      <c r="AD111" s="4"/>
      <c r="AE111" s="2"/>
      <c r="AF111" s="3"/>
      <c r="AG111" s="3"/>
      <c r="AH111" s="3"/>
      <c r="AI111" s="3"/>
      <c r="AJ111" s="2">
        <f t="shared" si="15"/>
        <v>0</v>
      </c>
      <c r="AK111" s="2">
        <f t="shared" si="16"/>
        <v>0</v>
      </c>
      <c r="AL111" s="2">
        <f t="shared" si="17"/>
        <v>3983.3764999999985</v>
      </c>
      <c r="AM111" s="88"/>
      <c r="AN111" s="157" t="s">
        <v>774</v>
      </c>
    </row>
    <row r="112" spans="2:40" ht="23.15" customHeight="1" thickBot="1">
      <c r="B112" s="87"/>
      <c r="C112" s="2" t="s">
        <v>295</v>
      </c>
      <c r="D112" s="15" t="s">
        <v>11</v>
      </c>
      <c r="E112" s="20" t="s">
        <v>28</v>
      </c>
      <c r="F112" s="20" t="s">
        <v>37</v>
      </c>
      <c r="G112" s="11">
        <v>28</v>
      </c>
      <c r="H112" s="11">
        <v>17.175999999999998</v>
      </c>
      <c r="I112" s="18">
        <v>0</v>
      </c>
      <c r="J112" s="18">
        <v>0</v>
      </c>
      <c r="K112" s="19">
        <v>102093.61</v>
      </c>
      <c r="L112" s="41">
        <v>0</v>
      </c>
      <c r="M112" s="43">
        <v>0</v>
      </c>
      <c r="N112" s="41">
        <v>0</v>
      </c>
      <c r="O112" s="43">
        <v>0</v>
      </c>
      <c r="P112" s="41">
        <v>0</v>
      </c>
      <c r="Q112" s="43">
        <v>0</v>
      </c>
      <c r="R112" s="43">
        <v>0</v>
      </c>
      <c r="S112" s="43">
        <v>0</v>
      </c>
      <c r="T112" s="43">
        <v>0</v>
      </c>
      <c r="U112" s="19" t="s">
        <v>295</v>
      </c>
      <c r="V112" s="13">
        <f t="shared" si="14"/>
        <v>102093.61</v>
      </c>
      <c r="W112" s="13"/>
      <c r="X112" s="13"/>
      <c r="Y112" s="13"/>
      <c r="Z112" s="13"/>
      <c r="AA112" s="22">
        <v>45658</v>
      </c>
      <c r="AB112" s="22" cm="1">
        <f t="array" ref="AB1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12" s="4"/>
      <c r="AD112" s="4"/>
      <c r="AE112" s="2"/>
      <c r="AF112" s="3"/>
      <c r="AG112" s="3"/>
      <c r="AH112" s="3"/>
      <c r="AI112" s="3"/>
      <c r="AJ112" s="2">
        <f t="shared" si="15"/>
        <v>0</v>
      </c>
      <c r="AK112" s="2">
        <f t="shared" si="16"/>
        <v>0</v>
      </c>
      <c r="AL112" s="2">
        <f t="shared" si="17"/>
        <v>0</v>
      </c>
      <c r="AM112" s="88"/>
      <c r="AN112" s="157" t="s">
        <v>774</v>
      </c>
    </row>
    <row r="113" spans="2:40" ht="23.15" customHeight="1" thickBot="1">
      <c r="B113" s="87">
        <v>45715</v>
      </c>
      <c r="C113" s="2" t="s">
        <v>295</v>
      </c>
      <c r="D113" s="15" t="s">
        <v>11</v>
      </c>
      <c r="E113" s="20" t="s">
        <v>28</v>
      </c>
      <c r="F113" s="20" t="s">
        <v>37</v>
      </c>
      <c r="G113" s="11">
        <v>28</v>
      </c>
      <c r="H113" s="11">
        <v>17.175999999999998</v>
      </c>
      <c r="I113" s="18">
        <v>0</v>
      </c>
      <c r="J113" s="18">
        <v>4</v>
      </c>
      <c r="K113" s="19">
        <v>102093.61</v>
      </c>
      <c r="L113" s="41">
        <v>0</v>
      </c>
      <c r="M113" s="43">
        <v>0</v>
      </c>
      <c r="N113" s="41">
        <v>0</v>
      </c>
      <c r="O113" s="43">
        <v>-103.44</v>
      </c>
      <c r="P113" s="41">
        <v>0</v>
      </c>
      <c r="Q113" s="43">
        <v>0</v>
      </c>
      <c r="R113" s="43">
        <v>0</v>
      </c>
      <c r="S113" s="43">
        <v>0</v>
      </c>
      <c r="T113" s="43">
        <v>0</v>
      </c>
      <c r="U113" s="19" t="s">
        <v>295</v>
      </c>
      <c r="V113" s="13">
        <f t="shared" si="14"/>
        <v>101990.17</v>
      </c>
      <c r="W113" s="13"/>
      <c r="X113" s="13"/>
      <c r="Y113" s="13"/>
      <c r="Z113" s="13"/>
      <c r="AA113" s="22">
        <v>45689</v>
      </c>
      <c r="AB113" s="22" cm="1">
        <f t="array" ref="AB1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13" s="4"/>
      <c r="AD113" s="4"/>
      <c r="AE113" s="2"/>
      <c r="AF113" s="3"/>
      <c r="AG113" s="3"/>
      <c r="AH113" s="3"/>
      <c r="AI113" s="3"/>
      <c r="AJ113" s="2">
        <f t="shared" si="15"/>
        <v>0</v>
      </c>
      <c r="AK113" s="2">
        <f t="shared" si="16"/>
        <v>0</v>
      </c>
      <c r="AL113" s="2">
        <f t="shared" si="17"/>
        <v>103.44000000000233</v>
      </c>
      <c r="AM113" s="88"/>
      <c r="AN113" s="157" t="s">
        <v>774</v>
      </c>
    </row>
    <row r="114" spans="2:40" ht="23.15" customHeight="1" thickBot="1">
      <c r="B114" s="87">
        <v>45754</v>
      </c>
      <c r="C114" s="2" t="s">
        <v>295</v>
      </c>
      <c r="D114" s="15" t="s">
        <v>11</v>
      </c>
      <c r="E114" s="20" t="s">
        <v>28</v>
      </c>
      <c r="F114" s="20" t="s">
        <v>37</v>
      </c>
      <c r="G114" s="11">
        <v>28</v>
      </c>
      <c r="H114" s="11">
        <v>17.175999999999998</v>
      </c>
      <c r="I114" s="18">
        <v>0</v>
      </c>
      <c r="J114" s="18">
        <v>0</v>
      </c>
      <c r="K114" s="19">
        <v>102093.61</v>
      </c>
      <c r="L114" s="41">
        <v>0</v>
      </c>
      <c r="M114" s="41">
        <v>0</v>
      </c>
      <c r="N114" s="41">
        <v>0</v>
      </c>
      <c r="O114" s="41">
        <v>0</v>
      </c>
      <c r="P114" s="41">
        <v>-255.23</v>
      </c>
      <c r="Q114" s="41">
        <v>0</v>
      </c>
      <c r="R114" s="41">
        <v>0</v>
      </c>
      <c r="S114" s="41">
        <v>0</v>
      </c>
      <c r="T114" s="41">
        <v>0</v>
      </c>
      <c r="U114" s="19" t="s">
        <v>295</v>
      </c>
      <c r="V114" s="13">
        <f t="shared" si="14"/>
        <v>101838.38</v>
      </c>
      <c r="W114" s="13"/>
      <c r="X114" s="13"/>
      <c r="Y114" s="13"/>
      <c r="Z114" s="13"/>
      <c r="AA114" s="22">
        <v>45717</v>
      </c>
      <c r="AB114" s="22" cm="1">
        <f t="array" ref="AB1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14" s="4"/>
      <c r="AD114" s="4"/>
      <c r="AE114" s="2"/>
      <c r="AF114" s="3"/>
      <c r="AG114" s="3"/>
      <c r="AH114" s="3"/>
      <c r="AI114" s="3"/>
      <c r="AJ114" s="2">
        <f t="shared" si="15"/>
        <v>0</v>
      </c>
      <c r="AK114" s="2">
        <f t="shared" si="16"/>
        <v>0</v>
      </c>
      <c r="AL114" s="2">
        <f t="shared" si="17"/>
        <v>255.22999999999593</v>
      </c>
      <c r="AM114" s="88"/>
      <c r="AN114" s="157" t="s">
        <v>774</v>
      </c>
    </row>
    <row r="115" spans="2:40" ht="23.15" customHeight="1" thickBot="1">
      <c r="B115" s="87">
        <v>45789</v>
      </c>
      <c r="C115" s="2" t="s">
        <v>295</v>
      </c>
      <c r="D115" s="15" t="s">
        <v>11</v>
      </c>
      <c r="E115" s="20" t="s">
        <v>28</v>
      </c>
      <c r="F115" s="20" t="s">
        <v>37</v>
      </c>
      <c r="G115" s="11">
        <v>28</v>
      </c>
      <c r="H115" s="18">
        <v>17.175999999999998</v>
      </c>
      <c r="I115" s="18">
        <v>0</v>
      </c>
      <c r="J115" s="18">
        <v>0</v>
      </c>
      <c r="K115" s="19">
        <v>102093.61</v>
      </c>
      <c r="L115" s="41">
        <v>0</v>
      </c>
      <c r="M115" s="41">
        <v>0</v>
      </c>
      <c r="N115" s="41">
        <v>0</v>
      </c>
      <c r="O115" s="41">
        <v>0</v>
      </c>
      <c r="P115" s="41">
        <v>-255.23</v>
      </c>
      <c r="Q115" s="41">
        <v>0</v>
      </c>
      <c r="R115" s="41">
        <v>0</v>
      </c>
      <c r="S115" s="41">
        <v>0</v>
      </c>
      <c r="T115" s="41">
        <v>0</v>
      </c>
      <c r="U115" s="19" t="s">
        <v>295</v>
      </c>
      <c r="V115" s="13">
        <f t="shared" si="14"/>
        <v>101838.38</v>
      </c>
      <c r="W115" s="13"/>
      <c r="X115" s="13"/>
      <c r="Y115" s="13"/>
      <c r="Z115" s="13"/>
      <c r="AA115" s="22">
        <v>45748</v>
      </c>
      <c r="AB115" s="22" cm="1">
        <f t="array" ref="AB1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15" s="4"/>
      <c r="AD115" s="4"/>
      <c r="AE115" s="2"/>
      <c r="AF115" s="3"/>
      <c r="AG115" s="3"/>
      <c r="AH115" s="3"/>
      <c r="AI115" s="3"/>
      <c r="AJ115" s="2">
        <f t="shared" si="15"/>
        <v>0</v>
      </c>
      <c r="AK115" s="2">
        <f t="shared" si="16"/>
        <v>0</v>
      </c>
      <c r="AL115" s="2">
        <f t="shared" si="17"/>
        <v>255.22999999999593</v>
      </c>
      <c r="AM115" s="88"/>
      <c r="AN115" s="157" t="s">
        <v>774</v>
      </c>
    </row>
    <row r="116" spans="2:40" ht="23.15" customHeight="1" thickBot="1">
      <c r="B116" s="87">
        <v>45814</v>
      </c>
      <c r="C116" s="2" t="s">
        <v>295</v>
      </c>
      <c r="D116" s="15" t="s">
        <v>11</v>
      </c>
      <c r="E116" s="20" t="s">
        <v>28</v>
      </c>
      <c r="F116" s="20" t="s">
        <v>37</v>
      </c>
      <c r="G116" s="11">
        <v>28</v>
      </c>
      <c r="H116" s="18">
        <v>17.175999999999998</v>
      </c>
      <c r="I116" s="18">
        <v>0</v>
      </c>
      <c r="J116" s="18">
        <v>0</v>
      </c>
      <c r="K116" s="19">
        <v>102093.61</v>
      </c>
      <c r="L116" s="41">
        <v>0</v>
      </c>
      <c r="M116" s="41">
        <v>0</v>
      </c>
      <c r="N116" s="41">
        <v>0</v>
      </c>
      <c r="O116" s="41">
        <v>0</v>
      </c>
      <c r="P116" s="41">
        <v>0</v>
      </c>
      <c r="Q116" s="41">
        <v>0</v>
      </c>
      <c r="R116" s="41">
        <v>0</v>
      </c>
      <c r="S116" s="41">
        <v>0</v>
      </c>
      <c r="T116" s="41">
        <v>0</v>
      </c>
      <c r="U116" s="19" t="s">
        <v>295</v>
      </c>
      <c r="V116" s="13">
        <f t="shared" si="14"/>
        <v>102093.61</v>
      </c>
      <c r="W116" s="13"/>
      <c r="X116" s="13"/>
      <c r="Y116" s="13"/>
      <c r="Z116" s="13"/>
      <c r="AA116" s="22">
        <v>45778</v>
      </c>
      <c r="AB116" s="22" cm="1">
        <f t="array" ref="AB1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16" s="4"/>
      <c r="AD116" s="4"/>
      <c r="AE116" s="2"/>
      <c r="AF116" s="3"/>
      <c r="AG116" s="3"/>
      <c r="AH116" s="3"/>
      <c r="AI116" s="3"/>
      <c r="AJ116" s="2">
        <f t="shared" si="15"/>
        <v>0</v>
      </c>
      <c r="AK116" s="2">
        <f t="shared" si="16"/>
        <v>0</v>
      </c>
      <c r="AL116" s="2">
        <f t="shared" si="17"/>
        <v>0</v>
      </c>
      <c r="AM116" s="88"/>
      <c r="AN116" s="157" t="s">
        <v>774</v>
      </c>
    </row>
    <row r="117" spans="2:40" ht="23.15" customHeight="1" thickBot="1">
      <c r="B117" s="87">
        <v>45839</v>
      </c>
      <c r="C117" s="2" t="s">
        <v>295</v>
      </c>
      <c r="D117" s="15" t="s">
        <v>11</v>
      </c>
      <c r="E117" s="20" t="s">
        <v>28</v>
      </c>
      <c r="F117" s="20" t="s">
        <v>37</v>
      </c>
      <c r="G117" s="11">
        <v>28</v>
      </c>
      <c r="H117" s="18">
        <v>17.175999999999998</v>
      </c>
      <c r="I117" s="18">
        <v>0</v>
      </c>
      <c r="J117" s="18">
        <v>17.22</v>
      </c>
      <c r="K117" s="19">
        <v>102093.61</v>
      </c>
      <c r="L117" s="41">
        <v>0</v>
      </c>
      <c r="M117" s="41">
        <v>0</v>
      </c>
      <c r="N117" s="41">
        <v>0</v>
      </c>
      <c r="O117" s="41">
        <f>-425.940333333333</f>
        <v>-425.940333333333</v>
      </c>
      <c r="P117" s="41">
        <v>0</v>
      </c>
      <c r="Q117" s="41">
        <v>0</v>
      </c>
      <c r="R117" s="41">
        <v>0</v>
      </c>
      <c r="S117" s="41">
        <v>0</v>
      </c>
      <c r="T117" s="41">
        <v>0</v>
      </c>
      <c r="U117" s="19" t="s">
        <v>295</v>
      </c>
      <c r="V117" s="13">
        <f t="shared" si="14"/>
        <v>101667.66966666667</v>
      </c>
      <c r="W117" s="13"/>
      <c r="X117" s="13"/>
      <c r="Y117" s="13"/>
      <c r="Z117" s="13"/>
      <c r="AA117" s="22">
        <v>45809</v>
      </c>
      <c r="AB117" s="22" cm="1">
        <f t="array" ref="AB1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17" s="4"/>
      <c r="AD117" s="4"/>
      <c r="AE117" s="2"/>
      <c r="AF117" s="3"/>
      <c r="AG117" s="3"/>
      <c r="AH117" s="3"/>
      <c r="AI117" s="3"/>
      <c r="AJ117" s="2">
        <f t="shared" si="15"/>
        <v>0</v>
      </c>
      <c r="AK117" s="2">
        <f t="shared" si="16"/>
        <v>0</v>
      </c>
      <c r="AL117" s="2">
        <f t="shared" si="17"/>
        <v>425.94033333333209</v>
      </c>
      <c r="AM117" s="88"/>
      <c r="AN117" s="157" t="s">
        <v>774</v>
      </c>
    </row>
    <row r="118" spans="2:40" ht="23.15" customHeight="1" thickBot="1">
      <c r="B118" s="87">
        <v>45688</v>
      </c>
      <c r="C118" s="2" t="s">
        <v>295</v>
      </c>
      <c r="D118" s="15" t="s">
        <v>11</v>
      </c>
      <c r="E118" s="20" t="s">
        <v>31</v>
      </c>
      <c r="F118" s="20" t="s">
        <v>40</v>
      </c>
      <c r="G118" s="11">
        <v>25</v>
      </c>
      <c r="H118" s="18">
        <v>25</v>
      </c>
      <c r="I118" s="18">
        <v>0</v>
      </c>
      <c r="J118" s="18">
        <v>0</v>
      </c>
      <c r="K118" s="19">
        <v>113217.49</v>
      </c>
      <c r="L118" s="41">
        <v>0</v>
      </c>
      <c r="M118" s="41">
        <v>0</v>
      </c>
      <c r="N118" s="41">
        <v>0</v>
      </c>
      <c r="O118" s="41">
        <v>0</v>
      </c>
      <c r="P118" s="41">
        <v>0</v>
      </c>
      <c r="Q118" s="43">
        <v>0</v>
      </c>
      <c r="R118" s="43">
        <v>0</v>
      </c>
      <c r="S118" s="43">
        <v>0</v>
      </c>
      <c r="T118" s="43">
        <v>0</v>
      </c>
      <c r="U118" s="19" t="s">
        <v>295</v>
      </c>
      <c r="V118" s="13">
        <f t="shared" si="14"/>
        <v>113217.49</v>
      </c>
      <c r="W118" s="13"/>
      <c r="X118" s="13"/>
      <c r="Y118" s="13"/>
      <c r="Z118" s="13"/>
      <c r="AA118" s="22">
        <v>45658</v>
      </c>
      <c r="AB118" s="22" cm="1">
        <f t="array" ref="AB1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18" s="4">
        <v>3179.72</v>
      </c>
      <c r="AD118" s="4">
        <v>3179.72</v>
      </c>
      <c r="AE118" s="2"/>
      <c r="AF118" s="3"/>
      <c r="AG118" s="3"/>
      <c r="AH118" s="3"/>
      <c r="AI118" s="3"/>
      <c r="AJ118" s="2">
        <f t="shared" si="15"/>
        <v>0</v>
      </c>
      <c r="AK118" s="2">
        <f t="shared" si="16"/>
        <v>0</v>
      </c>
      <c r="AL118" s="2">
        <f t="shared" si="17"/>
        <v>0</v>
      </c>
      <c r="AM118" s="88"/>
      <c r="AN118" s="157" t="s">
        <v>774</v>
      </c>
    </row>
    <row r="119" spans="2:40" ht="23.15" customHeight="1" thickBot="1">
      <c r="B119" s="87">
        <v>45722</v>
      </c>
      <c r="C119" s="2" t="s">
        <v>295</v>
      </c>
      <c r="D119" s="15" t="s">
        <v>11</v>
      </c>
      <c r="E119" s="20" t="s">
        <v>31</v>
      </c>
      <c r="F119" s="20" t="s">
        <v>40</v>
      </c>
      <c r="G119" s="11">
        <v>25</v>
      </c>
      <c r="H119" s="18">
        <v>25</v>
      </c>
      <c r="I119" s="18">
        <v>0</v>
      </c>
      <c r="J119" s="18">
        <v>0</v>
      </c>
      <c r="K119" s="19">
        <v>113217.49</v>
      </c>
      <c r="L119" s="41">
        <v>0</v>
      </c>
      <c r="M119" s="41">
        <v>0</v>
      </c>
      <c r="N119" s="41">
        <v>0</v>
      </c>
      <c r="O119" s="41">
        <v>0</v>
      </c>
      <c r="P119" s="41">
        <v>0</v>
      </c>
      <c r="Q119" s="43">
        <v>0</v>
      </c>
      <c r="R119" s="43">
        <v>0</v>
      </c>
      <c r="S119" s="43">
        <v>0</v>
      </c>
      <c r="T119" s="43">
        <v>0</v>
      </c>
      <c r="U119" s="19" t="s">
        <v>295</v>
      </c>
      <c r="V119" s="13">
        <f t="shared" si="14"/>
        <v>113217.49</v>
      </c>
      <c r="W119" s="13"/>
      <c r="X119" s="13"/>
      <c r="Y119" s="13"/>
      <c r="Z119" s="45"/>
      <c r="AA119" s="22">
        <v>45689</v>
      </c>
      <c r="AB119" s="22" cm="1">
        <f t="array" ref="AB1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19" s="4"/>
      <c r="AD119" s="4"/>
      <c r="AE119" s="2"/>
      <c r="AF119" s="3"/>
      <c r="AG119" s="3"/>
      <c r="AH119" s="3"/>
      <c r="AI119" s="3"/>
      <c r="AJ119" s="2">
        <f t="shared" si="15"/>
        <v>0</v>
      </c>
      <c r="AK119" s="2">
        <f t="shared" si="16"/>
        <v>0</v>
      </c>
      <c r="AL119" s="2">
        <f t="shared" si="17"/>
        <v>0</v>
      </c>
      <c r="AM119" s="88"/>
      <c r="AN119" s="157" t="s">
        <v>774</v>
      </c>
    </row>
    <row r="120" spans="2:40" ht="23.15" customHeight="1" thickBot="1">
      <c r="B120" s="87">
        <v>45754</v>
      </c>
      <c r="C120" s="2" t="s">
        <v>295</v>
      </c>
      <c r="D120" s="15" t="s">
        <v>11</v>
      </c>
      <c r="E120" s="20" t="s">
        <v>31</v>
      </c>
      <c r="F120" s="20" t="s">
        <v>40</v>
      </c>
      <c r="G120" s="11">
        <v>25</v>
      </c>
      <c r="H120" s="11">
        <v>25</v>
      </c>
      <c r="I120" s="18">
        <v>0</v>
      </c>
      <c r="J120" s="18">
        <v>0</v>
      </c>
      <c r="K120" s="19">
        <v>113217.49</v>
      </c>
      <c r="L120" s="41">
        <v>0</v>
      </c>
      <c r="M120" s="41">
        <v>0</v>
      </c>
      <c r="N120" s="41">
        <v>0</v>
      </c>
      <c r="O120" s="41">
        <v>0</v>
      </c>
      <c r="P120" s="41">
        <v>0</v>
      </c>
      <c r="Q120" s="43">
        <v>0</v>
      </c>
      <c r="R120" s="43">
        <v>0</v>
      </c>
      <c r="S120" s="43">
        <v>0</v>
      </c>
      <c r="T120" s="43">
        <v>0</v>
      </c>
      <c r="U120" s="19" t="s">
        <v>295</v>
      </c>
      <c r="V120" s="13">
        <f t="shared" si="14"/>
        <v>113217.49</v>
      </c>
      <c r="W120" s="13"/>
      <c r="X120" s="13"/>
      <c r="Y120" s="13"/>
      <c r="Z120" s="13"/>
      <c r="AA120" s="22">
        <v>45717</v>
      </c>
      <c r="AB120" s="22" cm="1">
        <f t="array" ref="AB1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20" s="4"/>
      <c r="AD120" s="4"/>
      <c r="AE120" s="2"/>
      <c r="AF120" s="3"/>
      <c r="AG120" s="3"/>
      <c r="AH120" s="3"/>
      <c r="AI120" s="3"/>
      <c r="AJ120" s="2">
        <f t="shared" si="15"/>
        <v>0</v>
      </c>
      <c r="AK120" s="2">
        <f t="shared" si="16"/>
        <v>0</v>
      </c>
      <c r="AL120" s="2">
        <f t="shared" si="17"/>
        <v>0</v>
      </c>
      <c r="AM120" s="88"/>
      <c r="AN120" s="157" t="s">
        <v>774</v>
      </c>
    </row>
    <row r="121" spans="2:40" ht="23.15" customHeight="1" thickBot="1">
      <c r="B121" s="87"/>
      <c r="C121" s="2" t="s">
        <v>295</v>
      </c>
      <c r="D121" s="15" t="s">
        <v>12</v>
      </c>
      <c r="E121" s="20" t="s">
        <v>30</v>
      </c>
      <c r="F121" s="20" t="s">
        <v>56</v>
      </c>
      <c r="G121" s="11">
        <v>37</v>
      </c>
      <c r="H121" s="18">
        <v>34</v>
      </c>
      <c r="I121" s="18">
        <v>30</v>
      </c>
      <c r="J121" s="18">
        <v>0</v>
      </c>
      <c r="K121" s="19">
        <v>170774.36292000001</v>
      </c>
      <c r="L121" s="41">
        <v>0</v>
      </c>
      <c r="M121" s="41">
        <v>-4313.32</v>
      </c>
      <c r="N121" s="41">
        <v>0</v>
      </c>
      <c r="O121" s="41">
        <v>0</v>
      </c>
      <c r="P121" s="41">
        <v>-1936.22</v>
      </c>
      <c r="Q121" s="43">
        <v>0</v>
      </c>
      <c r="R121" s="43">
        <v>0</v>
      </c>
      <c r="S121" s="43">
        <v>0</v>
      </c>
      <c r="T121" s="43">
        <v>0</v>
      </c>
      <c r="U121" s="19" t="s">
        <v>295</v>
      </c>
      <c r="V121" s="13">
        <f t="shared" si="14"/>
        <v>164524.82292000001</v>
      </c>
      <c r="W121" s="42"/>
      <c r="X121" s="46">
        <f>IF(K121="","",V121*(1+W121))</f>
        <v>164524.82292000001</v>
      </c>
      <c r="Y121" s="13">
        <f>57882.68/2</f>
        <v>28941.34</v>
      </c>
      <c r="Z121" s="13" t="s">
        <v>305</v>
      </c>
      <c r="AA121" s="22">
        <v>45658</v>
      </c>
      <c r="AB121" s="22" cm="1">
        <f t="array" ref="AB1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121" s="4">
        <v>1651.09</v>
      </c>
      <c r="AD121" s="4">
        <v>1651.09</v>
      </c>
      <c r="AE121" s="2"/>
      <c r="AF121" s="3"/>
      <c r="AG121" s="3"/>
      <c r="AH121" s="3"/>
      <c r="AI121" s="3"/>
      <c r="AJ121" s="2">
        <f t="shared" si="15"/>
        <v>4313.32</v>
      </c>
      <c r="AK121" s="2">
        <f t="shared" si="16"/>
        <v>0</v>
      </c>
      <c r="AL121" s="2">
        <f t="shared" si="17"/>
        <v>6249.5400000000081</v>
      </c>
      <c r="AM121" s="88"/>
      <c r="AN121" s="157" t="s">
        <v>774</v>
      </c>
    </row>
    <row r="122" spans="2:40" ht="23.15" customHeight="1" thickBot="1">
      <c r="B122" s="87"/>
      <c r="C122" s="2" t="s">
        <v>292</v>
      </c>
      <c r="D122" s="15" t="s">
        <v>11</v>
      </c>
      <c r="E122" s="20" t="s">
        <v>31</v>
      </c>
      <c r="F122" s="20" t="s">
        <v>40</v>
      </c>
      <c r="G122" s="11">
        <v>25</v>
      </c>
      <c r="H122" s="18">
        <v>25</v>
      </c>
      <c r="I122" s="18">
        <v>0</v>
      </c>
      <c r="J122" s="18">
        <v>0</v>
      </c>
      <c r="K122" s="19">
        <v>113217.49</v>
      </c>
      <c r="L122" s="41">
        <v>0</v>
      </c>
      <c r="M122" s="41">
        <v>0</v>
      </c>
      <c r="N122" s="41">
        <v>0</v>
      </c>
      <c r="O122" s="41">
        <v>0</v>
      </c>
      <c r="P122" s="41">
        <v>0</v>
      </c>
      <c r="Q122" s="43">
        <v>0</v>
      </c>
      <c r="R122" s="43">
        <v>0</v>
      </c>
      <c r="S122" s="43">
        <v>0</v>
      </c>
      <c r="T122" s="43">
        <v>0</v>
      </c>
      <c r="U122" s="19"/>
      <c r="V122" s="13">
        <f t="shared" si="14"/>
        <v>113217.49</v>
      </c>
      <c r="W122" s="13"/>
      <c r="X122" s="13"/>
      <c r="Y122" s="13"/>
      <c r="Z122" s="13"/>
      <c r="AA122" s="22">
        <v>45748</v>
      </c>
      <c r="AB122" s="22" cm="1">
        <f t="array" ref="AB1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22" s="4">
        <v>1791.41</v>
      </c>
      <c r="AD122" s="4">
        <v>1791.41</v>
      </c>
      <c r="AE122" s="2"/>
      <c r="AF122" s="3"/>
      <c r="AG122" s="3"/>
      <c r="AH122" s="3"/>
      <c r="AI122" s="3"/>
      <c r="AJ122" s="2">
        <f t="shared" si="15"/>
        <v>0</v>
      </c>
      <c r="AK122" s="2">
        <f t="shared" si="16"/>
        <v>0</v>
      </c>
      <c r="AL122" s="2">
        <f t="shared" si="17"/>
        <v>0</v>
      </c>
      <c r="AM122" s="88"/>
      <c r="AN122" s="157" t="s">
        <v>774</v>
      </c>
    </row>
    <row r="123" spans="2:40" ht="23.15" customHeight="1" thickBot="1">
      <c r="B123" s="87">
        <v>45818</v>
      </c>
      <c r="C123" s="2" t="s">
        <v>295</v>
      </c>
      <c r="D123" s="15" t="s">
        <v>11</v>
      </c>
      <c r="E123" s="20" t="s">
        <v>31</v>
      </c>
      <c r="F123" s="20" t="s">
        <v>40</v>
      </c>
      <c r="G123" s="11">
        <v>25</v>
      </c>
      <c r="H123" s="18">
        <v>25</v>
      </c>
      <c r="I123" s="18">
        <v>0</v>
      </c>
      <c r="J123" s="18">
        <v>4.72</v>
      </c>
      <c r="K123" s="19">
        <v>113217.49</v>
      </c>
      <c r="L123" s="41">
        <v>0</v>
      </c>
      <c r="M123" s="41">
        <v>0</v>
      </c>
      <c r="N123" s="41">
        <v>0</v>
      </c>
      <c r="O123" s="41">
        <v>-93.594333333333296</v>
      </c>
      <c r="P123" s="41">
        <v>0</v>
      </c>
      <c r="Q123" s="43">
        <v>0</v>
      </c>
      <c r="R123" s="43">
        <v>0</v>
      </c>
      <c r="S123" s="43">
        <v>0</v>
      </c>
      <c r="T123" s="43">
        <v>0</v>
      </c>
      <c r="U123" s="19" t="s">
        <v>295</v>
      </c>
      <c r="V123" s="13">
        <f t="shared" si="14"/>
        <v>113123.89566666668</v>
      </c>
      <c r="W123" s="13"/>
      <c r="X123" s="13"/>
      <c r="Y123" s="13"/>
      <c r="Z123" s="13"/>
      <c r="AA123" s="22">
        <v>45778</v>
      </c>
      <c r="AB123" s="22" cm="1">
        <f t="array" ref="AB1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23" s="4"/>
      <c r="AD123" s="4"/>
      <c r="AE123" s="2"/>
      <c r="AF123" s="3"/>
      <c r="AG123" s="3"/>
      <c r="AH123" s="3"/>
      <c r="AI123" s="3"/>
      <c r="AJ123" s="2">
        <f t="shared" si="15"/>
        <v>0</v>
      </c>
      <c r="AK123" s="2">
        <f t="shared" si="16"/>
        <v>0</v>
      </c>
      <c r="AL123" s="2">
        <f t="shared" si="17"/>
        <v>93.594333333327086</v>
      </c>
      <c r="AM123" s="88"/>
      <c r="AN123" s="157" t="s">
        <v>774</v>
      </c>
    </row>
    <row r="124" spans="2:40" ht="23.15" customHeight="1" thickBot="1">
      <c r="B124" s="87"/>
      <c r="C124" s="2" t="s">
        <v>295</v>
      </c>
      <c r="D124" s="15" t="s">
        <v>11</v>
      </c>
      <c r="E124" s="20" t="s">
        <v>32</v>
      </c>
      <c r="F124" s="20" t="s">
        <v>40</v>
      </c>
      <c r="G124" s="11">
        <v>18</v>
      </c>
      <c r="H124" s="18">
        <v>18</v>
      </c>
      <c r="I124" s="18">
        <v>0</v>
      </c>
      <c r="J124" s="18">
        <v>0</v>
      </c>
      <c r="K124" s="249">
        <v>119669.9761700347</v>
      </c>
      <c r="L124" s="41">
        <v>0</v>
      </c>
      <c r="M124" s="41">
        <v>0</v>
      </c>
      <c r="N124" s="41">
        <v>0</v>
      </c>
      <c r="O124" s="41">
        <v>0</v>
      </c>
      <c r="P124" s="41">
        <v>0</v>
      </c>
      <c r="Q124" s="43">
        <v>0</v>
      </c>
      <c r="R124" s="43">
        <v>0</v>
      </c>
      <c r="S124" s="43">
        <v>0</v>
      </c>
      <c r="T124" s="43">
        <v>0</v>
      </c>
      <c r="U124" s="19" t="s">
        <v>295</v>
      </c>
      <c r="V124" s="13">
        <f t="shared" si="14"/>
        <v>119669.9761700347</v>
      </c>
      <c r="W124" s="13"/>
      <c r="X124" s="13"/>
      <c r="Y124" s="13"/>
      <c r="Z124" s="13"/>
      <c r="AA124" s="22">
        <v>45658</v>
      </c>
      <c r="AB124" s="22" cm="1">
        <f t="array" ref="AB1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24" s="4">
        <v>1883.6461617707657</v>
      </c>
      <c r="AD124" s="4">
        <v>1883.6461617707657</v>
      </c>
      <c r="AE124" s="2"/>
      <c r="AF124" s="3"/>
      <c r="AG124" s="3"/>
      <c r="AH124" s="3"/>
      <c r="AI124" s="3"/>
      <c r="AJ124" s="2">
        <f t="shared" si="15"/>
        <v>0</v>
      </c>
      <c r="AK124" s="2">
        <f t="shared" si="16"/>
        <v>0</v>
      </c>
      <c r="AL124" s="2">
        <f t="shared" si="17"/>
        <v>0</v>
      </c>
      <c r="AM124" s="88"/>
      <c r="AN124" s="157" t="s">
        <v>774</v>
      </c>
    </row>
    <row r="125" spans="2:40" ht="23.15" customHeight="1" thickBot="1">
      <c r="B125" s="87">
        <v>45839</v>
      </c>
      <c r="C125" s="2" t="s">
        <v>295</v>
      </c>
      <c r="D125" s="15" t="s">
        <v>11</v>
      </c>
      <c r="E125" s="20" t="s">
        <v>31</v>
      </c>
      <c r="F125" s="20" t="s">
        <v>40</v>
      </c>
      <c r="G125" s="11">
        <v>25</v>
      </c>
      <c r="H125" s="18">
        <v>25</v>
      </c>
      <c r="I125" s="18">
        <v>0</v>
      </c>
      <c r="J125" s="18" t="s">
        <v>306</v>
      </c>
      <c r="K125" s="19">
        <v>121624.34723530685</v>
      </c>
      <c r="L125" s="41">
        <v>0</v>
      </c>
      <c r="M125" s="41">
        <v>0</v>
      </c>
      <c r="N125" s="41">
        <v>0</v>
      </c>
      <c r="O125" s="41">
        <v>-180.82666666666699</v>
      </c>
      <c r="P125" s="41">
        <v>0</v>
      </c>
      <c r="Q125" s="43">
        <v>0</v>
      </c>
      <c r="R125" s="43">
        <v>0</v>
      </c>
      <c r="S125" s="43">
        <v>0</v>
      </c>
      <c r="T125" s="43">
        <v>0</v>
      </c>
      <c r="U125" s="19" t="s">
        <v>295</v>
      </c>
      <c r="V125" s="13">
        <f t="shared" si="14"/>
        <v>121443.52056864019</v>
      </c>
      <c r="W125" s="13"/>
      <c r="X125" s="13"/>
      <c r="Y125" s="13"/>
      <c r="Z125" s="13"/>
      <c r="AA125" s="22">
        <v>45809</v>
      </c>
      <c r="AB125" s="22" cm="1">
        <f t="array" ref="AB1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25" s="4"/>
      <c r="AD125" s="4"/>
      <c r="AE125" s="2"/>
      <c r="AF125" s="3"/>
      <c r="AG125" s="3"/>
      <c r="AH125" s="3"/>
      <c r="AI125" s="3"/>
      <c r="AJ125" s="2">
        <f t="shared" si="15"/>
        <v>0</v>
      </c>
      <c r="AK125" s="2">
        <f t="shared" si="16"/>
        <v>0</v>
      </c>
      <c r="AL125" s="2">
        <f t="shared" si="17"/>
        <v>180.82666666666046</v>
      </c>
      <c r="AM125" s="88"/>
      <c r="AN125" s="157" t="s">
        <v>774</v>
      </c>
    </row>
    <row r="126" spans="2:40" ht="23.15" customHeight="1" thickBot="1">
      <c r="B126" s="87">
        <v>45870</v>
      </c>
      <c r="C126" s="2" t="s">
        <v>295</v>
      </c>
      <c r="D126" s="15" t="s">
        <v>11</v>
      </c>
      <c r="E126" s="20" t="s">
        <v>32</v>
      </c>
      <c r="F126" s="20" t="s">
        <v>40</v>
      </c>
      <c r="G126" s="11">
        <v>18</v>
      </c>
      <c r="H126" s="18">
        <v>18</v>
      </c>
      <c r="I126" s="18">
        <v>0</v>
      </c>
      <c r="J126" s="18">
        <v>1.5</v>
      </c>
      <c r="K126" s="19">
        <v>125752.91066769751</v>
      </c>
      <c r="L126" s="41">
        <v>0</v>
      </c>
      <c r="M126" s="41">
        <v>0</v>
      </c>
      <c r="N126" s="41">
        <v>0</v>
      </c>
      <c r="O126" s="41">
        <f>-40.47</f>
        <v>-40.47</v>
      </c>
      <c r="P126" s="41">
        <v>0</v>
      </c>
      <c r="Q126" s="43">
        <v>0</v>
      </c>
      <c r="R126" s="43">
        <v>0</v>
      </c>
      <c r="S126" s="43">
        <v>0</v>
      </c>
      <c r="T126" s="43">
        <v>0</v>
      </c>
      <c r="U126" s="19" t="s">
        <v>295</v>
      </c>
      <c r="V126" s="13">
        <f t="shared" si="14"/>
        <v>125712.4406676975</v>
      </c>
      <c r="W126" s="13"/>
      <c r="X126" s="13"/>
      <c r="Y126" s="13"/>
      <c r="Z126" s="13"/>
      <c r="AA126" s="22">
        <v>45839</v>
      </c>
      <c r="AB126" s="22" cm="1">
        <f t="array" ref="AB1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26" s="4"/>
      <c r="AD126" s="4"/>
      <c r="AE126" s="2"/>
      <c r="AF126" s="3"/>
      <c r="AG126" s="3"/>
      <c r="AH126" s="3"/>
      <c r="AI126" s="3"/>
      <c r="AJ126" s="2">
        <f t="shared" si="15"/>
        <v>0</v>
      </c>
      <c r="AK126" s="2">
        <f t="shared" si="16"/>
        <v>0</v>
      </c>
      <c r="AL126" s="2">
        <f t="shared" si="17"/>
        <v>40.470000000001164</v>
      </c>
      <c r="AM126" s="88"/>
      <c r="AN126" s="157" t="s">
        <v>774</v>
      </c>
    </row>
    <row r="127" spans="2:40" ht="23.15" customHeight="1" thickBot="1">
      <c r="B127" s="87"/>
      <c r="C127" s="2"/>
      <c r="D127" s="15" t="s">
        <v>11</v>
      </c>
      <c r="E127" s="20" t="s">
        <v>28</v>
      </c>
      <c r="F127" s="20" t="s">
        <v>37</v>
      </c>
      <c r="G127" s="11">
        <v>28</v>
      </c>
      <c r="H127" s="18">
        <v>17.18</v>
      </c>
      <c r="I127" s="18" t="s">
        <v>294</v>
      </c>
      <c r="J127" s="18" t="s">
        <v>294</v>
      </c>
      <c r="K127" s="19">
        <v>108075.2394945534</v>
      </c>
      <c r="L127" s="41"/>
      <c r="M127" s="18" t="s">
        <v>294</v>
      </c>
      <c r="N127" s="41"/>
      <c r="O127" s="18" t="s">
        <v>294</v>
      </c>
      <c r="P127" s="41"/>
      <c r="Q127" s="43"/>
      <c r="R127" s="43">
        <v>-500</v>
      </c>
      <c r="S127" s="43"/>
      <c r="T127" s="43"/>
      <c r="U127" s="19"/>
      <c r="V127" s="13">
        <f t="shared" si="14"/>
        <v>107575.2394945534</v>
      </c>
      <c r="W127" s="13"/>
      <c r="X127" s="13"/>
      <c r="Y127" s="13"/>
      <c r="Z127" s="13"/>
      <c r="AA127" s="22">
        <v>45931</v>
      </c>
      <c r="AB127" s="22" cm="1">
        <f t="array" ref="AB1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27" s="4"/>
      <c r="AD127" s="4"/>
      <c r="AE127" s="2"/>
      <c r="AF127" s="3"/>
      <c r="AG127" s="3"/>
      <c r="AH127" s="3"/>
      <c r="AI127" s="3"/>
      <c r="AJ127" s="2">
        <f t="shared" si="15"/>
        <v>0</v>
      </c>
      <c r="AK127" s="2">
        <f t="shared" si="16"/>
        <v>0</v>
      </c>
      <c r="AL127" s="2">
        <f t="shared" si="17"/>
        <v>500</v>
      </c>
      <c r="AM127" s="88"/>
      <c r="AN127" s="157" t="s">
        <v>774</v>
      </c>
    </row>
    <row r="128" spans="2:40" ht="23.15" customHeight="1" thickBot="1">
      <c r="B128" s="87">
        <v>45722</v>
      </c>
      <c r="C128" s="2" t="s">
        <v>295</v>
      </c>
      <c r="D128" s="15" t="s">
        <v>11</v>
      </c>
      <c r="E128" s="20" t="s">
        <v>32</v>
      </c>
      <c r="F128" s="20" t="s">
        <v>40</v>
      </c>
      <c r="G128" s="11">
        <v>18</v>
      </c>
      <c r="H128" s="11">
        <v>18</v>
      </c>
      <c r="I128" s="18">
        <v>0</v>
      </c>
      <c r="J128" s="18">
        <v>0</v>
      </c>
      <c r="K128" s="19">
        <v>125752.91066769751</v>
      </c>
      <c r="L128" s="41">
        <v>0</v>
      </c>
      <c r="M128" s="41">
        <v>0</v>
      </c>
      <c r="N128" s="41">
        <v>0</v>
      </c>
      <c r="O128" s="41">
        <v>0</v>
      </c>
      <c r="P128" s="41">
        <v>0</v>
      </c>
      <c r="Q128" s="41">
        <v>0</v>
      </c>
      <c r="R128" s="41">
        <v>0</v>
      </c>
      <c r="S128" s="41">
        <v>0</v>
      </c>
      <c r="T128" s="41">
        <v>0</v>
      </c>
      <c r="U128" s="19" t="s">
        <v>295</v>
      </c>
      <c r="V128" s="13">
        <f t="shared" si="14"/>
        <v>125752.91066769751</v>
      </c>
      <c r="W128" s="13"/>
      <c r="X128" s="13"/>
      <c r="Y128" s="13">
        <f>125752.910667698-119669.976170035</f>
        <v>6082.9344976629945</v>
      </c>
      <c r="Z128" s="45" t="s">
        <v>302</v>
      </c>
      <c r="AA128" s="22">
        <v>45689</v>
      </c>
      <c r="AB128" s="22" cm="1">
        <f t="array" ref="AB1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28" s="4">
        <v>4002.12</v>
      </c>
      <c r="AD128" s="4">
        <v>4002.12</v>
      </c>
      <c r="AE128" s="2"/>
      <c r="AF128" s="3"/>
      <c r="AG128" s="3"/>
      <c r="AH128" s="3"/>
      <c r="AI128" s="3"/>
      <c r="AJ128" s="2">
        <f t="shared" si="15"/>
        <v>0</v>
      </c>
      <c r="AK128" s="2">
        <f t="shared" si="16"/>
        <v>0</v>
      </c>
      <c r="AL128" s="2">
        <f t="shared" si="17"/>
        <v>0</v>
      </c>
      <c r="AM128" s="88"/>
      <c r="AN128" s="157" t="s">
        <v>774</v>
      </c>
    </row>
    <row r="129" spans="2:40" ht="23.15" customHeight="1" thickBot="1">
      <c r="B129" s="87">
        <v>45754</v>
      </c>
      <c r="C129" s="2" t="s">
        <v>295</v>
      </c>
      <c r="D129" s="15" t="s">
        <v>11</v>
      </c>
      <c r="E129" s="20" t="s">
        <v>32</v>
      </c>
      <c r="F129" s="20" t="s">
        <v>40</v>
      </c>
      <c r="G129" s="11">
        <v>18</v>
      </c>
      <c r="H129" s="18">
        <v>18</v>
      </c>
      <c r="I129" s="18">
        <v>0</v>
      </c>
      <c r="J129" s="18">
        <v>0</v>
      </c>
      <c r="K129" s="19">
        <v>125752.91066769751</v>
      </c>
      <c r="L129" s="41">
        <v>0</v>
      </c>
      <c r="M129" s="41">
        <v>0</v>
      </c>
      <c r="N129" s="41">
        <v>0</v>
      </c>
      <c r="O129" s="41">
        <v>0</v>
      </c>
      <c r="P129" s="41">
        <v>0</v>
      </c>
      <c r="Q129" s="43">
        <v>0</v>
      </c>
      <c r="R129" s="43">
        <v>0</v>
      </c>
      <c r="S129" s="43">
        <v>0</v>
      </c>
      <c r="T129" s="43">
        <v>0</v>
      </c>
      <c r="U129" s="19" t="s">
        <v>295</v>
      </c>
      <c r="V129" s="13">
        <f t="shared" si="14"/>
        <v>125752.91066769751</v>
      </c>
      <c r="W129" s="13"/>
      <c r="X129" s="13"/>
      <c r="Y129" s="13"/>
      <c r="Z129" s="13"/>
      <c r="AA129" s="22">
        <v>45717</v>
      </c>
      <c r="AB129" s="22" cm="1">
        <f t="array" ref="AB1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29" s="4"/>
      <c r="AD129" s="4"/>
      <c r="AE129" s="2"/>
      <c r="AF129" s="3"/>
      <c r="AG129" s="3"/>
      <c r="AH129" s="3"/>
      <c r="AI129" s="3"/>
      <c r="AJ129" s="2">
        <f t="shared" si="15"/>
        <v>0</v>
      </c>
      <c r="AK129" s="2">
        <f t="shared" si="16"/>
        <v>0</v>
      </c>
      <c r="AL129" s="2">
        <f t="shared" si="17"/>
        <v>0</v>
      </c>
      <c r="AM129" s="88"/>
      <c r="AN129" s="157" t="s">
        <v>774</v>
      </c>
    </row>
    <row r="130" spans="2:40" ht="23.15" customHeight="1" thickBot="1">
      <c r="B130" s="87"/>
      <c r="C130" s="2" t="s">
        <v>292</v>
      </c>
      <c r="D130" s="15" t="s">
        <v>11</v>
      </c>
      <c r="E130" s="20" t="s">
        <v>32</v>
      </c>
      <c r="F130" s="20" t="s">
        <v>40</v>
      </c>
      <c r="G130" s="11">
        <v>18</v>
      </c>
      <c r="H130" s="18">
        <v>18</v>
      </c>
      <c r="I130" s="18">
        <v>0</v>
      </c>
      <c r="J130" s="18">
        <v>0</v>
      </c>
      <c r="K130" s="19">
        <v>125752.91066769751</v>
      </c>
      <c r="L130" s="41">
        <v>0</v>
      </c>
      <c r="M130" s="41">
        <v>0</v>
      </c>
      <c r="N130" s="41">
        <v>0</v>
      </c>
      <c r="O130" s="41">
        <v>0</v>
      </c>
      <c r="P130" s="41">
        <v>0</v>
      </c>
      <c r="Q130" s="43">
        <v>0</v>
      </c>
      <c r="R130" s="43">
        <v>0</v>
      </c>
      <c r="S130" s="43">
        <v>0</v>
      </c>
      <c r="T130" s="43">
        <v>0</v>
      </c>
      <c r="U130" s="19"/>
      <c r="V130" s="13">
        <f t="shared" si="14"/>
        <v>125752.91066769751</v>
      </c>
      <c r="W130" s="13"/>
      <c r="X130" s="13"/>
      <c r="Y130" s="13"/>
      <c r="Z130" s="13"/>
      <c r="AA130" s="22">
        <v>45748</v>
      </c>
      <c r="AB130" s="22" cm="1">
        <f t="array" ref="AB1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30" s="4"/>
      <c r="AD130" s="4"/>
      <c r="AE130" s="2"/>
      <c r="AF130" s="3"/>
      <c r="AG130" s="3"/>
      <c r="AH130" s="3"/>
      <c r="AI130" s="3"/>
      <c r="AJ130" s="2">
        <f t="shared" si="15"/>
        <v>0</v>
      </c>
      <c r="AK130" s="2">
        <f t="shared" si="16"/>
        <v>0</v>
      </c>
      <c r="AL130" s="2">
        <f t="shared" si="17"/>
        <v>0</v>
      </c>
      <c r="AM130" s="88"/>
      <c r="AN130" s="157" t="s">
        <v>774</v>
      </c>
    </row>
    <row r="131" spans="2:40" ht="23.15" customHeight="1" thickBot="1">
      <c r="B131" s="87">
        <v>45818</v>
      </c>
      <c r="C131" s="2" t="s">
        <v>295</v>
      </c>
      <c r="D131" s="15" t="s">
        <v>11</v>
      </c>
      <c r="E131" s="20" t="s">
        <v>32</v>
      </c>
      <c r="F131" s="20" t="s">
        <v>40</v>
      </c>
      <c r="G131" s="11">
        <v>18</v>
      </c>
      <c r="H131" s="18">
        <v>18</v>
      </c>
      <c r="I131" s="18">
        <v>0</v>
      </c>
      <c r="J131" s="18">
        <v>4.83</v>
      </c>
      <c r="K131" s="19">
        <v>125752.91066769751</v>
      </c>
      <c r="L131" s="41">
        <v>0</v>
      </c>
      <c r="M131" s="41">
        <v>0</v>
      </c>
      <c r="N131" s="41">
        <v>0</v>
      </c>
      <c r="O131" s="41">
        <v>-130.40333333333299</v>
      </c>
      <c r="P131" s="41">
        <v>0</v>
      </c>
      <c r="Q131" s="43">
        <v>0</v>
      </c>
      <c r="R131" s="43">
        <v>0</v>
      </c>
      <c r="S131" s="43">
        <v>0</v>
      </c>
      <c r="T131" s="43">
        <v>0</v>
      </c>
      <c r="U131" s="19" t="s">
        <v>295</v>
      </c>
      <c r="V131" s="13">
        <f t="shared" si="14"/>
        <v>125622.50733436417</v>
      </c>
      <c r="W131" s="13"/>
      <c r="X131" s="13"/>
      <c r="Y131" s="13"/>
      <c r="Z131" s="13"/>
      <c r="AA131" s="22">
        <v>45778</v>
      </c>
      <c r="AB131" s="22" cm="1">
        <f t="array" ref="AB1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31" s="4"/>
      <c r="AD131" s="4"/>
      <c r="AE131" s="2"/>
      <c r="AF131" s="3"/>
      <c r="AG131" s="3"/>
      <c r="AH131" s="3"/>
      <c r="AI131" s="3"/>
      <c r="AJ131" s="2">
        <f t="shared" si="15"/>
        <v>0</v>
      </c>
      <c r="AK131" s="2">
        <f t="shared" si="16"/>
        <v>0</v>
      </c>
      <c r="AL131" s="2">
        <f t="shared" si="17"/>
        <v>130.40333333333547</v>
      </c>
      <c r="AM131" s="88"/>
      <c r="AN131" s="157" t="s">
        <v>774</v>
      </c>
    </row>
    <row r="132" spans="2:40" ht="23.15" customHeight="1" thickBot="1">
      <c r="B132" s="87">
        <v>45839</v>
      </c>
      <c r="C132" s="2" t="s">
        <v>295</v>
      </c>
      <c r="D132" s="15" t="s">
        <v>11</v>
      </c>
      <c r="E132" s="20" t="s">
        <v>32</v>
      </c>
      <c r="F132" s="20" t="s">
        <v>40</v>
      </c>
      <c r="G132" s="11">
        <v>18</v>
      </c>
      <c r="H132" s="18">
        <v>18</v>
      </c>
      <c r="I132" s="18">
        <v>0</v>
      </c>
      <c r="J132" s="18">
        <v>0</v>
      </c>
      <c r="K132" s="10">
        <v>125752.91066769751</v>
      </c>
      <c r="L132" s="41">
        <v>0</v>
      </c>
      <c r="M132" s="41">
        <v>0</v>
      </c>
      <c r="N132" s="41">
        <v>0</v>
      </c>
      <c r="O132" s="41">
        <f>-40.47</f>
        <v>-40.47</v>
      </c>
      <c r="P132" s="41">
        <v>0</v>
      </c>
      <c r="Q132" s="43">
        <v>0</v>
      </c>
      <c r="R132" s="43">
        <v>0</v>
      </c>
      <c r="S132" s="43">
        <v>0</v>
      </c>
      <c r="T132" s="43">
        <v>0</v>
      </c>
      <c r="U132" s="19" t="s">
        <v>295</v>
      </c>
      <c r="V132" s="13">
        <f t="shared" si="14"/>
        <v>125712.4406676975</v>
      </c>
      <c r="W132" s="13"/>
      <c r="X132" s="13"/>
      <c r="Y132" s="13"/>
      <c r="Z132" s="13"/>
      <c r="AA132" s="22">
        <v>45809</v>
      </c>
      <c r="AB132" s="22" cm="1">
        <f t="array" ref="AB1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32" s="4"/>
      <c r="AD132" s="4"/>
      <c r="AE132" s="2"/>
      <c r="AF132" s="3"/>
      <c r="AG132" s="3"/>
      <c r="AH132" s="3"/>
      <c r="AI132" s="3"/>
      <c r="AJ132" s="2">
        <f t="shared" si="15"/>
        <v>0</v>
      </c>
      <c r="AK132" s="2">
        <f t="shared" si="16"/>
        <v>0</v>
      </c>
      <c r="AL132" s="2">
        <f t="shared" si="17"/>
        <v>40.470000000001164</v>
      </c>
      <c r="AM132" s="88"/>
      <c r="AN132" s="157" t="s">
        <v>774</v>
      </c>
    </row>
    <row r="133" spans="2:40" ht="23.15" customHeight="1" thickBot="1">
      <c r="B133" s="87">
        <v>45874</v>
      </c>
      <c r="C133" s="2" t="s">
        <v>295</v>
      </c>
      <c r="D133" s="15" t="s">
        <v>11</v>
      </c>
      <c r="E133" s="20" t="s">
        <v>30</v>
      </c>
      <c r="F133" s="20" t="s">
        <v>56</v>
      </c>
      <c r="G133" s="11">
        <v>60</v>
      </c>
      <c r="H133" s="18">
        <v>52</v>
      </c>
      <c r="I133" s="18">
        <v>0</v>
      </c>
      <c r="J133" s="18">
        <v>0</v>
      </c>
      <c r="K133" s="19">
        <v>304741.5880962782</v>
      </c>
      <c r="L133" s="41">
        <v>0</v>
      </c>
      <c r="M133" s="41">
        <v>0</v>
      </c>
      <c r="N133" s="41">
        <v>0</v>
      </c>
      <c r="O133" s="41">
        <v>0</v>
      </c>
      <c r="P133" s="41">
        <v>0</v>
      </c>
      <c r="Q133" s="43">
        <v>0</v>
      </c>
      <c r="R133" s="43">
        <v>0</v>
      </c>
      <c r="S133" s="43">
        <v>0</v>
      </c>
      <c r="T133" s="43">
        <v>0</v>
      </c>
      <c r="U133" s="19"/>
      <c r="V133" s="13">
        <f t="shared" si="14"/>
        <v>304741.5880962782</v>
      </c>
      <c r="W133" s="13"/>
      <c r="X133" s="13"/>
      <c r="Y133" s="13"/>
      <c r="Z133" s="13"/>
      <c r="AA133" s="22">
        <v>45839</v>
      </c>
      <c r="AB133" s="22" cm="1">
        <f t="array" ref="AB1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33" s="4"/>
      <c r="AD133" s="4"/>
      <c r="AE133" s="2"/>
      <c r="AF133" s="3"/>
      <c r="AG133" s="3"/>
      <c r="AH133" s="3"/>
      <c r="AI133" s="3"/>
      <c r="AJ133" s="2">
        <f t="shared" si="15"/>
        <v>0</v>
      </c>
      <c r="AK133" s="2">
        <f t="shared" si="16"/>
        <v>0</v>
      </c>
      <c r="AL133" s="2">
        <f t="shared" si="17"/>
        <v>0</v>
      </c>
      <c r="AM133" s="88"/>
      <c r="AN133" s="157" t="s">
        <v>774</v>
      </c>
    </row>
    <row r="134" spans="2:40" ht="23.15" customHeight="1" thickBot="1">
      <c r="B134" s="87">
        <v>45904</v>
      </c>
      <c r="C134" s="2" t="s">
        <v>295</v>
      </c>
      <c r="D134" s="15" t="s">
        <v>11</v>
      </c>
      <c r="E134" s="20" t="s">
        <v>29</v>
      </c>
      <c r="F134" s="20" t="s">
        <v>80</v>
      </c>
      <c r="G134" s="11">
        <v>11</v>
      </c>
      <c r="H134" s="11">
        <v>10</v>
      </c>
      <c r="I134" s="18">
        <v>2</v>
      </c>
      <c r="J134" s="18">
        <v>46.083333333333329</v>
      </c>
      <c r="K134" s="19">
        <v>64357</v>
      </c>
      <c r="L134" s="41">
        <v>0</v>
      </c>
      <c r="M134" s="41">
        <v>-596.66999999999996</v>
      </c>
      <c r="N134" s="41">
        <v>0</v>
      </c>
      <c r="O134" s="41">
        <v>-1356.1283333333299</v>
      </c>
      <c r="P134" s="41">
        <v>-1662.56</v>
      </c>
      <c r="Q134" s="43">
        <v>0</v>
      </c>
      <c r="R134" s="43">
        <v>0</v>
      </c>
      <c r="S134" s="43">
        <v>0</v>
      </c>
      <c r="T134" s="43">
        <v>0</v>
      </c>
      <c r="U134" s="19" t="s">
        <v>295</v>
      </c>
      <c r="V134" s="13">
        <f t="shared" si="14"/>
        <v>60741.641666666677</v>
      </c>
      <c r="W134" s="13"/>
      <c r="X134" s="13"/>
      <c r="Y134" s="13"/>
      <c r="Z134" s="13"/>
      <c r="AA134" s="22">
        <v>45870</v>
      </c>
      <c r="AB134" s="22" cm="1">
        <f t="array" ref="AB1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34" s="4"/>
      <c r="AD134" s="4">
        <v>87.45</v>
      </c>
      <c r="AE134" s="2"/>
      <c r="AF134" s="3"/>
      <c r="AG134" s="3"/>
      <c r="AH134" s="3"/>
      <c r="AI134" s="3"/>
      <c r="AJ134" s="2">
        <f t="shared" si="15"/>
        <v>596.66999999999996</v>
      </c>
      <c r="AK134" s="2">
        <f t="shared" si="16"/>
        <v>-87.45</v>
      </c>
      <c r="AL134" s="2">
        <f t="shared" si="17"/>
        <v>3615.3583333333227</v>
      </c>
      <c r="AM134" s="88"/>
      <c r="AN134" s="157" t="s">
        <v>774</v>
      </c>
    </row>
    <row r="135" spans="2:40" ht="23.15" customHeight="1" thickBot="1">
      <c r="B135" s="87"/>
      <c r="C135" s="2" t="s">
        <v>292</v>
      </c>
      <c r="D135" s="15" t="s">
        <v>11</v>
      </c>
      <c r="E135" s="20" t="s">
        <v>30</v>
      </c>
      <c r="F135" s="20" t="s">
        <v>56</v>
      </c>
      <c r="G135" s="11">
        <v>60</v>
      </c>
      <c r="H135" s="11">
        <v>52</v>
      </c>
      <c r="I135" s="18" t="s">
        <v>294</v>
      </c>
      <c r="J135" s="18" t="s">
        <v>294</v>
      </c>
      <c r="K135" s="19">
        <v>257308.28061597658</v>
      </c>
      <c r="L135" s="41">
        <v>0</v>
      </c>
      <c r="M135" s="41" t="s">
        <v>294</v>
      </c>
      <c r="N135" s="41">
        <v>0</v>
      </c>
      <c r="O135" s="41" t="s">
        <v>294</v>
      </c>
      <c r="P135" s="41">
        <v>-1265.7</v>
      </c>
      <c r="Q135" s="43">
        <v>0</v>
      </c>
      <c r="R135" s="43">
        <v>0</v>
      </c>
      <c r="S135" s="43">
        <v>0</v>
      </c>
      <c r="T135" s="43">
        <v>0</v>
      </c>
      <c r="U135" s="19" t="s">
        <v>292</v>
      </c>
      <c r="V135" s="13">
        <f t="shared" si="14"/>
        <v>257308.28061597658</v>
      </c>
      <c r="W135" s="13"/>
      <c r="X135" s="13"/>
      <c r="Y135" s="13"/>
      <c r="Z135" s="13"/>
      <c r="AA135" s="22">
        <v>45748</v>
      </c>
      <c r="AB135" s="22" cm="1">
        <f t="array" ref="AB1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35" s="4">
        <v>1417.52</v>
      </c>
      <c r="AD135" s="4">
        <v>1417.52</v>
      </c>
      <c r="AE135" s="2"/>
      <c r="AF135" s="3"/>
      <c r="AG135" s="3"/>
      <c r="AH135" s="3"/>
      <c r="AI135" s="3"/>
      <c r="AJ135" s="2">
        <f t="shared" si="15"/>
        <v>0</v>
      </c>
      <c r="AK135" s="2">
        <f t="shared" si="16"/>
        <v>0</v>
      </c>
      <c r="AL135" s="2">
        <f t="shared" si="17"/>
        <v>0</v>
      </c>
      <c r="AM135" s="88"/>
      <c r="AN135" s="157" t="s">
        <v>774</v>
      </c>
    </row>
    <row r="136" spans="2:40" ht="23.15" customHeight="1" thickBot="1">
      <c r="B136" s="87">
        <v>45691</v>
      </c>
      <c r="C136" s="2" t="s">
        <v>295</v>
      </c>
      <c r="D136" s="15" t="s">
        <v>12</v>
      </c>
      <c r="E136" s="20" t="s">
        <v>30</v>
      </c>
      <c r="F136" s="20" t="s">
        <v>56</v>
      </c>
      <c r="G136" s="11">
        <v>37</v>
      </c>
      <c r="H136" s="11">
        <v>34</v>
      </c>
      <c r="I136" s="18">
        <v>5</v>
      </c>
      <c r="J136" s="18">
        <v>0</v>
      </c>
      <c r="K136" s="19">
        <v>170774.36292000001</v>
      </c>
      <c r="L136" s="41">
        <v>0</v>
      </c>
      <c r="M136" s="41">
        <v>-706.45</v>
      </c>
      <c r="N136" s="41">
        <v>0</v>
      </c>
      <c r="O136" s="41">
        <v>0</v>
      </c>
      <c r="P136" s="41">
        <v>-1659.61</v>
      </c>
      <c r="Q136" s="43">
        <v>0</v>
      </c>
      <c r="R136" s="43">
        <v>0</v>
      </c>
      <c r="S136" s="43">
        <v>0</v>
      </c>
      <c r="T136" s="43">
        <f>-68.6*2</f>
        <v>-137.19999999999999</v>
      </c>
      <c r="U136" s="19" t="s">
        <v>295</v>
      </c>
      <c r="V136" s="13">
        <f t="shared" ref="V136:V167" si="18">IFERROR((K136+M136+R136+S136+T136+O136)+IF(U136="Sim",P136+Q136,0),(K136+R136+S136+T136)+IF(U136="Sim",P136+Q136,0))</f>
        <v>168271.10292</v>
      </c>
      <c r="W136" s="42"/>
      <c r="X136" s="46">
        <f>IF(K136="","",V136*(1+W136))</f>
        <v>168271.10292</v>
      </c>
      <c r="Y136" s="13"/>
      <c r="Z136" s="13"/>
      <c r="AA136" s="22">
        <v>45689</v>
      </c>
      <c r="AB136" s="22" cm="1">
        <f t="array" ref="AB1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36" s="4"/>
      <c r="AD136" s="4"/>
      <c r="AE136" s="2"/>
      <c r="AF136" s="3"/>
      <c r="AG136" s="3"/>
      <c r="AH136" s="3"/>
      <c r="AI136" s="3"/>
      <c r="AJ136" s="2">
        <f t="shared" ref="AJ136:AJ167" si="19">IFERROR(L136-M136,0)</f>
        <v>706.45</v>
      </c>
      <c r="AK136" s="2">
        <f t="shared" ref="AK136:AK167" si="20">AC136-AD136</f>
        <v>0</v>
      </c>
      <c r="AL136" s="2">
        <f t="shared" ref="AL136:AL167" si="21">K136-V136</f>
        <v>2503.2600000000093</v>
      </c>
      <c r="AM136" s="88"/>
      <c r="AN136" s="157" t="s">
        <v>774</v>
      </c>
    </row>
    <row r="137" spans="2:40" ht="23.15" customHeight="1" thickBot="1">
      <c r="B137" s="87"/>
      <c r="C137" s="2" t="s">
        <v>295</v>
      </c>
      <c r="D137" s="15" t="s">
        <v>11</v>
      </c>
      <c r="E137" s="20" t="s">
        <v>30</v>
      </c>
      <c r="F137" s="20" t="s">
        <v>56</v>
      </c>
      <c r="G137" s="11">
        <v>60</v>
      </c>
      <c r="H137" s="11">
        <v>52</v>
      </c>
      <c r="I137" s="18" t="s">
        <v>294</v>
      </c>
      <c r="J137" s="18" t="s">
        <v>294</v>
      </c>
      <c r="K137" s="19">
        <v>257308.28061597658</v>
      </c>
      <c r="L137" s="41">
        <v>0</v>
      </c>
      <c r="M137" s="41" t="s">
        <v>294</v>
      </c>
      <c r="N137" s="41">
        <v>0</v>
      </c>
      <c r="O137" s="41" t="s">
        <v>294</v>
      </c>
      <c r="P137" s="41">
        <v>-151.63</v>
      </c>
      <c r="Q137" s="43">
        <v>0</v>
      </c>
      <c r="R137" s="43">
        <v>0</v>
      </c>
      <c r="S137" s="43">
        <v>0</v>
      </c>
      <c r="T137" s="43">
        <v>0</v>
      </c>
      <c r="U137" s="19" t="s">
        <v>295</v>
      </c>
      <c r="V137" s="13">
        <f t="shared" si="18"/>
        <v>257156.65061597657</v>
      </c>
      <c r="W137" s="13"/>
      <c r="X137" s="13"/>
      <c r="Y137" s="13"/>
      <c r="Z137" s="13"/>
      <c r="AA137" s="22">
        <v>45658</v>
      </c>
      <c r="AB137" s="22" cm="1">
        <f t="array" ref="AB1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37" s="4"/>
      <c r="AD137" s="4"/>
      <c r="AE137" s="2"/>
      <c r="AF137" s="3"/>
      <c r="AG137" s="3"/>
      <c r="AH137" s="3"/>
      <c r="AI137" s="3"/>
      <c r="AJ137" s="2">
        <f t="shared" si="19"/>
        <v>0</v>
      </c>
      <c r="AK137" s="2">
        <f t="shared" si="20"/>
        <v>0</v>
      </c>
      <c r="AL137" s="2">
        <f t="shared" si="21"/>
        <v>151.63000000000466</v>
      </c>
      <c r="AM137" s="88"/>
      <c r="AN137" s="157" t="s">
        <v>774</v>
      </c>
    </row>
    <row r="138" spans="2:40" ht="23.15" customHeight="1" thickBot="1">
      <c r="B138" s="87"/>
      <c r="C138" s="2" t="s">
        <v>292</v>
      </c>
      <c r="D138" s="15" t="s">
        <v>11</v>
      </c>
      <c r="E138" s="20" t="s">
        <v>30</v>
      </c>
      <c r="F138" s="20" t="s">
        <v>56</v>
      </c>
      <c r="G138" s="11">
        <v>60</v>
      </c>
      <c r="H138" s="18">
        <v>52</v>
      </c>
      <c r="I138" s="11" t="s">
        <v>294</v>
      </c>
      <c r="J138" s="11" t="s">
        <v>294</v>
      </c>
      <c r="K138" s="19">
        <v>257308.28061597658</v>
      </c>
      <c r="L138" s="41">
        <v>0</v>
      </c>
      <c r="M138" s="41" t="s">
        <v>294</v>
      </c>
      <c r="N138" s="41">
        <v>0</v>
      </c>
      <c r="O138" s="41" t="s">
        <v>294</v>
      </c>
      <c r="P138" s="41">
        <v>0</v>
      </c>
      <c r="Q138" s="41">
        <v>0</v>
      </c>
      <c r="R138" s="41">
        <v>0</v>
      </c>
      <c r="S138" s="41">
        <v>0</v>
      </c>
      <c r="T138" s="41">
        <v>0</v>
      </c>
      <c r="U138" s="19" t="s">
        <v>295</v>
      </c>
      <c r="V138" s="13">
        <f t="shared" si="18"/>
        <v>257308.28061597658</v>
      </c>
      <c r="W138" s="13"/>
      <c r="X138" s="13"/>
      <c r="Y138" s="13"/>
      <c r="Z138" s="13"/>
      <c r="AA138" s="22">
        <v>45689</v>
      </c>
      <c r="AB138" s="22" cm="1">
        <f t="array" ref="AB1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38" s="4"/>
      <c r="AD138" s="4"/>
      <c r="AE138" s="2"/>
      <c r="AF138" s="3"/>
      <c r="AG138" s="3"/>
      <c r="AH138" s="3"/>
      <c r="AI138" s="3"/>
      <c r="AJ138" s="2">
        <f t="shared" si="19"/>
        <v>0</v>
      </c>
      <c r="AK138" s="2">
        <f t="shared" si="20"/>
        <v>0</v>
      </c>
      <c r="AL138" s="2">
        <f t="shared" si="21"/>
        <v>0</v>
      </c>
      <c r="AM138" s="88"/>
      <c r="AN138" s="157" t="s">
        <v>774</v>
      </c>
    </row>
    <row r="139" spans="2:40" ht="23.15" customHeight="1" thickBot="1">
      <c r="B139" s="87"/>
      <c r="C139" s="2" t="s">
        <v>292</v>
      </c>
      <c r="D139" s="15" t="s">
        <v>11</v>
      </c>
      <c r="E139" s="20" t="s">
        <v>30</v>
      </c>
      <c r="F139" s="20" t="s">
        <v>56</v>
      </c>
      <c r="G139" s="11">
        <v>60</v>
      </c>
      <c r="H139" s="18">
        <v>52</v>
      </c>
      <c r="I139" s="11" t="s">
        <v>294</v>
      </c>
      <c r="J139" s="11" t="s">
        <v>294</v>
      </c>
      <c r="K139" s="19">
        <v>257308.28061597658</v>
      </c>
      <c r="L139" s="41">
        <v>0</v>
      </c>
      <c r="M139" s="41" t="s">
        <v>294</v>
      </c>
      <c r="N139" s="41">
        <v>0</v>
      </c>
      <c r="O139" s="41" t="s">
        <v>294</v>
      </c>
      <c r="P139" s="41" t="s">
        <v>293</v>
      </c>
      <c r="Q139" s="43">
        <v>0</v>
      </c>
      <c r="R139" s="43">
        <v>0</v>
      </c>
      <c r="S139" s="43">
        <v>0</v>
      </c>
      <c r="T139" s="43">
        <v>0</v>
      </c>
      <c r="U139" s="19"/>
      <c r="V139" s="13">
        <f t="shared" si="18"/>
        <v>257308.28061597658</v>
      </c>
      <c r="W139" s="13"/>
      <c r="X139" s="13"/>
      <c r="Y139" s="13"/>
      <c r="Z139" s="13"/>
      <c r="AA139" s="22">
        <v>45717</v>
      </c>
      <c r="AB139" s="22" cm="1">
        <f t="array" ref="AB1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39" s="4"/>
      <c r="AD139" s="4"/>
      <c r="AE139" s="2"/>
      <c r="AF139" s="3"/>
      <c r="AG139" s="3"/>
      <c r="AH139" s="3"/>
      <c r="AI139" s="3"/>
      <c r="AJ139" s="2">
        <f t="shared" si="19"/>
        <v>0</v>
      </c>
      <c r="AK139" s="2">
        <f t="shared" si="20"/>
        <v>0</v>
      </c>
      <c r="AL139" s="2">
        <f t="shared" si="21"/>
        <v>0</v>
      </c>
      <c r="AM139" s="88"/>
      <c r="AN139" s="157" t="s">
        <v>774</v>
      </c>
    </row>
    <row r="140" spans="2:40" ht="23.15" customHeight="1" thickBot="1">
      <c r="B140" s="87">
        <v>45842</v>
      </c>
      <c r="C140" s="2" t="s">
        <v>295</v>
      </c>
      <c r="D140" s="15" t="s">
        <v>11</v>
      </c>
      <c r="E140" s="20" t="s">
        <v>30</v>
      </c>
      <c r="F140" s="20" t="s">
        <v>56</v>
      </c>
      <c r="G140" s="11">
        <v>60</v>
      </c>
      <c r="H140" s="18">
        <v>52</v>
      </c>
      <c r="I140" s="11">
        <v>8</v>
      </c>
      <c r="J140" s="11">
        <v>0</v>
      </c>
      <c r="K140" s="19">
        <v>304741.5880962782</v>
      </c>
      <c r="L140" s="41">
        <v>0</v>
      </c>
      <c r="M140" s="41">
        <f>-1283.92</f>
        <v>-1283.92</v>
      </c>
      <c r="N140" s="41">
        <v>0</v>
      </c>
      <c r="O140" s="41">
        <v>0</v>
      </c>
      <c r="P140" s="41">
        <v>-2031.61</v>
      </c>
      <c r="Q140" s="43">
        <v>0</v>
      </c>
      <c r="R140" s="43">
        <v>0</v>
      </c>
      <c r="S140" s="43">
        <v>0</v>
      </c>
      <c r="T140" s="43">
        <v>0</v>
      </c>
      <c r="U140" s="19" t="s">
        <v>295</v>
      </c>
      <c r="V140" s="13">
        <f t="shared" si="18"/>
        <v>301426.05809627823</v>
      </c>
      <c r="W140" s="13"/>
      <c r="X140" s="13"/>
      <c r="Y140" s="13"/>
      <c r="Z140" s="13"/>
      <c r="AA140" s="22">
        <v>45809</v>
      </c>
      <c r="AB140" s="22" cm="1">
        <f t="array" ref="AB1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40" s="4"/>
      <c r="AD140" s="4"/>
      <c r="AE140" s="2"/>
      <c r="AF140" s="3"/>
      <c r="AG140" s="3"/>
      <c r="AH140" s="3"/>
      <c r="AI140" s="3"/>
      <c r="AJ140" s="2">
        <f t="shared" si="19"/>
        <v>1283.92</v>
      </c>
      <c r="AK140" s="2">
        <f t="shared" si="20"/>
        <v>0</v>
      </c>
      <c r="AL140" s="2">
        <f t="shared" si="21"/>
        <v>3315.5299999999697</v>
      </c>
      <c r="AM140" s="88"/>
      <c r="AN140" s="157" t="s">
        <v>774</v>
      </c>
    </row>
    <row r="141" spans="2:40" ht="23.15" customHeight="1" thickBot="1">
      <c r="B141" s="87">
        <v>45813</v>
      </c>
      <c r="C141" s="2" t="s">
        <v>295</v>
      </c>
      <c r="D141" s="15" t="s">
        <v>11</v>
      </c>
      <c r="E141" s="20" t="s">
        <v>30</v>
      </c>
      <c r="F141" s="20" t="s">
        <v>56</v>
      </c>
      <c r="G141" s="11">
        <v>60</v>
      </c>
      <c r="H141" s="18">
        <v>52</v>
      </c>
      <c r="I141" s="11">
        <v>2</v>
      </c>
      <c r="J141" s="11">
        <v>0</v>
      </c>
      <c r="K141" s="19">
        <v>304741.5880962782</v>
      </c>
      <c r="L141" s="41">
        <v>0</v>
      </c>
      <c r="M141" s="41">
        <f>-296</f>
        <v>-296</v>
      </c>
      <c r="N141" s="41">
        <v>0</v>
      </c>
      <c r="O141" s="41">
        <v>0</v>
      </c>
      <c r="P141" s="41">
        <v>-507.9</v>
      </c>
      <c r="Q141" s="43">
        <v>0</v>
      </c>
      <c r="R141" s="43">
        <v>0</v>
      </c>
      <c r="S141" s="43">
        <v>0</v>
      </c>
      <c r="T141" s="43">
        <v>0</v>
      </c>
      <c r="U141" s="19" t="s">
        <v>295</v>
      </c>
      <c r="V141" s="13">
        <f t="shared" si="18"/>
        <v>303937.68809627817</v>
      </c>
      <c r="W141" s="13"/>
      <c r="X141" s="13"/>
      <c r="Y141" s="13">
        <v>93822.46</v>
      </c>
      <c r="Z141" s="13" t="s">
        <v>302</v>
      </c>
      <c r="AA141" s="22">
        <v>45778</v>
      </c>
      <c r="AB141" s="22" cm="1">
        <f t="array" ref="AB1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41" s="4"/>
      <c r="AD141" s="4"/>
      <c r="AE141" s="2"/>
      <c r="AF141" s="3"/>
      <c r="AG141" s="3"/>
      <c r="AH141" s="3"/>
      <c r="AI141" s="3"/>
      <c r="AJ141" s="2">
        <f t="shared" si="19"/>
        <v>296</v>
      </c>
      <c r="AK141" s="2">
        <f t="shared" si="20"/>
        <v>0</v>
      </c>
      <c r="AL141" s="2">
        <f t="shared" si="21"/>
        <v>803.90000000002328</v>
      </c>
      <c r="AM141" s="88"/>
      <c r="AN141" s="157" t="s">
        <v>774</v>
      </c>
    </row>
    <row r="142" spans="2:40" ht="23.15" customHeight="1" thickBot="1">
      <c r="B142" s="87">
        <v>45870</v>
      </c>
      <c r="C142" s="2" t="s">
        <v>295</v>
      </c>
      <c r="D142" s="15" t="s">
        <v>11</v>
      </c>
      <c r="E142" s="20" t="s">
        <v>28</v>
      </c>
      <c r="F142" s="20" t="s">
        <v>37</v>
      </c>
      <c r="G142" s="11">
        <v>28</v>
      </c>
      <c r="H142" s="18">
        <v>17.175999999999998</v>
      </c>
      <c r="I142" s="11">
        <v>0</v>
      </c>
      <c r="J142" s="11">
        <v>0</v>
      </c>
      <c r="K142" s="19">
        <v>102093.61</v>
      </c>
      <c r="L142" s="41">
        <v>0</v>
      </c>
      <c r="M142" s="41">
        <v>0</v>
      </c>
      <c r="N142" s="41">
        <v>0</v>
      </c>
      <c r="O142" s="41">
        <v>0</v>
      </c>
      <c r="P142" s="41">
        <v>0</v>
      </c>
      <c r="Q142" s="43">
        <v>0</v>
      </c>
      <c r="R142" s="43">
        <v>-500</v>
      </c>
      <c r="S142" s="43">
        <v>0</v>
      </c>
      <c r="T142" s="43">
        <v>0</v>
      </c>
      <c r="U142" s="19" t="s">
        <v>295</v>
      </c>
      <c r="V142" s="13">
        <f t="shared" si="18"/>
        <v>101593.61</v>
      </c>
      <c r="W142" s="13"/>
      <c r="X142" s="13"/>
      <c r="Y142" s="13"/>
      <c r="Z142" s="13"/>
      <c r="AA142" s="22">
        <v>45839</v>
      </c>
      <c r="AB142" s="22" cm="1">
        <f t="array" ref="AB1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42" s="4"/>
      <c r="AD142" s="4"/>
      <c r="AE142" s="2"/>
      <c r="AF142" s="3"/>
      <c r="AG142" s="3"/>
      <c r="AH142" s="3"/>
      <c r="AI142" s="3"/>
      <c r="AJ142" s="2">
        <f t="shared" si="19"/>
        <v>0</v>
      </c>
      <c r="AK142" s="2">
        <f t="shared" si="20"/>
        <v>0</v>
      </c>
      <c r="AL142" s="2">
        <f t="shared" si="21"/>
        <v>500</v>
      </c>
      <c r="AM142" s="88"/>
      <c r="AN142" s="157" t="s">
        <v>774</v>
      </c>
    </row>
    <row r="143" spans="2:40" ht="23.15" customHeight="1" thickBot="1">
      <c r="B143" s="87">
        <v>45933</v>
      </c>
      <c r="C143" s="2" t="s">
        <v>295</v>
      </c>
      <c r="D143" s="15" t="s">
        <v>11</v>
      </c>
      <c r="E143" s="20" t="s">
        <v>29</v>
      </c>
      <c r="F143" s="20" t="s">
        <v>80</v>
      </c>
      <c r="G143" s="11">
        <v>11</v>
      </c>
      <c r="H143" s="18">
        <v>10</v>
      </c>
      <c r="I143" s="11">
        <v>31</v>
      </c>
      <c r="J143" s="11">
        <v>9.5</v>
      </c>
      <c r="K143" s="19">
        <v>64357</v>
      </c>
      <c r="L143" s="41">
        <v>0</v>
      </c>
      <c r="M143" s="43">
        <v>-12367.778035243</v>
      </c>
      <c r="N143" s="43"/>
      <c r="O143" s="43">
        <v>-230.050833333333</v>
      </c>
      <c r="P143" s="41">
        <v>-1555.29</v>
      </c>
      <c r="Q143" s="43">
        <v>0</v>
      </c>
      <c r="R143" s="43">
        <v>0</v>
      </c>
      <c r="S143" s="43">
        <v>0</v>
      </c>
      <c r="T143" s="43">
        <v>0</v>
      </c>
      <c r="U143" s="19" t="s">
        <v>295</v>
      </c>
      <c r="V143" s="13">
        <f t="shared" si="18"/>
        <v>50203.881131423666</v>
      </c>
      <c r="W143" s="13"/>
      <c r="X143" s="13"/>
      <c r="Y143" s="13"/>
      <c r="Z143" s="13"/>
      <c r="AA143" s="22">
        <v>45901</v>
      </c>
      <c r="AB143" s="22" cm="1">
        <f t="array" ref="AB1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43" s="4"/>
      <c r="AD143" s="4"/>
      <c r="AE143" s="2"/>
      <c r="AF143" s="3"/>
      <c r="AG143" s="3"/>
      <c r="AH143" s="3"/>
      <c r="AI143" s="3"/>
      <c r="AJ143" s="2">
        <f t="shared" si="19"/>
        <v>12367.778035243</v>
      </c>
      <c r="AK143" s="2">
        <f t="shared" si="20"/>
        <v>0</v>
      </c>
      <c r="AL143" s="2">
        <f t="shared" si="21"/>
        <v>14153.118868576334</v>
      </c>
      <c r="AM143" s="88"/>
      <c r="AN143" s="157" t="s">
        <v>774</v>
      </c>
    </row>
    <row r="144" spans="2:40" ht="23.15" customHeight="1" thickBot="1">
      <c r="B144" s="87"/>
      <c r="C144" s="2"/>
      <c r="D144" s="15" t="s">
        <v>11</v>
      </c>
      <c r="E144" s="20" t="s">
        <v>29</v>
      </c>
      <c r="F144" s="20" t="s">
        <v>80</v>
      </c>
      <c r="G144" s="11">
        <v>11</v>
      </c>
      <c r="H144" s="18">
        <v>10</v>
      </c>
      <c r="I144" s="18" t="s">
        <v>294</v>
      </c>
      <c r="J144" s="18" t="s">
        <v>294</v>
      </c>
      <c r="K144" s="19">
        <v>64357</v>
      </c>
      <c r="L144" s="41"/>
      <c r="M144" s="18" t="s">
        <v>294</v>
      </c>
      <c r="N144" s="43"/>
      <c r="O144" s="18" t="s">
        <v>294</v>
      </c>
      <c r="P144" s="41"/>
      <c r="Q144" s="43"/>
      <c r="R144" s="43"/>
      <c r="S144" s="43"/>
      <c r="T144" s="43"/>
      <c r="U144" s="19"/>
      <c r="V144" s="13">
        <f t="shared" si="18"/>
        <v>64357</v>
      </c>
      <c r="W144" s="13"/>
      <c r="X144" s="13"/>
      <c r="Y144" s="13"/>
      <c r="Z144" s="13"/>
      <c r="AA144" s="22">
        <v>45931</v>
      </c>
      <c r="AB144" s="22" cm="1">
        <f t="array" ref="AB1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44" s="4"/>
      <c r="AD144" s="4"/>
      <c r="AE144" s="2"/>
      <c r="AF144" s="3"/>
      <c r="AG144" s="3"/>
      <c r="AH144" s="3"/>
      <c r="AI144" s="3"/>
      <c r="AJ144" s="2">
        <f t="shared" si="19"/>
        <v>0</v>
      </c>
      <c r="AK144" s="2">
        <f t="shared" si="20"/>
        <v>0</v>
      </c>
      <c r="AL144" s="2">
        <f t="shared" si="21"/>
        <v>0</v>
      </c>
      <c r="AM144" s="88"/>
      <c r="AN144" s="157" t="s">
        <v>774</v>
      </c>
    </row>
    <row r="145" spans="2:40" ht="23.15" customHeight="1" thickBot="1">
      <c r="B145" s="87">
        <v>45903</v>
      </c>
      <c r="C145" s="2" t="s">
        <v>299</v>
      </c>
      <c r="D145" s="15" t="s">
        <v>11</v>
      </c>
      <c r="E145" s="20" t="s">
        <v>30</v>
      </c>
      <c r="F145" s="20" t="s">
        <v>56</v>
      </c>
      <c r="G145" s="11">
        <v>60</v>
      </c>
      <c r="H145" s="11">
        <v>52</v>
      </c>
      <c r="I145" s="18">
        <v>0</v>
      </c>
      <c r="J145" s="18">
        <v>0</v>
      </c>
      <c r="K145" s="19">
        <v>304741.5880962782</v>
      </c>
      <c r="L145" s="41">
        <v>0</v>
      </c>
      <c r="M145" s="43">
        <v>0</v>
      </c>
      <c r="N145" s="43">
        <v>0</v>
      </c>
      <c r="O145" s="43">
        <v>0</v>
      </c>
      <c r="P145" s="13">
        <v>-507.9</v>
      </c>
      <c r="Q145" s="43">
        <v>0</v>
      </c>
      <c r="R145" s="43">
        <v>0</v>
      </c>
      <c r="S145" s="43">
        <v>0</v>
      </c>
      <c r="T145" s="43">
        <v>0</v>
      </c>
      <c r="U145" s="19" t="s">
        <v>295</v>
      </c>
      <c r="V145" s="13">
        <f t="shared" si="18"/>
        <v>304233.68809627817</v>
      </c>
      <c r="W145" s="13"/>
      <c r="X145" s="13"/>
      <c r="Y145" s="13"/>
      <c r="Z145" s="13"/>
      <c r="AA145" s="22">
        <v>45870</v>
      </c>
      <c r="AB145" s="22" cm="1">
        <f t="array" ref="AB1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45" s="4"/>
      <c r="AD145" s="4"/>
      <c r="AE145" s="2"/>
      <c r="AF145" s="3"/>
      <c r="AG145" s="3"/>
      <c r="AH145" s="3"/>
      <c r="AI145" s="3"/>
      <c r="AJ145" s="2">
        <f t="shared" si="19"/>
        <v>0</v>
      </c>
      <c r="AK145" s="2">
        <f t="shared" si="20"/>
        <v>0</v>
      </c>
      <c r="AL145" s="2">
        <f t="shared" si="21"/>
        <v>507.90000000002328</v>
      </c>
      <c r="AM145" s="88"/>
      <c r="AN145" s="157" t="s">
        <v>774</v>
      </c>
    </row>
    <row r="146" spans="2:40" ht="23.15" customHeight="1" thickBot="1">
      <c r="B146" s="87">
        <v>45933</v>
      </c>
      <c r="C146" s="2" t="s">
        <v>295</v>
      </c>
      <c r="D146" s="15" t="s">
        <v>11</v>
      </c>
      <c r="E146" s="20" t="s">
        <v>30</v>
      </c>
      <c r="F146" s="20" t="s">
        <v>56</v>
      </c>
      <c r="G146" s="11">
        <v>60</v>
      </c>
      <c r="H146" s="11">
        <v>52</v>
      </c>
      <c r="I146" s="18">
        <v>1</v>
      </c>
      <c r="J146" s="18">
        <v>0</v>
      </c>
      <c r="K146" s="19">
        <v>304741.5880962782</v>
      </c>
      <c r="L146" s="41">
        <v>0</v>
      </c>
      <c r="M146" s="43">
        <v>-151.28</v>
      </c>
      <c r="N146" s="43"/>
      <c r="O146" s="43">
        <v>0</v>
      </c>
      <c r="P146" s="41">
        <v>0</v>
      </c>
      <c r="Q146" s="43">
        <v>0</v>
      </c>
      <c r="R146" s="43">
        <v>0</v>
      </c>
      <c r="S146" s="43">
        <v>0</v>
      </c>
      <c r="T146" s="43">
        <v>0</v>
      </c>
      <c r="U146" s="19" t="s">
        <v>295</v>
      </c>
      <c r="V146" s="13">
        <f t="shared" si="18"/>
        <v>304590.30809627817</v>
      </c>
      <c r="W146" s="13"/>
      <c r="X146" s="13"/>
      <c r="Y146" s="13"/>
      <c r="Z146" s="13"/>
      <c r="AA146" s="22">
        <v>45901</v>
      </c>
      <c r="AB146" s="22" cm="1">
        <f t="array" ref="AB1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46" s="4"/>
      <c r="AD146" s="4"/>
      <c r="AE146" s="2"/>
      <c r="AF146" s="3"/>
      <c r="AG146" s="3"/>
      <c r="AH146" s="3"/>
      <c r="AI146" s="3"/>
      <c r="AJ146" s="2">
        <f t="shared" si="19"/>
        <v>151.28</v>
      </c>
      <c r="AK146" s="2">
        <f t="shared" si="20"/>
        <v>0</v>
      </c>
      <c r="AL146" s="2">
        <f t="shared" si="21"/>
        <v>151.28000000002794</v>
      </c>
      <c r="AM146" s="88"/>
      <c r="AN146" s="157" t="s">
        <v>774</v>
      </c>
    </row>
    <row r="147" spans="2:40" ht="23.15" customHeight="1" thickBot="1">
      <c r="B147" s="87"/>
      <c r="C147" s="2"/>
      <c r="D147" s="15" t="s">
        <v>11</v>
      </c>
      <c r="E147" s="20" t="s">
        <v>30</v>
      </c>
      <c r="F147" s="20" t="s">
        <v>56</v>
      </c>
      <c r="G147" s="11">
        <v>60</v>
      </c>
      <c r="H147" s="11">
        <v>52</v>
      </c>
      <c r="I147" s="18" t="s">
        <v>294</v>
      </c>
      <c r="J147" s="18" t="s">
        <v>294</v>
      </c>
      <c r="K147" s="19">
        <v>304741.5880962782</v>
      </c>
      <c r="L147" s="41"/>
      <c r="M147" s="18" t="s">
        <v>294</v>
      </c>
      <c r="N147" s="43"/>
      <c r="O147" s="18" t="s">
        <v>294</v>
      </c>
      <c r="P147" s="41"/>
      <c r="Q147" s="43"/>
      <c r="R147" s="43"/>
      <c r="S147" s="43"/>
      <c r="T147" s="43">
        <v>-600</v>
      </c>
      <c r="U147" s="19"/>
      <c r="V147" s="13">
        <f t="shared" si="18"/>
        <v>304141.5880962782</v>
      </c>
      <c r="W147" s="13"/>
      <c r="X147" s="13"/>
      <c r="Y147" s="13"/>
      <c r="Z147" s="13"/>
      <c r="AA147" s="22">
        <v>45931</v>
      </c>
      <c r="AB147" s="22" cm="1">
        <f t="array" ref="AB1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47" s="4"/>
      <c r="AD147" s="4"/>
      <c r="AE147" s="2"/>
      <c r="AF147" s="3"/>
      <c r="AG147" s="3"/>
      <c r="AH147" s="3"/>
      <c r="AI147" s="3"/>
      <c r="AJ147" s="2">
        <f t="shared" si="19"/>
        <v>0</v>
      </c>
      <c r="AK147" s="2">
        <f t="shared" si="20"/>
        <v>0</v>
      </c>
      <c r="AL147" s="2">
        <f t="shared" si="21"/>
        <v>600</v>
      </c>
      <c r="AM147" s="88"/>
      <c r="AN147" s="157" t="s">
        <v>774</v>
      </c>
    </row>
    <row r="148" spans="2:40" ht="23.15" customHeight="1" thickBot="1">
      <c r="B148" s="87">
        <v>45904</v>
      </c>
      <c r="C148" s="2" t="s">
        <v>295</v>
      </c>
      <c r="D148" s="15" t="s">
        <v>11</v>
      </c>
      <c r="E148" s="20" t="s">
        <v>31</v>
      </c>
      <c r="F148" s="20" t="s">
        <v>40</v>
      </c>
      <c r="G148" s="11">
        <v>25</v>
      </c>
      <c r="H148" s="18">
        <v>25</v>
      </c>
      <c r="I148" s="18">
        <v>0</v>
      </c>
      <c r="J148" s="18">
        <v>42.97</v>
      </c>
      <c r="K148" s="19">
        <v>121624.34723530685</v>
      </c>
      <c r="L148" s="41">
        <v>0</v>
      </c>
      <c r="M148" s="41">
        <v>0</v>
      </c>
      <c r="N148" s="41">
        <v>0</v>
      </c>
      <c r="O148" s="41">
        <v>-906.49400000000003</v>
      </c>
      <c r="P148" s="41">
        <v>0</v>
      </c>
      <c r="Q148" s="43">
        <v>0</v>
      </c>
      <c r="R148" s="43">
        <v>0</v>
      </c>
      <c r="S148" s="43">
        <v>0</v>
      </c>
      <c r="T148" s="43">
        <v>0</v>
      </c>
      <c r="U148" s="19" t="s">
        <v>295</v>
      </c>
      <c r="V148" s="13">
        <f t="shared" si="18"/>
        <v>120717.85323530684</v>
      </c>
      <c r="W148" s="13"/>
      <c r="X148" s="13"/>
      <c r="Y148" s="13"/>
      <c r="Z148" s="13"/>
      <c r="AA148" s="22">
        <v>45870</v>
      </c>
      <c r="AB148" s="22" cm="1">
        <f t="array" ref="AB1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48" s="4"/>
      <c r="AD148" s="4"/>
      <c r="AE148" s="2"/>
      <c r="AF148" s="3"/>
      <c r="AG148" s="3"/>
      <c r="AH148" s="3"/>
      <c r="AI148" s="3"/>
      <c r="AJ148" s="2">
        <f t="shared" si="19"/>
        <v>0</v>
      </c>
      <c r="AK148" s="2">
        <f t="shared" si="20"/>
        <v>0</v>
      </c>
      <c r="AL148" s="2">
        <f t="shared" si="21"/>
        <v>906.49400000000605</v>
      </c>
      <c r="AM148" s="88"/>
      <c r="AN148" s="157" t="s">
        <v>774</v>
      </c>
    </row>
    <row r="149" spans="2:40" ht="23.15" customHeight="1" thickBot="1">
      <c r="B149" s="87">
        <v>45931</v>
      </c>
      <c r="C149" s="2" t="s">
        <v>295</v>
      </c>
      <c r="D149" s="15" t="s">
        <v>11</v>
      </c>
      <c r="E149" s="20" t="s">
        <v>31</v>
      </c>
      <c r="F149" s="20" t="s">
        <v>40</v>
      </c>
      <c r="G149" s="11">
        <v>25</v>
      </c>
      <c r="H149" s="18">
        <v>25</v>
      </c>
      <c r="I149" s="18">
        <v>0</v>
      </c>
      <c r="J149" s="18">
        <v>48.07</v>
      </c>
      <c r="K149" s="19">
        <v>121624.34723530685</v>
      </c>
      <c r="L149" s="41">
        <v>0</v>
      </c>
      <c r="M149" s="41">
        <v>0</v>
      </c>
      <c r="N149" s="41"/>
      <c r="O149" s="41">
        <v>-1011.32266666667</v>
      </c>
      <c r="P149" s="41">
        <v>0</v>
      </c>
      <c r="Q149" s="43">
        <v>0</v>
      </c>
      <c r="R149" s="43">
        <v>0</v>
      </c>
      <c r="S149" s="43">
        <v>0</v>
      </c>
      <c r="T149" s="43">
        <v>0</v>
      </c>
      <c r="U149" s="19" t="s">
        <v>295</v>
      </c>
      <c r="V149" s="13">
        <f t="shared" si="18"/>
        <v>120613.02456864018</v>
      </c>
      <c r="W149" s="13"/>
      <c r="X149" s="13"/>
      <c r="Y149" s="13"/>
      <c r="Z149" s="13"/>
      <c r="AA149" s="22">
        <v>45901</v>
      </c>
      <c r="AB149" s="22" cm="1">
        <f t="array" ref="AB1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49" s="4"/>
      <c r="AD149" s="4"/>
      <c r="AE149" s="2"/>
      <c r="AF149" s="3"/>
      <c r="AG149" s="3"/>
      <c r="AH149" s="3"/>
      <c r="AI149" s="3"/>
      <c r="AJ149" s="2">
        <f t="shared" si="19"/>
        <v>0</v>
      </c>
      <c r="AK149" s="2">
        <f t="shared" si="20"/>
        <v>0</v>
      </c>
      <c r="AL149" s="2">
        <f t="shared" si="21"/>
        <v>1011.3226666666742</v>
      </c>
      <c r="AM149" s="88"/>
      <c r="AN149" s="157" t="s">
        <v>774</v>
      </c>
    </row>
    <row r="150" spans="2:40" ht="23.15" customHeight="1" thickBot="1">
      <c r="B150" s="87"/>
      <c r="C150" s="2"/>
      <c r="D150" s="15" t="s">
        <v>11</v>
      </c>
      <c r="E150" s="20" t="s">
        <v>31</v>
      </c>
      <c r="F150" s="20" t="s">
        <v>40</v>
      </c>
      <c r="G150" s="11">
        <v>25</v>
      </c>
      <c r="H150" s="18">
        <v>25</v>
      </c>
      <c r="I150" s="18" t="s">
        <v>294</v>
      </c>
      <c r="J150" s="18" t="s">
        <v>294</v>
      </c>
      <c r="K150" s="19">
        <v>121624.34723530685</v>
      </c>
      <c r="L150" s="41"/>
      <c r="M150" s="18" t="s">
        <v>294</v>
      </c>
      <c r="N150" s="41"/>
      <c r="O150" s="18" t="s">
        <v>294</v>
      </c>
      <c r="P150" s="41"/>
      <c r="Q150" s="43"/>
      <c r="R150" s="43"/>
      <c r="S150" s="43"/>
      <c r="T150" s="43"/>
      <c r="U150" s="19"/>
      <c r="V150" s="13">
        <f t="shared" si="18"/>
        <v>121624.34723530685</v>
      </c>
      <c r="W150" s="13"/>
      <c r="X150" s="13"/>
      <c r="Y150" s="13"/>
      <c r="Z150" s="13"/>
      <c r="AA150" s="22">
        <v>45931</v>
      </c>
      <c r="AB150" s="22" cm="1">
        <f t="array" ref="AB1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50" s="4"/>
      <c r="AD150" s="4"/>
      <c r="AE150" s="2"/>
      <c r="AF150" s="3"/>
      <c r="AG150" s="3"/>
      <c r="AH150" s="3"/>
      <c r="AI150" s="3"/>
      <c r="AJ150" s="2">
        <f t="shared" si="19"/>
        <v>0</v>
      </c>
      <c r="AK150" s="2">
        <f t="shared" si="20"/>
        <v>0</v>
      </c>
      <c r="AL150" s="2">
        <f t="shared" si="21"/>
        <v>0</v>
      </c>
      <c r="AM150" s="88"/>
      <c r="AN150" s="157" t="s">
        <v>774</v>
      </c>
    </row>
    <row r="151" spans="2:40" ht="23.15" customHeight="1" thickBot="1">
      <c r="B151" s="87">
        <v>45903</v>
      </c>
      <c r="C151" s="2" t="s">
        <v>295</v>
      </c>
      <c r="D151" s="15" t="s">
        <v>11</v>
      </c>
      <c r="E151" s="20" t="s">
        <v>35</v>
      </c>
      <c r="F151" s="20" t="s">
        <v>56</v>
      </c>
      <c r="G151" s="11">
        <v>6</v>
      </c>
      <c r="H151" s="11">
        <v>6</v>
      </c>
      <c r="I151" s="18">
        <v>0</v>
      </c>
      <c r="J151" s="18">
        <v>0</v>
      </c>
      <c r="K151" s="19">
        <v>34666.010151130125</v>
      </c>
      <c r="L151" s="41">
        <v>0</v>
      </c>
      <c r="M151" s="41">
        <v>0</v>
      </c>
      <c r="N151" s="41">
        <v>0</v>
      </c>
      <c r="O151" s="41">
        <v>0</v>
      </c>
      <c r="P151" s="41">
        <v>0</v>
      </c>
      <c r="Q151" s="43">
        <v>0</v>
      </c>
      <c r="R151" s="43">
        <v>0</v>
      </c>
      <c r="S151" s="43">
        <v>0</v>
      </c>
      <c r="T151" s="43">
        <v>0</v>
      </c>
      <c r="U151" s="19" t="s">
        <v>295</v>
      </c>
      <c r="V151" s="13">
        <f t="shared" si="18"/>
        <v>34666.010151130125</v>
      </c>
      <c r="W151" s="13"/>
      <c r="X151" s="13"/>
      <c r="Y151" s="13"/>
      <c r="Z151" s="13"/>
      <c r="AA151" s="22">
        <v>45870</v>
      </c>
      <c r="AB151" s="22" cm="1">
        <f t="array" ref="AB1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51" s="4"/>
      <c r="AD151" s="4"/>
      <c r="AE151" s="2"/>
      <c r="AF151" s="3"/>
      <c r="AG151" s="3"/>
      <c r="AH151" s="3"/>
      <c r="AI151" s="3"/>
      <c r="AJ151" s="2">
        <f t="shared" si="19"/>
        <v>0</v>
      </c>
      <c r="AK151" s="2">
        <f t="shared" si="20"/>
        <v>0</v>
      </c>
      <c r="AL151" s="2">
        <f t="shared" si="21"/>
        <v>0</v>
      </c>
      <c r="AM151" s="88"/>
      <c r="AN151" s="157" t="s">
        <v>774</v>
      </c>
    </row>
    <row r="152" spans="2:40" ht="23.15" customHeight="1" thickBot="1">
      <c r="B152" s="87">
        <v>45933</v>
      </c>
      <c r="C152" s="2" t="s">
        <v>295</v>
      </c>
      <c r="D152" s="15" t="s">
        <v>11</v>
      </c>
      <c r="E152" s="20" t="s">
        <v>35</v>
      </c>
      <c r="F152" s="20" t="s">
        <v>56</v>
      </c>
      <c r="G152" s="11">
        <v>6</v>
      </c>
      <c r="H152" s="11">
        <v>6</v>
      </c>
      <c r="I152" s="18">
        <v>0</v>
      </c>
      <c r="J152" s="18">
        <v>0</v>
      </c>
      <c r="K152" s="19">
        <v>34666.010151130125</v>
      </c>
      <c r="L152" s="41">
        <v>0</v>
      </c>
      <c r="M152" s="41">
        <v>0</v>
      </c>
      <c r="N152" s="41"/>
      <c r="O152" s="41">
        <v>0</v>
      </c>
      <c r="P152" s="41">
        <v>0</v>
      </c>
      <c r="Q152" s="43">
        <v>0</v>
      </c>
      <c r="R152" s="43">
        <v>0</v>
      </c>
      <c r="S152" s="43">
        <v>0</v>
      </c>
      <c r="T152" s="43">
        <v>0</v>
      </c>
      <c r="U152" s="19" t="s">
        <v>295</v>
      </c>
      <c r="V152" s="13">
        <f t="shared" si="18"/>
        <v>34666.010151130125</v>
      </c>
      <c r="W152" s="13"/>
      <c r="X152" s="13"/>
      <c r="Y152" s="13"/>
      <c r="Z152" s="13"/>
      <c r="AA152" s="22">
        <v>45901</v>
      </c>
      <c r="AB152" s="22" cm="1">
        <f t="array" ref="AB1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52" s="4"/>
      <c r="AD152" s="4"/>
      <c r="AE152" s="2"/>
      <c r="AF152" s="3"/>
      <c r="AG152" s="3"/>
      <c r="AH152" s="3"/>
      <c r="AI152" s="3"/>
      <c r="AJ152" s="2">
        <f t="shared" si="19"/>
        <v>0</v>
      </c>
      <c r="AK152" s="2">
        <f t="shared" si="20"/>
        <v>0</v>
      </c>
      <c r="AL152" s="2">
        <f t="shared" si="21"/>
        <v>0</v>
      </c>
      <c r="AM152" s="88"/>
      <c r="AN152" s="157" t="s">
        <v>774</v>
      </c>
    </row>
    <row r="153" spans="2:40" ht="23.15" customHeight="1" thickBot="1">
      <c r="B153" s="87"/>
      <c r="C153" s="2"/>
      <c r="D153" s="15" t="s">
        <v>11</v>
      </c>
      <c r="E153" s="20" t="s">
        <v>35</v>
      </c>
      <c r="F153" s="20" t="s">
        <v>56</v>
      </c>
      <c r="G153" s="11">
        <v>6</v>
      </c>
      <c r="H153" s="11">
        <v>6</v>
      </c>
      <c r="I153" s="18" t="s">
        <v>294</v>
      </c>
      <c r="J153" s="18" t="s">
        <v>294</v>
      </c>
      <c r="K153" s="19">
        <v>34666.010151130125</v>
      </c>
      <c r="L153" s="41"/>
      <c r="M153" s="18" t="s">
        <v>294</v>
      </c>
      <c r="N153" s="41"/>
      <c r="O153" s="18" t="s">
        <v>294</v>
      </c>
      <c r="P153" s="41"/>
      <c r="Q153" s="43"/>
      <c r="R153" s="43"/>
      <c r="S153" s="43"/>
      <c r="T153" s="43"/>
      <c r="U153" s="19"/>
      <c r="V153" s="13">
        <f t="shared" si="18"/>
        <v>34666.010151130125</v>
      </c>
      <c r="W153" s="13"/>
      <c r="X153" s="13"/>
      <c r="Y153" s="13"/>
      <c r="Z153" s="13"/>
      <c r="AA153" s="22">
        <v>45931</v>
      </c>
      <c r="AB153" s="22" cm="1">
        <f t="array" ref="AB1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53" s="4"/>
      <c r="AD153" s="4"/>
      <c r="AE153" s="2"/>
      <c r="AF153" s="3"/>
      <c r="AG153" s="3"/>
      <c r="AH153" s="3"/>
      <c r="AI153" s="3"/>
      <c r="AJ153" s="2">
        <f t="shared" si="19"/>
        <v>0</v>
      </c>
      <c r="AK153" s="2">
        <f t="shared" si="20"/>
        <v>0</v>
      </c>
      <c r="AL153" s="2">
        <f t="shared" si="21"/>
        <v>0</v>
      </c>
      <c r="AM153" s="88"/>
      <c r="AN153" s="157" t="s">
        <v>774</v>
      </c>
    </row>
    <row r="154" spans="2:40" ht="23.15" customHeight="1" thickBot="1">
      <c r="B154" s="87"/>
      <c r="C154" s="2"/>
      <c r="D154" s="15" t="s">
        <v>11</v>
      </c>
      <c r="E154" s="20" t="s">
        <v>28</v>
      </c>
      <c r="F154" s="20" t="s">
        <v>37</v>
      </c>
      <c r="G154" s="11">
        <v>28</v>
      </c>
      <c r="H154" s="18"/>
      <c r="I154" s="18"/>
      <c r="J154" s="18"/>
      <c r="K154" s="19"/>
      <c r="L154" s="41"/>
      <c r="M154" s="41"/>
      <c r="N154" s="41"/>
      <c r="O154" s="41"/>
      <c r="P154" s="41"/>
      <c r="Q154" s="43"/>
      <c r="R154" s="43"/>
      <c r="S154" s="43"/>
      <c r="T154" s="43"/>
      <c r="U154" s="19"/>
      <c r="V154" s="13">
        <f t="shared" si="18"/>
        <v>0</v>
      </c>
      <c r="W154" s="13"/>
      <c r="X154" s="13"/>
      <c r="Y154" s="13"/>
      <c r="Z154" s="13"/>
      <c r="AA154" s="22">
        <v>45962</v>
      </c>
      <c r="AB154" s="22" cm="1">
        <f t="array" ref="AB1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4" s="4"/>
      <c r="AD154" s="4"/>
      <c r="AE154" s="2"/>
      <c r="AF154" s="3"/>
      <c r="AG154" s="3"/>
      <c r="AH154" s="3"/>
      <c r="AI154" s="3"/>
      <c r="AJ154" s="2">
        <f t="shared" si="19"/>
        <v>0</v>
      </c>
      <c r="AK154" s="2">
        <f t="shared" si="20"/>
        <v>0</v>
      </c>
      <c r="AL154" s="2">
        <f t="shared" si="21"/>
        <v>0</v>
      </c>
      <c r="AM154" s="88"/>
      <c r="AN154" s="157" t="s">
        <v>774</v>
      </c>
    </row>
    <row r="155" spans="2:40" ht="23.15" customHeight="1" thickBot="1">
      <c r="B155" s="87"/>
      <c r="C155" s="2"/>
      <c r="D155" s="15" t="s">
        <v>11</v>
      </c>
      <c r="E155" s="20" t="s">
        <v>29</v>
      </c>
      <c r="F155" s="20" t="s">
        <v>80</v>
      </c>
      <c r="G155" s="11">
        <v>11</v>
      </c>
      <c r="H155" s="11"/>
      <c r="I155" s="18"/>
      <c r="J155" s="18"/>
      <c r="K155" s="19"/>
      <c r="L155" s="41"/>
      <c r="M155" s="41"/>
      <c r="N155" s="41"/>
      <c r="O155" s="41"/>
      <c r="P155" s="41"/>
      <c r="Q155" s="43"/>
      <c r="R155" s="43"/>
      <c r="S155" s="43"/>
      <c r="T155" s="43"/>
      <c r="U155" s="19"/>
      <c r="V155" s="13">
        <f t="shared" si="18"/>
        <v>0</v>
      </c>
      <c r="W155" s="13"/>
      <c r="X155" s="13"/>
      <c r="Y155" s="13"/>
      <c r="Z155" s="13"/>
      <c r="AA155" s="22">
        <v>45962</v>
      </c>
      <c r="AB155" s="22" cm="1">
        <f t="array" ref="AB1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5" s="4"/>
      <c r="AD155" s="4"/>
      <c r="AE155" s="2"/>
      <c r="AF155" s="3"/>
      <c r="AG155" s="3"/>
      <c r="AH155" s="3"/>
      <c r="AI155" s="3"/>
      <c r="AJ155" s="2">
        <f t="shared" si="19"/>
        <v>0</v>
      </c>
      <c r="AK155" s="2">
        <f t="shared" si="20"/>
        <v>0</v>
      </c>
      <c r="AL155" s="2">
        <f t="shared" si="21"/>
        <v>0</v>
      </c>
      <c r="AM155" s="88"/>
      <c r="AN155" s="157" t="s">
        <v>774</v>
      </c>
    </row>
    <row r="156" spans="2:40" ht="23.15" customHeight="1" thickBot="1">
      <c r="B156" s="87"/>
      <c r="C156" s="2"/>
      <c r="D156" s="15" t="s">
        <v>11</v>
      </c>
      <c r="E156" s="20" t="s">
        <v>30</v>
      </c>
      <c r="F156" s="20" t="s">
        <v>56</v>
      </c>
      <c r="G156" s="11">
        <v>60</v>
      </c>
      <c r="H156" s="18"/>
      <c r="I156" s="18"/>
      <c r="J156" s="18"/>
      <c r="K156" s="19"/>
      <c r="L156" s="41"/>
      <c r="M156" s="41"/>
      <c r="N156" s="41"/>
      <c r="O156" s="41"/>
      <c r="P156" s="41"/>
      <c r="Q156" s="43"/>
      <c r="R156" s="43"/>
      <c r="S156" s="43"/>
      <c r="T156" s="43"/>
      <c r="U156" s="19"/>
      <c r="V156" s="13">
        <f t="shared" si="18"/>
        <v>0</v>
      </c>
      <c r="W156" s="13"/>
      <c r="X156" s="13"/>
      <c r="Y156" s="13"/>
      <c r="Z156" s="13"/>
      <c r="AA156" s="22">
        <v>45962</v>
      </c>
      <c r="AB156" s="22" cm="1">
        <f t="array" ref="AB1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6" s="4"/>
      <c r="AD156" s="4"/>
      <c r="AE156" s="2"/>
      <c r="AF156" s="3"/>
      <c r="AG156" s="3"/>
      <c r="AH156" s="3"/>
      <c r="AI156" s="3"/>
      <c r="AJ156" s="2">
        <f t="shared" si="19"/>
        <v>0</v>
      </c>
      <c r="AK156" s="2">
        <f t="shared" si="20"/>
        <v>0</v>
      </c>
      <c r="AL156" s="2">
        <f t="shared" si="21"/>
        <v>0</v>
      </c>
      <c r="AM156" s="88"/>
      <c r="AN156" s="157" t="s">
        <v>774</v>
      </c>
    </row>
    <row r="157" spans="2:40" ht="23.15" customHeight="1" thickBot="1">
      <c r="B157" s="87"/>
      <c r="C157" s="2"/>
      <c r="D157" s="15" t="s">
        <v>11</v>
      </c>
      <c r="E157" s="20" t="s">
        <v>31</v>
      </c>
      <c r="F157" s="20" t="s">
        <v>40</v>
      </c>
      <c r="G157" s="11">
        <v>25</v>
      </c>
      <c r="H157" s="18"/>
      <c r="I157" s="18"/>
      <c r="J157" s="18"/>
      <c r="K157" s="19"/>
      <c r="L157" s="41"/>
      <c r="M157" s="41"/>
      <c r="N157" s="41"/>
      <c r="O157" s="41"/>
      <c r="P157" s="41"/>
      <c r="Q157" s="43"/>
      <c r="R157" s="43"/>
      <c r="S157" s="43"/>
      <c r="T157" s="43"/>
      <c r="U157" s="19"/>
      <c r="V157" s="13">
        <f t="shared" si="18"/>
        <v>0</v>
      </c>
      <c r="W157" s="13"/>
      <c r="X157" s="13"/>
      <c r="Y157" s="13"/>
      <c r="Z157" s="13"/>
      <c r="AA157" s="22">
        <v>45962</v>
      </c>
      <c r="AB157" s="22" cm="1">
        <f t="array" ref="AB1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7" s="4"/>
      <c r="AD157" s="4"/>
      <c r="AE157" s="2"/>
      <c r="AF157" s="3"/>
      <c r="AG157" s="3"/>
      <c r="AH157" s="3"/>
      <c r="AI157" s="3"/>
      <c r="AJ157" s="2">
        <f t="shared" si="19"/>
        <v>0</v>
      </c>
      <c r="AK157" s="2">
        <f t="shared" si="20"/>
        <v>0</v>
      </c>
      <c r="AL157" s="2">
        <f t="shared" si="21"/>
        <v>0</v>
      </c>
      <c r="AM157" s="88"/>
      <c r="AN157" s="157" t="s">
        <v>774</v>
      </c>
    </row>
    <row r="158" spans="2:40" ht="23.15" customHeight="1" thickBot="1">
      <c r="B158" s="87"/>
      <c r="C158" s="2"/>
      <c r="D158" s="15" t="s">
        <v>11</v>
      </c>
      <c r="E158" s="20" t="s">
        <v>35</v>
      </c>
      <c r="F158" s="20" t="s">
        <v>56</v>
      </c>
      <c r="G158" s="11">
        <v>6</v>
      </c>
      <c r="H158" s="18"/>
      <c r="I158" s="18"/>
      <c r="J158" s="18"/>
      <c r="K158" s="19"/>
      <c r="L158" s="41"/>
      <c r="M158" s="41"/>
      <c r="N158" s="41"/>
      <c r="O158" s="41"/>
      <c r="P158" s="41"/>
      <c r="Q158" s="43"/>
      <c r="R158" s="43"/>
      <c r="S158" s="43"/>
      <c r="T158" s="43"/>
      <c r="U158" s="19"/>
      <c r="V158" s="13">
        <f t="shared" si="18"/>
        <v>0</v>
      </c>
      <c r="W158" s="13"/>
      <c r="X158" s="13"/>
      <c r="Y158" s="13"/>
      <c r="Z158" s="13"/>
      <c r="AA158" s="22">
        <v>45962</v>
      </c>
      <c r="AB158" s="22" cm="1">
        <f t="array" ref="AB1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8" s="4"/>
      <c r="AD158" s="4"/>
      <c r="AE158" s="2"/>
      <c r="AF158" s="3"/>
      <c r="AG158" s="3"/>
      <c r="AH158" s="3"/>
      <c r="AI158" s="3"/>
      <c r="AJ158" s="2">
        <f t="shared" si="19"/>
        <v>0</v>
      </c>
      <c r="AK158" s="2">
        <f t="shared" si="20"/>
        <v>0</v>
      </c>
      <c r="AL158" s="2">
        <f t="shared" si="21"/>
        <v>0</v>
      </c>
      <c r="AM158" s="88"/>
      <c r="AN158" s="157" t="s">
        <v>774</v>
      </c>
    </row>
    <row r="159" spans="2:40" ht="23.15" customHeight="1" thickBot="1">
      <c r="B159" s="87"/>
      <c r="C159" s="2"/>
      <c r="D159" s="15" t="s">
        <v>11</v>
      </c>
      <c r="E159" s="20" t="s">
        <v>32</v>
      </c>
      <c r="F159" s="20" t="s">
        <v>40</v>
      </c>
      <c r="G159" s="11">
        <v>18</v>
      </c>
      <c r="H159" s="18"/>
      <c r="I159" s="18"/>
      <c r="J159" s="18"/>
      <c r="K159" s="19"/>
      <c r="L159" s="41"/>
      <c r="M159" s="41"/>
      <c r="N159" s="41"/>
      <c r="O159" s="41"/>
      <c r="P159" s="41"/>
      <c r="Q159" s="43"/>
      <c r="R159" s="43"/>
      <c r="S159" s="43"/>
      <c r="T159" s="43"/>
      <c r="U159" s="19"/>
      <c r="V159" s="13">
        <f t="shared" si="18"/>
        <v>0</v>
      </c>
      <c r="W159" s="13"/>
      <c r="X159" s="13"/>
      <c r="Y159" s="13"/>
      <c r="Z159" s="13"/>
      <c r="AA159" s="22">
        <v>45962</v>
      </c>
      <c r="AB159" s="22" cm="1">
        <f t="array" ref="AB1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9" s="4"/>
      <c r="AD159" s="4"/>
      <c r="AE159" s="2"/>
      <c r="AF159" s="3"/>
      <c r="AG159" s="3"/>
      <c r="AH159" s="3"/>
      <c r="AI159" s="3"/>
      <c r="AJ159" s="2">
        <f t="shared" si="19"/>
        <v>0</v>
      </c>
      <c r="AK159" s="2">
        <f t="shared" si="20"/>
        <v>0</v>
      </c>
      <c r="AL159" s="2">
        <f t="shared" si="21"/>
        <v>0</v>
      </c>
      <c r="AM159" s="88"/>
      <c r="AN159" s="157" t="s">
        <v>774</v>
      </c>
    </row>
    <row r="160" spans="2:40" ht="23.15" customHeight="1" thickBot="1">
      <c r="B160" s="87"/>
      <c r="C160" s="2"/>
      <c r="D160" s="15" t="s">
        <v>11</v>
      </c>
      <c r="E160" s="20" t="s">
        <v>28</v>
      </c>
      <c r="F160" s="20" t="s">
        <v>37</v>
      </c>
      <c r="G160" s="11">
        <v>28</v>
      </c>
      <c r="H160" s="18"/>
      <c r="I160" s="18"/>
      <c r="J160" s="18"/>
      <c r="K160" s="19"/>
      <c r="L160" s="41"/>
      <c r="M160" s="41"/>
      <c r="N160" s="41"/>
      <c r="O160" s="41"/>
      <c r="P160" s="41"/>
      <c r="Q160" s="43"/>
      <c r="R160" s="43"/>
      <c r="S160" s="43"/>
      <c r="T160" s="43"/>
      <c r="U160" s="19"/>
      <c r="V160" s="13">
        <f t="shared" si="18"/>
        <v>0</v>
      </c>
      <c r="W160" s="13"/>
      <c r="X160" s="13"/>
      <c r="Y160" s="13"/>
      <c r="Z160" s="13"/>
      <c r="AA160" s="22">
        <v>45992</v>
      </c>
      <c r="AB160" s="22" cm="1">
        <f t="array" ref="AB1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0" s="4"/>
      <c r="AD160" s="4"/>
      <c r="AE160" s="2"/>
      <c r="AF160" s="3"/>
      <c r="AG160" s="3"/>
      <c r="AH160" s="3"/>
      <c r="AI160" s="3"/>
      <c r="AJ160" s="2">
        <f t="shared" si="19"/>
        <v>0</v>
      </c>
      <c r="AK160" s="2">
        <f t="shared" si="20"/>
        <v>0</v>
      </c>
      <c r="AL160" s="2">
        <f t="shared" si="21"/>
        <v>0</v>
      </c>
      <c r="AM160" s="88"/>
      <c r="AN160" s="157" t="s">
        <v>774</v>
      </c>
    </row>
    <row r="161" spans="2:40" ht="23.15" customHeight="1" thickBot="1">
      <c r="B161" s="87"/>
      <c r="C161" s="2"/>
      <c r="D161" s="15" t="s">
        <v>11</v>
      </c>
      <c r="E161" s="20" t="s">
        <v>29</v>
      </c>
      <c r="F161" s="20" t="s">
        <v>80</v>
      </c>
      <c r="G161" s="11">
        <v>11</v>
      </c>
      <c r="H161" s="11"/>
      <c r="I161" s="18"/>
      <c r="J161" s="18"/>
      <c r="K161" s="19"/>
      <c r="L161" s="41"/>
      <c r="M161" s="41"/>
      <c r="N161" s="41"/>
      <c r="O161" s="41"/>
      <c r="P161" s="41"/>
      <c r="Q161" s="43"/>
      <c r="R161" s="43"/>
      <c r="S161" s="43"/>
      <c r="T161" s="43"/>
      <c r="U161" s="19"/>
      <c r="V161" s="13">
        <f t="shared" si="18"/>
        <v>0</v>
      </c>
      <c r="W161" s="13"/>
      <c r="X161" s="13"/>
      <c r="Y161" s="13"/>
      <c r="Z161" s="13"/>
      <c r="AA161" s="22">
        <v>45992</v>
      </c>
      <c r="AB161" s="22" cm="1">
        <f t="array" ref="AB1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1" s="4"/>
      <c r="AD161" s="4"/>
      <c r="AE161" s="2"/>
      <c r="AF161" s="3"/>
      <c r="AG161" s="3"/>
      <c r="AH161" s="3"/>
      <c r="AI161" s="3"/>
      <c r="AJ161" s="2">
        <f t="shared" si="19"/>
        <v>0</v>
      </c>
      <c r="AK161" s="2">
        <f t="shared" si="20"/>
        <v>0</v>
      </c>
      <c r="AL161" s="2">
        <f t="shared" si="21"/>
        <v>0</v>
      </c>
      <c r="AM161" s="88"/>
      <c r="AN161" s="157" t="s">
        <v>774</v>
      </c>
    </row>
    <row r="162" spans="2:40" ht="23.15" customHeight="1" thickBot="1">
      <c r="B162" s="87"/>
      <c r="C162" s="2"/>
      <c r="D162" s="15" t="s">
        <v>11</v>
      </c>
      <c r="E162" s="20" t="s">
        <v>30</v>
      </c>
      <c r="F162" s="20" t="s">
        <v>56</v>
      </c>
      <c r="G162" s="11">
        <v>60</v>
      </c>
      <c r="H162" s="11"/>
      <c r="I162" s="18"/>
      <c r="J162" s="18"/>
      <c r="K162" s="19"/>
      <c r="L162" s="41"/>
      <c r="M162" s="41"/>
      <c r="N162" s="41"/>
      <c r="O162" s="41"/>
      <c r="P162" s="41"/>
      <c r="Q162" s="43"/>
      <c r="R162" s="43"/>
      <c r="S162" s="43"/>
      <c r="T162" s="43"/>
      <c r="U162" s="19"/>
      <c r="V162" s="13">
        <f t="shared" si="18"/>
        <v>0</v>
      </c>
      <c r="W162" s="13"/>
      <c r="X162" s="13"/>
      <c r="Y162" s="13"/>
      <c r="Z162" s="13"/>
      <c r="AA162" s="22">
        <v>45992</v>
      </c>
      <c r="AB162" s="22" cm="1">
        <f t="array" ref="AB1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2" s="4"/>
      <c r="AD162" s="4"/>
      <c r="AE162" s="2"/>
      <c r="AF162" s="3"/>
      <c r="AG162" s="3"/>
      <c r="AH162" s="3"/>
      <c r="AI162" s="3"/>
      <c r="AJ162" s="2">
        <f t="shared" si="19"/>
        <v>0</v>
      </c>
      <c r="AK162" s="2">
        <f t="shared" si="20"/>
        <v>0</v>
      </c>
      <c r="AL162" s="2">
        <f t="shared" si="21"/>
        <v>0</v>
      </c>
      <c r="AM162" s="88"/>
      <c r="AN162" s="157" t="s">
        <v>774</v>
      </c>
    </row>
    <row r="163" spans="2:40" ht="23.15" customHeight="1" thickBot="1">
      <c r="B163" s="87"/>
      <c r="C163" s="2"/>
      <c r="D163" s="15" t="s">
        <v>11</v>
      </c>
      <c r="E163" s="20" t="s">
        <v>31</v>
      </c>
      <c r="F163" s="20" t="s">
        <v>40</v>
      </c>
      <c r="G163" s="11">
        <v>25</v>
      </c>
      <c r="H163" s="18"/>
      <c r="I163" s="18"/>
      <c r="J163" s="18"/>
      <c r="K163" s="19"/>
      <c r="L163" s="41"/>
      <c r="M163" s="41"/>
      <c r="N163" s="41"/>
      <c r="O163" s="41"/>
      <c r="P163" s="41"/>
      <c r="Q163" s="43"/>
      <c r="R163" s="43"/>
      <c r="S163" s="43"/>
      <c r="T163" s="43"/>
      <c r="U163" s="19"/>
      <c r="V163" s="13">
        <f t="shared" si="18"/>
        <v>0</v>
      </c>
      <c r="W163" s="13"/>
      <c r="X163" s="13"/>
      <c r="Y163" s="13"/>
      <c r="Z163" s="13"/>
      <c r="AA163" s="22">
        <v>45992</v>
      </c>
      <c r="AB163" s="22" cm="1">
        <f t="array" ref="AB1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3" s="4"/>
      <c r="AD163" s="4"/>
      <c r="AE163" s="2"/>
      <c r="AF163" s="3"/>
      <c r="AG163" s="3"/>
      <c r="AH163" s="3"/>
      <c r="AI163" s="3"/>
      <c r="AJ163" s="2">
        <f t="shared" si="19"/>
        <v>0</v>
      </c>
      <c r="AK163" s="2">
        <f t="shared" si="20"/>
        <v>0</v>
      </c>
      <c r="AL163" s="2">
        <f t="shared" si="21"/>
        <v>0</v>
      </c>
      <c r="AM163" s="88"/>
      <c r="AN163" s="157" t="s">
        <v>774</v>
      </c>
    </row>
    <row r="164" spans="2:40" ht="23.15" customHeight="1" thickBot="1">
      <c r="B164" s="87"/>
      <c r="C164" s="2"/>
      <c r="D164" s="15" t="s">
        <v>11</v>
      </c>
      <c r="E164" s="20" t="s">
        <v>35</v>
      </c>
      <c r="F164" s="20" t="s">
        <v>56</v>
      </c>
      <c r="G164" s="11">
        <v>6</v>
      </c>
      <c r="H164" s="18"/>
      <c r="I164" s="18"/>
      <c r="J164" s="18"/>
      <c r="K164" s="19"/>
      <c r="L164" s="41"/>
      <c r="M164" s="41"/>
      <c r="N164" s="41"/>
      <c r="O164" s="41"/>
      <c r="P164" s="41"/>
      <c r="Q164" s="43"/>
      <c r="R164" s="43"/>
      <c r="S164" s="43"/>
      <c r="T164" s="43"/>
      <c r="U164" s="19"/>
      <c r="V164" s="13">
        <f t="shared" si="18"/>
        <v>0</v>
      </c>
      <c r="W164" s="13"/>
      <c r="X164" s="13"/>
      <c r="Y164" s="13"/>
      <c r="Z164" s="13"/>
      <c r="AA164" s="22">
        <v>45992</v>
      </c>
      <c r="AB164" s="22" cm="1">
        <f t="array" ref="AB1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4" s="4"/>
      <c r="AD164" s="4"/>
      <c r="AE164" s="2"/>
      <c r="AF164" s="3"/>
      <c r="AG164" s="3"/>
      <c r="AH164" s="3"/>
      <c r="AI164" s="3"/>
      <c r="AJ164" s="2">
        <f t="shared" si="19"/>
        <v>0</v>
      </c>
      <c r="AK164" s="2">
        <f t="shared" si="20"/>
        <v>0</v>
      </c>
      <c r="AL164" s="2">
        <f t="shared" si="21"/>
        <v>0</v>
      </c>
      <c r="AM164" s="88"/>
      <c r="AN164" s="157" t="s">
        <v>774</v>
      </c>
    </row>
    <row r="165" spans="2:40" ht="23.15" customHeight="1" thickBot="1">
      <c r="B165" s="87"/>
      <c r="C165" s="2"/>
      <c r="D165" s="15" t="s">
        <v>11</v>
      </c>
      <c r="E165" s="20" t="s">
        <v>32</v>
      </c>
      <c r="F165" s="20" t="s">
        <v>40</v>
      </c>
      <c r="G165" s="11">
        <v>18</v>
      </c>
      <c r="H165" s="18"/>
      <c r="I165" s="18"/>
      <c r="J165" s="18"/>
      <c r="K165" s="19"/>
      <c r="L165" s="41"/>
      <c r="M165" s="41"/>
      <c r="N165" s="41"/>
      <c r="O165" s="41"/>
      <c r="P165" s="41"/>
      <c r="Q165" s="43"/>
      <c r="R165" s="43"/>
      <c r="S165" s="43"/>
      <c r="T165" s="43"/>
      <c r="U165" s="19"/>
      <c r="V165" s="13">
        <f t="shared" si="18"/>
        <v>0</v>
      </c>
      <c r="W165" s="13"/>
      <c r="X165" s="13"/>
      <c r="Y165" s="13"/>
      <c r="Z165" s="13"/>
      <c r="AA165" s="22">
        <v>45992</v>
      </c>
      <c r="AB165" s="22" cm="1">
        <f t="array" ref="AB1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5" s="4"/>
      <c r="AD165" s="4"/>
      <c r="AE165" s="2"/>
      <c r="AF165" s="3"/>
      <c r="AG165" s="3"/>
      <c r="AH165" s="3"/>
      <c r="AI165" s="3"/>
      <c r="AJ165" s="2">
        <f t="shared" si="19"/>
        <v>0</v>
      </c>
      <c r="AK165" s="2">
        <f t="shared" si="20"/>
        <v>0</v>
      </c>
      <c r="AL165" s="2">
        <f t="shared" si="21"/>
        <v>0</v>
      </c>
      <c r="AM165" s="88"/>
      <c r="AN165" s="157" t="s">
        <v>774</v>
      </c>
    </row>
    <row r="166" spans="2:40" ht="23.15" customHeight="1" thickBot="1">
      <c r="B166" s="87">
        <v>45911</v>
      </c>
      <c r="C166" s="2" t="s">
        <v>295</v>
      </c>
      <c r="D166" s="15" t="s">
        <v>12</v>
      </c>
      <c r="E166" s="20" t="s">
        <v>28</v>
      </c>
      <c r="F166" s="20" t="s">
        <v>37</v>
      </c>
      <c r="G166" s="11">
        <v>8</v>
      </c>
      <c r="H166" s="18">
        <v>8</v>
      </c>
      <c r="I166" s="18">
        <v>0</v>
      </c>
      <c r="J166" s="18">
        <v>0</v>
      </c>
      <c r="K166" s="19">
        <v>48754.668783000001</v>
      </c>
      <c r="L166" s="41">
        <v>0</v>
      </c>
      <c r="M166" s="41">
        <v>0</v>
      </c>
      <c r="N166" s="41">
        <v>0</v>
      </c>
      <c r="O166" s="41">
        <v>0</v>
      </c>
      <c r="P166" s="41" t="s">
        <v>301</v>
      </c>
      <c r="Q166" s="43">
        <v>0</v>
      </c>
      <c r="R166" s="43">
        <v>0</v>
      </c>
      <c r="S166" s="43">
        <v>0</v>
      </c>
      <c r="T166" s="43">
        <v>0</v>
      </c>
      <c r="U166" s="19"/>
      <c r="V166" s="13">
        <f t="shared" si="18"/>
        <v>48754.668783000001</v>
      </c>
      <c r="W166" s="42">
        <v>1.4999999999999999E-2</v>
      </c>
      <c r="X166" s="46">
        <f t="shared" ref="X166:X186" si="22">IF(K166="","",V166*(1+W166))</f>
        <v>49485.988814744996</v>
      </c>
      <c r="Y166" s="13"/>
      <c r="Z166" s="13"/>
      <c r="AA166" s="22">
        <v>45870</v>
      </c>
      <c r="AB166" s="22" cm="1">
        <f t="array" ref="AB1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66" s="4"/>
      <c r="AD166" s="4"/>
      <c r="AE166" s="2"/>
      <c r="AF166" s="3"/>
      <c r="AG166" s="3"/>
      <c r="AH166" s="3"/>
      <c r="AI166" s="3"/>
      <c r="AJ166" s="2">
        <f t="shared" si="19"/>
        <v>0</v>
      </c>
      <c r="AK166" s="2">
        <f t="shared" si="20"/>
        <v>0</v>
      </c>
      <c r="AL166" s="2">
        <f t="shared" si="21"/>
        <v>0</v>
      </c>
      <c r="AM166" s="88"/>
      <c r="AN166" s="157" t="s">
        <v>774</v>
      </c>
    </row>
    <row r="167" spans="2:40" ht="23.15" customHeight="1" thickBot="1">
      <c r="B167" s="87"/>
      <c r="C167" s="2" t="s">
        <v>295</v>
      </c>
      <c r="D167" s="15" t="s">
        <v>12</v>
      </c>
      <c r="E167" s="20" t="s">
        <v>35</v>
      </c>
      <c r="F167" s="20" t="s">
        <v>56</v>
      </c>
      <c r="G167" s="11">
        <v>2</v>
      </c>
      <c r="H167" s="18">
        <v>2</v>
      </c>
      <c r="I167" s="11">
        <v>1</v>
      </c>
      <c r="J167" s="11">
        <v>0</v>
      </c>
      <c r="K167" s="10">
        <v>10811.867598000001</v>
      </c>
      <c r="L167" s="41">
        <v>0</v>
      </c>
      <c r="M167" s="43">
        <v>0</v>
      </c>
      <c r="N167" s="41">
        <v>0</v>
      </c>
      <c r="O167" s="43">
        <v>0</v>
      </c>
      <c r="P167" s="41">
        <v>0</v>
      </c>
      <c r="Q167" s="43">
        <v>0</v>
      </c>
      <c r="R167" s="43">
        <v>0</v>
      </c>
      <c r="S167" s="43">
        <v>0</v>
      </c>
      <c r="T167" s="43">
        <v>0</v>
      </c>
      <c r="U167" s="19" t="s">
        <v>295</v>
      </c>
      <c r="V167" s="13">
        <f t="shared" si="18"/>
        <v>10811.867598000001</v>
      </c>
      <c r="W167" s="42">
        <v>2.9000000000000001E-2</v>
      </c>
      <c r="X167" s="46">
        <f t="shared" si="22"/>
        <v>11125.411758341999</v>
      </c>
      <c r="Y167" s="13"/>
      <c r="Z167" s="13"/>
      <c r="AA167" s="22">
        <v>45717</v>
      </c>
      <c r="AB167" s="22" cm="1">
        <f t="array" ref="AB1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67" s="4"/>
      <c r="AD167" s="4"/>
      <c r="AE167" s="2"/>
      <c r="AF167" s="3"/>
      <c r="AG167" s="3"/>
      <c r="AH167" s="3"/>
      <c r="AI167" s="3"/>
      <c r="AJ167" s="2">
        <f t="shared" si="19"/>
        <v>0</v>
      </c>
      <c r="AK167" s="2">
        <f t="shared" si="20"/>
        <v>0</v>
      </c>
      <c r="AL167" s="2">
        <f t="shared" si="21"/>
        <v>0</v>
      </c>
      <c r="AM167" s="88"/>
      <c r="AN167" s="157" t="s">
        <v>774</v>
      </c>
    </row>
    <row r="168" spans="2:40" ht="23.15" customHeight="1" thickBot="1">
      <c r="B168" s="87">
        <v>45750</v>
      </c>
      <c r="C168" s="2" t="s">
        <v>295</v>
      </c>
      <c r="D168" s="15" t="s">
        <v>12</v>
      </c>
      <c r="E168" s="20" t="s">
        <v>35</v>
      </c>
      <c r="F168" s="20" t="s">
        <v>56</v>
      </c>
      <c r="G168" s="11">
        <v>2</v>
      </c>
      <c r="H168" s="11">
        <v>2</v>
      </c>
      <c r="I168" s="18">
        <v>0</v>
      </c>
      <c r="J168" s="18">
        <v>0</v>
      </c>
      <c r="K168" s="10">
        <v>10811.867598000001</v>
      </c>
      <c r="L168" s="41">
        <v>0</v>
      </c>
      <c r="M168" s="43">
        <v>0</v>
      </c>
      <c r="N168" s="41">
        <v>0</v>
      </c>
      <c r="O168" s="43">
        <v>0</v>
      </c>
      <c r="P168" s="41">
        <v>0</v>
      </c>
      <c r="Q168" s="43">
        <v>0</v>
      </c>
      <c r="R168" s="43">
        <v>0</v>
      </c>
      <c r="S168" s="43">
        <v>0</v>
      </c>
      <c r="T168" s="43">
        <v>0</v>
      </c>
      <c r="U168" s="19" t="s">
        <v>295</v>
      </c>
      <c r="V168" s="13">
        <f t="shared" ref="V168:V199" si="23">IFERROR((K168+M168+R168+S168+T168+O168)+IF(U168="Sim",P168+Q168,0),(K168+R168+S168+T168)+IF(U168="Sim",P168+Q168,0))</f>
        <v>10811.867598000001</v>
      </c>
      <c r="W168" s="42">
        <v>2.9000000000000001E-2</v>
      </c>
      <c r="X168" s="46">
        <f t="shared" si="22"/>
        <v>11125.411758341999</v>
      </c>
      <c r="Y168" s="13"/>
      <c r="Z168" s="13"/>
      <c r="AA168" s="22">
        <v>45748</v>
      </c>
      <c r="AB168" s="22" cm="1">
        <f t="array" ref="AB1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68" s="4"/>
      <c r="AD168" s="4"/>
      <c r="AE168" s="2"/>
      <c r="AF168" s="3"/>
      <c r="AG168" s="3"/>
      <c r="AH168" s="3"/>
      <c r="AI168" s="3"/>
      <c r="AJ168" s="2">
        <f t="shared" ref="AJ168:AJ199" si="24">IFERROR(L168-M168,0)</f>
        <v>0</v>
      </c>
      <c r="AK168" s="2">
        <f t="shared" ref="AK168:AK199" si="25">AC168-AD168</f>
        <v>0</v>
      </c>
      <c r="AL168" s="2">
        <f t="shared" ref="AL168:AL199" si="26">K168-V168</f>
        <v>0</v>
      </c>
      <c r="AM168" s="88"/>
      <c r="AN168" s="157" t="s">
        <v>774</v>
      </c>
    </row>
    <row r="169" spans="2:40" ht="23.15" customHeight="1" thickBot="1">
      <c r="B169" s="87">
        <v>45783</v>
      </c>
      <c r="C169" s="2" t="s">
        <v>295</v>
      </c>
      <c r="D169" s="15" t="s">
        <v>12</v>
      </c>
      <c r="E169" s="20" t="s">
        <v>35</v>
      </c>
      <c r="F169" s="20" t="s">
        <v>56</v>
      </c>
      <c r="G169" s="11">
        <v>2</v>
      </c>
      <c r="H169" s="18">
        <v>2</v>
      </c>
      <c r="I169" s="18">
        <v>0</v>
      </c>
      <c r="J169" s="18">
        <v>0</v>
      </c>
      <c r="K169" s="10">
        <v>10811.867598000001</v>
      </c>
      <c r="L169" s="41">
        <v>0</v>
      </c>
      <c r="M169" s="41">
        <v>0</v>
      </c>
      <c r="N169" s="41">
        <v>0</v>
      </c>
      <c r="O169" s="41">
        <v>0</v>
      </c>
      <c r="P169" s="41">
        <v>0</v>
      </c>
      <c r="Q169" s="41">
        <v>0</v>
      </c>
      <c r="R169" s="41">
        <v>0</v>
      </c>
      <c r="S169" s="41">
        <v>0</v>
      </c>
      <c r="T169" s="41">
        <v>0</v>
      </c>
      <c r="U169" s="19" t="s">
        <v>295</v>
      </c>
      <c r="V169" s="13">
        <f t="shared" si="23"/>
        <v>10811.867598000001</v>
      </c>
      <c r="W169" s="42">
        <v>2.9000000000000001E-2</v>
      </c>
      <c r="X169" s="46">
        <f t="shared" si="22"/>
        <v>11125.411758341999</v>
      </c>
      <c r="Y169" s="13"/>
      <c r="Z169" s="13"/>
      <c r="AA169" s="22">
        <v>45778</v>
      </c>
      <c r="AB169" s="22" cm="1">
        <f t="array" ref="AB1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69" s="4"/>
      <c r="AD169" s="4"/>
      <c r="AE169" s="2"/>
      <c r="AF169" s="3"/>
      <c r="AG169" s="3"/>
      <c r="AH169" s="3"/>
      <c r="AI169" s="3"/>
      <c r="AJ169" s="2">
        <f t="shared" si="24"/>
        <v>0</v>
      </c>
      <c r="AK169" s="2">
        <f t="shared" si="25"/>
        <v>0</v>
      </c>
      <c r="AL169" s="2">
        <f t="shared" si="26"/>
        <v>0</v>
      </c>
      <c r="AM169" s="88"/>
      <c r="AN169" s="157" t="s">
        <v>774</v>
      </c>
    </row>
    <row r="170" spans="2:40" ht="23.15" customHeight="1" thickBot="1">
      <c r="B170" s="87">
        <v>45812</v>
      </c>
      <c r="C170" s="2" t="s">
        <v>295</v>
      </c>
      <c r="D170" s="15" t="s">
        <v>12</v>
      </c>
      <c r="E170" s="20" t="s">
        <v>35</v>
      </c>
      <c r="F170" s="20" t="s">
        <v>56</v>
      </c>
      <c r="G170" s="11">
        <v>2</v>
      </c>
      <c r="H170" s="18">
        <v>2</v>
      </c>
      <c r="I170" s="18">
        <v>0</v>
      </c>
      <c r="J170" s="18">
        <v>0</v>
      </c>
      <c r="K170" s="10">
        <v>10811.867598000001</v>
      </c>
      <c r="L170" s="41">
        <v>0</v>
      </c>
      <c r="M170" s="41">
        <v>0</v>
      </c>
      <c r="N170" s="41">
        <v>0</v>
      </c>
      <c r="O170" s="41">
        <v>0</v>
      </c>
      <c r="P170" s="41">
        <v>0</v>
      </c>
      <c r="Q170" s="43">
        <v>0</v>
      </c>
      <c r="R170" s="43">
        <v>0</v>
      </c>
      <c r="S170" s="43">
        <v>0</v>
      </c>
      <c r="T170" s="43">
        <v>0</v>
      </c>
      <c r="U170" s="19" t="s">
        <v>295</v>
      </c>
      <c r="V170" s="13">
        <f t="shared" si="23"/>
        <v>10811.867598000001</v>
      </c>
      <c r="W170" s="42">
        <v>2.9000000000000001E-2</v>
      </c>
      <c r="X170" s="46">
        <f t="shared" si="22"/>
        <v>11125.411758341999</v>
      </c>
      <c r="Y170" s="13"/>
      <c r="Z170" s="13"/>
      <c r="AA170" s="22">
        <v>45809</v>
      </c>
      <c r="AB170" s="22" cm="1">
        <f t="array" ref="AB1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70" s="4"/>
      <c r="AD170" s="4"/>
      <c r="AE170" s="2"/>
      <c r="AF170" s="3"/>
      <c r="AG170" s="3"/>
      <c r="AH170" s="3"/>
      <c r="AI170" s="3"/>
      <c r="AJ170" s="2">
        <f t="shared" si="24"/>
        <v>0</v>
      </c>
      <c r="AK170" s="2">
        <f t="shared" si="25"/>
        <v>0</v>
      </c>
      <c r="AL170" s="2">
        <f t="shared" si="26"/>
        <v>0</v>
      </c>
      <c r="AM170" s="88"/>
      <c r="AN170" s="157" t="s">
        <v>774</v>
      </c>
    </row>
    <row r="171" spans="2:40" ht="23.15" customHeight="1" thickBot="1">
      <c r="B171" s="87">
        <v>45691</v>
      </c>
      <c r="C171" s="2" t="s">
        <v>295</v>
      </c>
      <c r="D171" s="15" t="s">
        <v>12</v>
      </c>
      <c r="E171" s="20" t="s">
        <v>35</v>
      </c>
      <c r="F171" s="20" t="s">
        <v>56</v>
      </c>
      <c r="G171" s="11">
        <v>2</v>
      </c>
      <c r="H171" s="18">
        <v>2</v>
      </c>
      <c r="I171" s="18">
        <v>0</v>
      </c>
      <c r="J171" s="18">
        <v>0</v>
      </c>
      <c r="K171" s="19">
        <v>11125.411758341999</v>
      </c>
      <c r="L171" s="41">
        <v>0</v>
      </c>
      <c r="M171" s="41">
        <v>0</v>
      </c>
      <c r="N171" s="41">
        <v>0</v>
      </c>
      <c r="O171" s="41">
        <v>0</v>
      </c>
      <c r="P171" s="41">
        <v>0</v>
      </c>
      <c r="Q171" s="43">
        <v>0</v>
      </c>
      <c r="R171" s="43">
        <v>0</v>
      </c>
      <c r="S171" s="43">
        <v>0</v>
      </c>
      <c r="T171" s="43">
        <v>0</v>
      </c>
      <c r="U171" s="19" t="s">
        <v>295</v>
      </c>
      <c r="V171" s="13">
        <f t="shared" si="23"/>
        <v>11125.411758341999</v>
      </c>
      <c r="W171" s="42"/>
      <c r="X171" s="46">
        <f t="shared" si="22"/>
        <v>11125.411758341999</v>
      </c>
      <c r="Y171" s="13"/>
      <c r="Z171" s="13"/>
      <c r="AA171" s="22">
        <v>45689</v>
      </c>
      <c r="AB171" s="22" cm="1">
        <f t="array" ref="AB1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71" s="4"/>
      <c r="AD171" s="4"/>
      <c r="AE171" s="2"/>
      <c r="AF171" s="3"/>
      <c r="AG171" s="3"/>
      <c r="AH171" s="3"/>
      <c r="AI171" s="3"/>
      <c r="AJ171" s="2">
        <f t="shared" si="24"/>
        <v>0</v>
      </c>
      <c r="AK171" s="2">
        <f t="shared" si="25"/>
        <v>0</v>
      </c>
      <c r="AL171" s="2">
        <f t="shared" si="26"/>
        <v>0</v>
      </c>
      <c r="AM171" s="88"/>
      <c r="AN171" s="157" t="s">
        <v>774</v>
      </c>
    </row>
    <row r="172" spans="2:40" ht="23.15" customHeight="1" thickBot="1">
      <c r="B172" s="87"/>
      <c r="C172" s="2" t="s">
        <v>295</v>
      </c>
      <c r="D172" s="15" t="s">
        <v>12</v>
      </c>
      <c r="E172" s="20" t="s">
        <v>35</v>
      </c>
      <c r="F172" s="20" t="s">
        <v>56</v>
      </c>
      <c r="G172" s="11">
        <v>2</v>
      </c>
      <c r="H172" s="18">
        <v>2</v>
      </c>
      <c r="I172" s="18">
        <v>1</v>
      </c>
      <c r="J172" s="18">
        <v>0</v>
      </c>
      <c r="K172" s="19">
        <v>11125.41423</v>
      </c>
      <c r="L172" s="41">
        <v>0</v>
      </c>
      <c r="M172" s="41">
        <v>-175.21</v>
      </c>
      <c r="N172" s="41">
        <v>0</v>
      </c>
      <c r="O172" s="41">
        <v>0</v>
      </c>
      <c r="P172" s="41">
        <v>0</v>
      </c>
      <c r="Q172" s="43">
        <v>0</v>
      </c>
      <c r="R172" s="43">
        <v>0</v>
      </c>
      <c r="S172" s="43">
        <v>0</v>
      </c>
      <c r="T172" s="43">
        <v>0</v>
      </c>
      <c r="U172" s="19" t="s">
        <v>295</v>
      </c>
      <c r="V172" s="13">
        <f t="shared" si="23"/>
        <v>10950.204230000001</v>
      </c>
      <c r="W172" s="42"/>
      <c r="X172" s="46">
        <f t="shared" si="22"/>
        <v>10950.204230000001</v>
      </c>
      <c r="Y172" s="13"/>
      <c r="Z172" s="13"/>
      <c r="AA172" s="22">
        <v>45658</v>
      </c>
      <c r="AB172" s="22" cm="1">
        <f t="array" ref="AB1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172" s="4"/>
      <c r="AD172" s="4"/>
      <c r="AE172" s="2"/>
      <c r="AF172" s="3"/>
      <c r="AG172" s="3"/>
      <c r="AH172" s="3"/>
      <c r="AI172" s="3"/>
      <c r="AJ172" s="2">
        <f t="shared" si="24"/>
        <v>175.21</v>
      </c>
      <c r="AK172" s="2">
        <f t="shared" si="25"/>
        <v>0</v>
      </c>
      <c r="AL172" s="2">
        <f t="shared" si="26"/>
        <v>175.20999999999913</v>
      </c>
      <c r="AM172" s="88"/>
      <c r="AN172" s="157" t="s">
        <v>774</v>
      </c>
    </row>
    <row r="173" spans="2:40" ht="23.15" customHeight="1" thickBot="1">
      <c r="B173" s="87"/>
      <c r="C173" s="2" t="s">
        <v>292</v>
      </c>
      <c r="D173" s="15" t="s">
        <v>12</v>
      </c>
      <c r="E173" s="20" t="s">
        <v>28</v>
      </c>
      <c r="F173" s="20" t="s">
        <v>37</v>
      </c>
      <c r="G173" s="11">
        <v>8</v>
      </c>
      <c r="H173" s="18">
        <v>8</v>
      </c>
      <c r="I173" s="18" t="s">
        <v>294</v>
      </c>
      <c r="J173" s="18" t="s">
        <v>294</v>
      </c>
      <c r="K173" s="19">
        <v>48754.668783000001</v>
      </c>
      <c r="L173" s="41">
        <v>0</v>
      </c>
      <c r="M173" s="41">
        <v>0</v>
      </c>
      <c r="N173" s="41">
        <v>0</v>
      </c>
      <c r="O173" s="41">
        <v>0</v>
      </c>
      <c r="P173" s="41" t="s">
        <v>301</v>
      </c>
      <c r="Q173" s="43">
        <v>0</v>
      </c>
      <c r="R173" s="43">
        <v>0</v>
      </c>
      <c r="S173" s="43">
        <v>0</v>
      </c>
      <c r="T173" s="43">
        <v>0</v>
      </c>
      <c r="U173" s="19"/>
      <c r="V173" s="13">
        <f t="shared" si="23"/>
        <v>48754.668783000001</v>
      </c>
      <c r="W173" s="42">
        <v>1.4999999999999999E-2</v>
      </c>
      <c r="X173" s="46">
        <f t="shared" si="22"/>
        <v>49485.988814744996</v>
      </c>
      <c r="Y173" s="13">
        <v>17445.66</v>
      </c>
      <c r="Z173" s="13" t="s">
        <v>302</v>
      </c>
      <c r="AA173" s="22">
        <v>45901</v>
      </c>
      <c r="AB173" s="22" cm="1">
        <f t="array" ref="AB1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73" s="4"/>
      <c r="AD173" s="4"/>
      <c r="AE173" s="2"/>
      <c r="AF173" s="3"/>
      <c r="AG173" s="3"/>
      <c r="AH173" s="3"/>
      <c r="AI173" s="3"/>
      <c r="AJ173" s="2">
        <f t="shared" si="24"/>
        <v>0</v>
      </c>
      <c r="AK173" s="2">
        <f t="shared" si="25"/>
        <v>0</v>
      </c>
      <c r="AL173" s="2">
        <f t="shared" si="26"/>
        <v>0</v>
      </c>
      <c r="AM173" s="88"/>
      <c r="AN173" s="157" t="s">
        <v>774</v>
      </c>
    </row>
    <row r="174" spans="2:40" ht="23.15" customHeight="1" thickBot="1">
      <c r="B174" s="87">
        <v>45751</v>
      </c>
      <c r="C174" s="2" t="s">
        <v>295</v>
      </c>
      <c r="D174" s="15" t="s">
        <v>12</v>
      </c>
      <c r="E174" s="20" t="s">
        <v>33</v>
      </c>
      <c r="F174" s="20" t="s">
        <v>137</v>
      </c>
      <c r="G174" s="11">
        <v>2</v>
      </c>
      <c r="H174" s="11">
        <v>2</v>
      </c>
      <c r="I174" s="18">
        <v>0</v>
      </c>
      <c r="J174" s="18">
        <v>0</v>
      </c>
      <c r="K174" s="19">
        <v>11360.6</v>
      </c>
      <c r="L174" s="41">
        <v>0</v>
      </c>
      <c r="M174" s="41">
        <v>0</v>
      </c>
      <c r="N174" s="41">
        <v>0</v>
      </c>
      <c r="O174" s="41">
        <v>0</v>
      </c>
      <c r="P174" s="41">
        <v>0</v>
      </c>
      <c r="Q174" s="43">
        <v>0</v>
      </c>
      <c r="R174" s="43">
        <v>0</v>
      </c>
      <c r="S174" s="43">
        <v>0</v>
      </c>
      <c r="T174" s="43">
        <v>0</v>
      </c>
      <c r="U174" s="19" t="s">
        <v>295</v>
      </c>
      <c r="V174" s="13">
        <f t="shared" si="23"/>
        <v>11360.6</v>
      </c>
      <c r="W174" s="42">
        <v>0</v>
      </c>
      <c r="X174" s="46">
        <f t="shared" si="22"/>
        <v>11360.6</v>
      </c>
      <c r="Y174" s="13"/>
      <c r="Z174" s="13"/>
      <c r="AA174" s="22">
        <v>45717</v>
      </c>
      <c r="AB174" s="22" cm="1">
        <f t="array" ref="AB1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74" s="4"/>
      <c r="AD174" s="4"/>
      <c r="AE174" s="2"/>
      <c r="AF174" s="3"/>
      <c r="AG174" s="3"/>
      <c r="AH174" s="3"/>
      <c r="AI174" s="3"/>
      <c r="AJ174" s="2">
        <f t="shared" si="24"/>
        <v>0</v>
      </c>
      <c r="AK174" s="2">
        <f t="shared" si="25"/>
        <v>0</v>
      </c>
      <c r="AL174" s="2">
        <f t="shared" si="26"/>
        <v>0</v>
      </c>
      <c r="AM174" s="88"/>
      <c r="AN174" s="157" t="s">
        <v>774</v>
      </c>
    </row>
    <row r="175" spans="2:40" ht="23.15" customHeight="1" thickBot="1">
      <c r="B175" s="87">
        <v>45840</v>
      </c>
      <c r="C175" s="2" t="s">
        <v>295</v>
      </c>
      <c r="D175" s="15" t="s">
        <v>12</v>
      </c>
      <c r="E175" s="20" t="s">
        <v>35</v>
      </c>
      <c r="F175" s="20" t="s">
        <v>56</v>
      </c>
      <c r="G175" s="11">
        <v>2</v>
      </c>
      <c r="H175" s="18">
        <v>2</v>
      </c>
      <c r="I175" s="18">
        <v>0</v>
      </c>
      <c r="J175" s="18">
        <v>0</v>
      </c>
      <c r="K175" s="19">
        <v>11571.46</v>
      </c>
      <c r="L175" s="41">
        <v>0</v>
      </c>
      <c r="M175" s="41">
        <v>0</v>
      </c>
      <c r="N175" s="41">
        <v>0</v>
      </c>
      <c r="O175" s="41">
        <v>0</v>
      </c>
      <c r="P175" s="41">
        <v>0</v>
      </c>
      <c r="Q175" s="43">
        <v>0</v>
      </c>
      <c r="R175" s="43">
        <v>0</v>
      </c>
      <c r="S175" s="43">
        <v>0</v>
      </c>
      <c r="T175" s="43">
        <v>0</v>
      </c>
      <c r="U175" s="19" t="s">
        <v>295</v>
      </c>
      <c r="V175" s="13">
        <f t="shared" si="23"/>
        <v>11571.46</v>
      </c>
      <c r="W175" s="42"/>
      <c r="X175" s="46">
        <f t="shared" si="22"/>
        <v>11571.46</v>
      </c>
      <c r="Y175" s="13">
        <v>2258.6164787123798</v>
      </c>
      <c r="Z175" s="13" t="s">
        <v>302</v>
      </c>
      <c r="AA175" s="22">
        <v>45839</v>
      </c>
      <c r="AB175" s="22" cm="1">
        <f t="array" ref="AB1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75" s="4"/>
      <c r="AD175" s="4"/>
      <c r="AE175" s="2"/>
      <c r="AF175" s="3"/>
      <c r="AG175" s="3"/>
      <c r="AH175" s="3"/>
      <c r="AI175" s="3"/>
      <c r="AJ175" s="2">
        <f t="shared" si="24"/>
        <v>0</v>
      </c>
      <c r="AK175" s="2">
        <f t="shared" si="25"/>
        <v>0</v>
      </c>
      <c r="AL175" s="2">
        <f t="shared" si="26"/>
        <v>0</v>
      </c>
      <c r="AM175" s="88"/>
      <c r="AN175" s="157" t="s">
        <v>774</v>
      </c>
    </row>
    <row r="176" spans="2:40" ht="23.15" customHeight="1" thickBot="1">
      <c r="B176" s="87">
        <v>45785</v>
      </c>
      <c r="C176" s="2" t="s">
        <v>295</v>
      </c>
      <c r="D176" s="15" t="s">
        <v>12</v>
      </c>
      <c r="E176" s="20" t="s">
        <v>33</v>
      </c>
      <c r="F176" s="20" t="s">
        <v>137</v>
      </c>
      <c r="G176" s="11">
        <v>2</v>
      </c>
      <c r="H176" s="11">
        <v>2</v>
      </c>
      <c r="I176" s="18">
        <v>0</v>
      </c>
      <c r="J176" s="18">
        <v>0</v>
      </c>
      <c r="K176" s="19">
        <v>14149.9002252351</v>
      </c>
      <c r="L176" s="41">
        <v>0</v>
      </c>
      <c r="M176" s="41">
        <v>0</v>
      </c>
      <c r="N176" s="41">
        <v>0</v>
      </c>
      <c r="O176" s="41">
        <v>0</v>
      </c>
      <c r="P176" s="41">
        <v>0</v>
      </c>
      <c r="Q176" s="43">
        <v>0</v>
      </c>
      <c r="R176" s="43">
        <v>0</v>
      </c>
      <c r="S176" s="43">
        <v>0</v>
      </c>
      <c r="T176" s="43">
        <v>0</v>
      </c>
      <c r="U176" s="19" t="s">
        <v>295</v>
      </c>
      <c r="V176" s="13">
        <f t="shared" si="23"/>
        <v>14149.9002252351</v>
      </c>
      <c r="W176" s="42">
        <v>0</v>
      </c>
      <c r="X176" s="46">
        <f t="shared" si="22"/>
        <v>14149.9002252351</v>
      </c>
      <c r="Y176" s="13"/>
      <c r="Z176" s="13"/>
      <c r="AA176" s="22">
        <v>45748</v>
      </c>
      <c r="AB176" s="22" cm="1">
        <f t="array" ref="AB1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76" s="4"/>
      <c r="AD176" s="4"/>
      <c r="AE176" s="2"/>
      <c r="AF176" s="3"/>
      <c r="AG176" s="3"/>
      <c r="AH176" s="3"/>
      <c r="AI176" s="3"/>
      <c r="AJ176" s="2">
        <f t="shared" si="24"/>
        <v>0</v>
      </c>
      <c r="AK176" s="2">
        <f t="shared" si="25"/>
        <v>0</v>
      </c>
      <c r="AL176" s="2">
        <f t="shared" si="26"/>
        <v>0</v>
      </c>
      <c r="AM176" s="88"/>
      <c r="AN176" s="157" t="s">
        <v>774</v>
      </c>
    </row>
    <row r="177" spans="2:40" ht="23.15" customHeight="1" thickBot="1">
      <c r="B177" s="87"/>
      <c r="C177" s="2" t="s">
        <v>295</v>
      </c>
      <c r="D177" s="15" t="s">
        <v>12</v>
      </c>
      <c r="E177" s="20" t="s">
        <v>33</v>
      </c>
      <c r="F177" s="20" t="s">
        <v>137</v>
      </c>
      <c r="G177" s="11">
        <v>2</v>
      </c>
      <c r="H177" s="18">
        <v>2</v>
      </c>
      <c r="I177" s="18">
        <v>0</v>
      </c>
      <c r="J177" s="18">
        <v>0</v>
      </c>
      <c r="K177" s="19">
        <v>14149.9002252351</v>
      </c>
      <c r="L177" s="41">
        <v>0</v>
      </c>
      <c r="M177" s="41">
        <v>0</v>
      </c>
      <c r="N177" s="41">
        <v>0</v>
      </c>
      <c r="O177" s="41">
        <v>0</v>
      </c>
      <c r="P177" s="41">
        <v>0</v>
      </c>
      <c r="Q177" s="43">
        <v>0</v>
      </c>
      <c r="R177" s="43">
        <v>0</v>
      </c>
      <c r="S177" s="43">
        <v>0</v>
      </c>
      <c r="T177" s="43">
        <v>0</v>
      </c>
      <c r="U177" s="19" t="s">
        <v>295</v>
      </c>
      <c r="V177" s="13">
        <f t="shared" si="23"/>
        <v>14149.9002252351</v>
      </c>
      <c r="W177" s="42">
        <v>0</v>
      </c>
      <c r="X177" s="46">
        <f t="shared" si="22"/>
        <v>14149.9002252351</v>
      </c>
      <c r="Y177" s="13"/>
      <c r="Z177" s="13"/>
      <c r="AA177" s="22">
        <v>45778</v>
      </c>
      <c r="AB177" s="22" cm="1">
        <f t="array" ref="AB1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77" s="4"/>
      <c r="AD177" s="4"/>
      <c r="AE177" s="2"/>
      <c r="AF177" s="3"/>
      <c r="AG177" s="3"/>
      <c r="AH177" s="3"/>
      <c r="AI177" s="3"/>
      <c r="AJ177" s="2">
        <f t="shared" si="24"/>
        <v>0</v>
      </c>
      <c r="AK177" s="2">
        <f t="shared" si="25"/>
        <v>0</v>
      </c>
      <c r="AL177" s="2">
        <f t="shared" si="26"/>
        <v>0</v>
      </c>
      <c r="AM177" s="88"/>
      <c r="AN177" s="157" t="s">
        <v>774</v>
      </c>
    </row>
    <row r="178" spans="2:40" ht="23.15" customHeight="1" thickBot="1">
      <c r="B178" s="87">
        <v>45840</v>
      </c>
      <c r="C178" s="2" t="s">
        <v>295</v>
      </c>
      <c r="D178" s="15" t="s">
        <v>12</v>
      </c>
      <c r="E178" s="20" t="s">
        <v>33</v>
      </c>
      <c r="F178" s="20" t="s">
        <v>137</v>
      </c>
      <c r="G178" s="11">
        <v>2</v>
      </c>
      <c r="H178" s="18">
        <v>2</v>
      </c>
      <c r="I178" s="18">
        <v>0</v>
      </c>
      <c r="J178" s="18">
        <v>0</v>
      </c>
      <c r="K178" s="19">
        <v>14149.9002252351</v>
      </c>
      <c r="L178" s="41">
        <v>0</v>
      </c>
      <c r="M178" s="41">
        <v>0</v>
      </c>
      <c r="N178" s="41">
        <v>0</v>
      </c>
      <c r="O178" s="41">
        <v>0</v>
      </c>
      <c r="P178" s="41">
        <v>0</v>
      </c>
      <c r="Q178" s="43">
        <v>0</v>
      </c>
      <c r="R178" s="43">
        <v>0</v>
      </c>
      <c r="S178" s="43">
        <v>0</v>
      </c>
      <c r="T178" s="43">
        <v>0</v>
      </c>
      <c r="U178" s="19" t="s">
        <v>295</v>
      </c>
      <c r="V178" s="13">
        <f t="shared" si="23"/>
        <v>14149.9002252351</v>
      </c>
      <c r="W178" s="42">
        <v>0</v>
      </c>
      <c r="X178" s="46">
        <f t="shared" si="22"/>
        <v>14149.9002252351</v>
      </c>
      <c r="Y178" s="13"/>
      <c r="Z178" s="13"/>
      <c r="AA178" s="22">
        <v>45809</v>
      </c>
      <c r="AB178" s="22" cm="1">
        <f t="array" ref="AB1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78" s="4">
        <v>1920</v>
      </c>
      <c r="AD178" s="4">
        <v>1920</v>
      </c>
      <c r="AE178" s="2"/>
      <c r="AF178" s="3"/>
      <c r="AG178" s="3"/>
      <c r="AH178" s="3"/>
      <c r="AI178" s="3"/>
      <c r="AJ178" s="2">
        <f t="shared" si="24"/>
        <v>0</v>
      </c>
      <c r="AK178" s="2">
        <f t="shared" si="25"/>
        <v>0</v>
      </c>
      <c r="AL178" s="2">
        <f t="shared" si="26"/>
        <v>0</v>
      </c>
      <c r="AM178" s="88"/>
      <c r="AN178" s="157" t="s">
        <v>774</v>
      </c>
    </row>
    <row r="179" spans="2:40" ht="23.15" customHeight="1" thickBot="1">
      <c r="B179" s="87">
        <v>45887</v>
      </c>
      <c r="C179" s="2" t="s">
        <v>299</v>
      </c>
      <c r="D179" s="15" t="s">
        <v>12</v>
      </c>
      <c r="E179" s="20" t="s">
        <v>33</v>
      </c>
      <c r="F179" s="20" t="s">
        <v>137</v>
      </c>
      <c r="G179" s="11">
        <v>2</v>
      </c>
      <c r="H179" s="11">
        <v>2</v>
      </c>
      <c r="I179" s="18">
        <v>0</v>
      </c>
      <c r="J179" s="18">
        <v>0</v>
      </c>
      <c r="K179" s="19">
        <v>14149.9002252351</v>
      </c>
      <c r="L179" s="41">
        <v>0</v>
      </c>
      <c r="M179" s="19">
        <v>0</v>
      </c>
      <c r="N179" s="41">
        <v>0</v>
      </c>
      <c r="O179" s="43">
        <v>0</v>
      </c>
      <c r="P179" s="41">
        <v>0</v>
      </c>
      <c r="Q179" s="43">
        <v>0</v>
      </c>
      <c r="R179" s="43">
        <v>0</v>
      </c>
      <c r="S179" s="43">
        <v>0</v>
      </c>
      <c r="T179" s="43">
        <v>0</v>
      </c>
      <c r="U179" s="19" t="s">
        <v>295</v>
      </c>
      <c r="V179" s="13">
        <f t="shared" si="23"/>
        <v>14149.9002252351</v>
      </c>
      <c r="W179" s="42">
        <v>0</v>
      </c>
      <c r="X179" s="46">
        <f t="shared" si="22"/>
        <v>14149.9002252351</v>
      </c>
      <c r="Y179" s="13"/>
      <c r="Z179" s="13"/>
      <c r="AA179" s="22">
        <v>45839</v>
      </c>
      <c r="AB179" s="22" cm="1">
        <f t="array" ref="AB1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79" s="4"/>
      <c r="AD179" s="4"/>
      <c r="AE179" s="2"/>
      <c r="AF179" s="3"/>
      <c r="AG179" s="3"/>
      <c r="AH179" s="3"/>
      <c r="AI179" s="3"/>
      <c r="AJ179" s="2">
        <f t="shared" si="24"/>
        <v>0</v>
      </c>
      <c r="AK179" s="2">
        <f t="shared" si="25"/>
        <v>0</v>
      </c>
      <c r="AL179" s="2">
        <f t="shared" si="26"/>
        <v>0</v>
      </c>
      <c r="AM179" s="88"/>
      <c r="AN179" s="157" t="s">
        <v>774</v>
      </c>
    </row>
    <row r="180" spans="2:40" ht="23.15" customHeight="1" thickBot="1">
      <c r="B180" s="87"/>
      <c r="C180" s="2" t="s">
        <v>292</v>
      </c>
      <c r="D180" s="15" t="s">
        <v>12</v>
      </c>
      <c r="E180" s="20" t="s">
        <v>28</v>
      </c>
      <c r="F180" s="20" t="s">
        <v>37</v>
      </c>
      <c r="G180" s="11">
        <v>8</v>
      </c>
      <c r="H180" s="11">
        <v>8</v>
      </c>
      <c r="I180" s="18" t="s">
        <v>294</v>
      </c>
      <c r="J180" s="18" t="s">
        <v>294</v>
      </c>
      <c r="K180" s="19">
        <v>48754.668783000001</v>
      </c>
      <c r="L180" s="41"/>
      <c r="M180" s="43" t="s">
        <v>294</v>
      </c>
      <c r="N180" s="41"/>
      <c r="O180" s="43" t="s">
        <v>294</v>
      </c>
      <c r="P180" s="41" t="s">
        <v>301</v>
      </c>
      <c r="Q180" s="43"/>
      <c r="R180" s="43"/>
      <c r="S180" s="43"/>
      <c r="T180" s="43"/>
      <c r="U180" s="19"/>
      <c r="V180" s="13">
        <f t="shared" si="23"/>
        <v>48754.668783000001</v>
      </c>
      <c r="W180" s="42">
        <v>1.4999999999999999E-2</v>
      </c>
      <c r="X180" s="46">
        <f t="shared" si="22"/>
        <v>49485.988814744996</v>
      </c>
      <c r="Y180" s="13"/>
      <c r="Z180" s="13"/>
      <c r="AA180" s="22">
        <v>45931</v>
      </c>
      <c r="AB180" s="22" cm="1">
        <f t="array" ref="AB1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80" s="4"/>
      <c r="AD180" s="4"/>
      <c r="AE180" s="2"/>
      <c r="AF180" s="3"/>
      <c r="AG180" s="3"/>
      <c r="AH180" s="3"/>
      <c r="AI180" s="3"/>
      <c r="AJ180" s="2">
        <f t="shared" si="24"/>
        <v>0</v>
      </c>
      <c r="AK180" s="2">
        <f t="shared" si="25"/>
        <v>0</v>
      </c>
      <c r="AL180" s="2">
        <f t="shared" si="26"/>
        <v>0</v>
      </c>
      <c r="AM180" s="88"/>
      <c r="AN180" s="157" t="s">
        <v>774</v>
      </c>
    </row>
    <row r="181" spans="2:40" ht="23.15" customHeight="1" thickBot="1">
      <c r="B181" s="87"/>
      <c r="C181" s="2" t="s">
        <v>295</v>
      </c>
      <c r="D181" s="15" t="s">
        <v>12</v>
      </c>
      <c r="E181" s="20" t="s">
        <v>26</v>
      </c>
      <c r="F181" s="20" t="s">
        <v>40</v>
      </c>
      <c r="G181" s="11">
        <v>3</v>
      </c>
      <c r="H181" s="18">
        <v>2</v>
      </c>
      <c r="I181" s="18">
        <v>0</v>
      </c>
      <c r="J181" s="18">
        <v>0</v>
      </c>
      <c r="K181" s="13">
        <v>16575.667078220002</v>
      </c>
      <c r="L181" s="41">
        <v>0</v>
      </c>
      <c r="M181" s="41">
        <v>0</v>
      </c>
      <c r="N181" s="41">
        <v>0</v>
      </c>
      <c r="O181" s="43">
        <v>0</v>
      </c>
      <c r="P181" s="41" t="s">
        <v>293</v>
      </c>
      <c r="Q181" s="43">
        <v>0</v>
      </c>
      <c r="R181" s="43">
        <v>0</v>
      </c>
      <c r="S181" s="43">
        <v>0</v>
      </c>
      <c r="T181" s="43">
        <v>0</v>
      </c>
      <c r="U181" s="19"/>
      <c r="V181" s="13">
        <f t="shared" si="23"/>
        <v>16575.667078220002</v>
      </c>
      <c r="W181" s="42">
        <v>1.2999999999999999E-2</v>
      </c>
      <c r="X181" s="46">
        <f t="shared" si="22"/>
        <v>16791.150750236859</v>
      </c>
      <c r="Y181" s="13"/>
      <c r="Z181" s="13"/>
      <c r="AA181" s="22">
        <v>45658</v>
      </c>
      <c r="AB181" s="22" cm="1">
        <f t="array" ref="AB1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181" s="4"/>
      <c r="AD181" s="4"/>
      <c r="AE181" s="2"/>
      <c r="AF181" s="3"/>
      <c r="AG181" s="3"/>
      <c r="AH181" s="3"/>
      <c r="AI181" s="3"/>
      <c r="AJ181" s="2">
        <f t="shared" si="24"/>
        <v>0</v>
      </c>
      <c r="AK181" s="2">
        <f t="shared" si="25"/>
        <v>0</v>
      </c>
      <c r="AL181" s="2">
        <f t="shared" si="26"/>
        <v>0</v>
      </c>
      <c r="AM181" s="88"/>
      <c r="AN181" s="157" t="s">
        <v>774</v>
      </c>
    </row>
    <row r="182" spans="2:40" ht="23.15" customHeight="1" thickBot="1">
      <c r="B182" s="87"/>
      <c r="C182" s="2" t="s">
        <v>295</v>
      </c>
      <c r="D182" s="15" t="s">
        <v>12</v>
      </c>
      <c r="E182" s="20" t="s">
        <v>25</v>
      </c>
      <c r="F182" s="20" t="s">
        <v>40</v>
      </c>
      <c r="G182" s="11">
        <v>21</v>
      </c>
      <c r="H182" s="11">
        <v>10</v>
      </c>
      <c r="I182" s="18">
        <v>0</v>
      </c>
      <c r="J182" s="18">
        <v>0</v>
      </c>
      <c r="K182" s="19">
        <v>81239.447934159994</v>
      </c>
      <c r="L182" s="41">
        <v>0</v>
      </c>
      <c r="M182" s="41">
        <v>0</v>
      </c>
      <c r="N182" s="41">
        <v>0</v>
      </c>
      <c r="O182" s="41">
        <v>0</v>
      </c>
      <c r="P182" s="41" t="s">
        <v>293</v>
      </c>
      <c r="Q182" s="43">
        <v>0</v>
      </c>
      <c r="R182" s="43">
        <v>0</v>
      </c>
      <c r="S182" s="43">
        <v>0</v>
      </c>
      <c r="T182" s="43">
        <v>0</v>
      </c>
      <c r="U182" s="19"/>
      <c r="V182" s="13">
        <f t="shared" si="23"/>
        <v>81239.447934159994</v>
      </c>
      <c r="W182" s="42">
        <v>1.2999999999999999E-2</v>
      </c>
      <c r="X182" s="46">
        <f t="shared" si="22"/>
        <v>82295.560757304062</v>
      </c>
      <c r="Y182" s="13"/>
      <c r="Z182" s="13"/>
      <c r="AA182" s="22">
        <v>45658</v>
      </c>
      <c r="AB182" s="22" cm="1">
        <f t="array" ref="AB1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182" s="4"/>
      <c r="AD182" s="4"/>
      <c r="AE182" s="2"/>
      <c r="AF182" s="3"/>
      <c r="AG182" s="3"/>
      <c r="AH182" s="3"/>
      <c r="AI182" s="3"/>
      <c r="AJ182" s="2">
        <f t="shared" si="24"/>
        <v>0</v>
      </c>
      <c r="AK182" s="2">
        <f t="shared" si="25"/>
        <v>0</v>
      </c>
      <c r="AL182" s="2">
        <f t="shared" si="26"/>
        <v>0</v>
      </c>
      <c r="AM182" s="88"/>
      <c r="AN182" s="157" t="s">
        <v>774</v>
      </c>
    </row>
    <row r="183" spans="2:40" ht="23.15" customHeight="1" thickBot="1">
      <c r="B183" s="87"/>
      <c r="C183" s="2" t="s">
        <v>292</v>
      </c>
      <c r="D183" s="15" t="s">
        <v>12</v>
      </c>
      <c r="E183" s="20" t="s">
        <v>26</v>
      </c>
      <c r="F183" s="20" t="s">
        <v>40</v>
      </c>
      <c r="G183" s="11">
        <v>3</v>
      </c>
      <c r="H183" s="18">
        <v>2</v>
      </c>
      <c r="I183" s="18" t="s">
        <v>294</v>
      </c>
      <c r="J183" s="18" t="s">
        <v>294</v>
      </c>
      <c r="K183" s="13">
        <v>16575.667078220002</v>
      </c>
      <c r="L183" s="41">
        <v>0</v>
      </c>
      <c r="M183" s="41" t="s">
        <v>294</v>
      </c>
      <c r="N183" s="41">
        <v>0</v>
      </c>
      <c r="O183" s="18" t="s">
        <v>294</v>
      </c>
      <c r="P183" s="41" t="s">
        <v>293</v>
      </c>
      <c r="Q183" s="43">
        <v>0</v>
      </c>
      <c r="R183" s="43">
        <v>0</v>
      </c>
      <c r="S183" s="43">
        <v>0</v>
      </c>
      <c r="T183" s="43">
        <v>0</v>
      </c>
      <c r="U183" s="19"/>
      <c r="V183" s="13">
        <f t="shared" si="23"/>
        <v>16575.667078220002</v>
      </c>
      <c r="W183" s="42">
        <v>1.2999999999999999E-2</v>
      </c>
      <c r="X183" s="46">
        <f t="shared" si="22"/>
        <v>16791.150750236859</v>
      </c>
      <c r="Y183" s="13"/>
      <c r="Z183" s="13"/>
      <c r="AA183" s="22">
        <v>45689</v>
      </c>
      <c r="AB183" s="22" cm="1">
        <f t="array" ref="AB1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83" s="4"/>
      <c r="AD183" s="4"/>
      <c r="AE183" s="2"/>
      <c r="AF183" s="3"/>
      <c r="AG183" s="3"/>
      <c r="AH183" s="3"/>
      <c r="AI183" s="3"/>
      <c r="AJ183" s="2">
        <f t="shared" si="24"/>
        <v>0</v>
      </c>
      <c r="AK183" s="2">
        <f t="shared" si="25"/>
        <v>0</v>
      </c>
      <c r="AL183" s="2">
        <f t="shared" si="26"/>
        <v>0</v>
      </c>
      <c r="AM183" s="88"/>
      <c r="AN183" s="157" t="s">
        <v>774</v>
      </c>
    </row>
    <row r="184" spans="2:40" ht="23.15" customHeight="1" thickBot="1">
      <c r="B184" s="87"/>
      <c r="C184" s="2" t="s">
        <v>292</v>
      </c>
      <c r="D184" s="15" t="s">
        <v>12</v>
      </c>
      <c r="E184" s="20" t="s">
        <v>25</v>
      </c>
      <c r="F184" s="20" t="s">
        <v>40</v>
      </c>
      <c r="G184" s="11">
        <v>21</v>
      </c>
      <c r="H184" s="11">
        <v>10</v>
      </c>
      <c r="I184" s="18" t="s">
        <v>294</v>
      </c>
      <c r="J184" s="18" t="s">
        <v>294</v>
      </c>
      <c r="K184" s="19">
        <v>81239.447934159994</v>
      </c>
      <c r="L184" s="41">
        <v>0</v>
      </c>
      <c r="M184" s="41" t="s">
        <v>294</v>
      </c>
      <c r="N184" s="41">
        <v>0</v>
      </c>
      <c r="O184" s="41" t="s">
        <v>294</v>
      </c>
      <c r="P184" s="41" t="s">
        <v>293</v>
      </c>
      <c r="Q184" s="43">
        <v>0</v>
      </c>
      <c r="R184" s="43">
        <v>0</v>
      </c>
      <c r="S184" s="43">
        <v>0</v>
      </c>
      <c r="T184" s="43">
        <v>0</v>
      </c>
      <c r="U184" s="19"/>
      <c r="V184" s="13">
        <f t="shared" si="23"/>
        <v>81239.447934159994</v>
      </c>
      <c r="W184" s="42">
        <v>1.2999999999999999E-2</v>
      </c>
      <c r="X184" s="46">
        <f t="shared" si="22"/>
        <v>82295.560757304062</v>
      </c>
      <c r="Y184" s="13"/>
      <c r="Z184" s="13"/>
      <c r="AA184" s="22">
        <v>45689</v>
      </c>
      <c r="AB184" s="22" cm="1">
        <f t="array" ref="AB1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84" s="4"/>
      <c r="AD184" s="4"/>
      <c r="AE184" s="2"/>
      <c r="AF184" s="3"/>
      <c r="AG184" s="3"/>
      <c r="AH184" s="3"/>
      <c r="AI184" s="3"/>
      <c r="AJ184" s="2">
        <f t="shared" si="24"/>
        <v>0</v>
      </c>
      <c r="AK184" s="2">
        <f t="shared" si="25"/>
        <v>0</v>
      </c>
      <c r="AL184" s="2">
        <f t="shared" si="26"/>
        <v>0</v>
      </c>
      <c r="AM184" s="88"/>
      <c r="AN184" s="157" t="s">
        <v>774</v>
      </c>
    </row>
    <row r="185" spans="2:40" ht="23.15" customHeight="1" thickBot="1">
      <c r="B185" s="87"/>
      <c r="C185" s="2" t="s">
        <v>292</v>
      </c>
      <c r="D185" s="15" t="s">
        <v>12</v>
      </c>
      <c r="E185" s="20" t="s">
        <v>26</v>
      </c>
      <c r="F185" s="20" t="s">
        <v>40</v>
      </c>
      <c r="G185" s="11">
        <v>3</v>
      </c>
      <c r="H185" s="18">
        <v>2</v>
      </c>
      <c r="I185" s="18" t="s">
        <v>294</v>
      </c>
      <c r="J185" s="18" t="s">
        <v>294</v>
      </c>
      <c r="K185" s="13">
        <v>16575.667078220002</v>
      </c>
      <c r="L185" s="41">
        <v>0</v>
      </c>
      <c r="M185" s="41" t="s">
        <v>294</v>
      </c>
      <c r="N185" s="41">
        <v>0</v>
      </c>
      <c r="O185" s="41" t="s">
        <v>294</v>
      </c>
      <c r="P185" s="41" t="s">
        <v>293</v>
      </c>
      <c r="Q185" s="43">
        <v>0</v>
      </c>
      <c r="R185" s="43">
        <v>0</v>
      </c>
      <c r="S185" s="43">
        <v>0</v>
      </c>
      <c r="T185" s="43">
        <v>0</v>
      </c>
      <c r="U185" s="19"/>
      <c r="V185" s="13">
        <f t="shared" si="23"/>
        <v>16575.667078220002</v>
      </c>
      <c r="W185" s="248">
        <v>1.2999999999999999E-2</v>
      </c>
      <c r="X185" s="46">
        <f t="shared" si="22"/>
        <v>16791.150750236859</v>
      </c>
      <c r="Y185" s="13"/>
      <c r="Z185" s="13"/>
      <c r="AA185" s="22">
        <v>45717</v>
      </c>
      <c r="AB185" s="22" cm="1">
        <f t="array" ref="AB1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85" s="4"/>
      <c r="AD185" s="4"/>
      <c r="AE185" s="2"/>
      <c r="AF185" s="3"/>
      <c r="AG185" s="3"/>
      <c r="AH185" s="3"/>
      <c r="AI185" s="3"/>
      <c r="AJ185" s="2">
        <f t="shared" si="24"/>
        <v>0</v>
      </c>
      <c r="AK185" s="2">
        <f t="shared" si="25"/>
        <v>0</v>
      </c>
      <c r="AL185" s="2">
        <f t="shared" si="26"/>
        <v>0</v>
      </c>
      <c r="AM185" s="88"/>
      <c r="AN185" s="157" t="s">
        <v>774</v>
      </c>
    </row>
    <row r="186" spans="2:40" ht="23.15" customHeight="1" thickBot="1">
      <c r="B186" s="87"/>
      <c r="C186" s="2" t="s">
        <v>292</v>
      </c>
      <c r="D186" s="15" t="s">
        <v>12</v>
      </c>
      <c r="E186" s="20" t="s">
        <v>25</v>
      </c>
      <c r="F186" s="20" t="s">
        <v>40</v>
      </c>
      <c r="G186" s="11">
        <v>21</v>
      </c>
      <c r="H186" s="18">
        <v>10</v>
      </c>
      <c r="I186" s="18" t="s">
        <v>294</v>
      </c>
      <c r="J186" s="18" t="s">
        <v>294</v>
      </c>
      <c r="K186" s="19">
        <v>81239.447934159994</v>
      </c>
      <c r="L186" s="41">
        <v>0</v>
      </c>
      <c r="M186" s="41" t="s">
        <v>294</v>
      </c>
      <c r="N186" s="41">
        <v>0</v>
      </c>
      <c r="O186" s="41" t="s">
        <v>294</v>
      </c>
      <c r="P186" s="41" t="s">
        <v>293</v>
      </c>
      <c r="Q186" s="41">
        <v>0</v>
      </c>
      <c r="R186" s="18">
        <v>0</v>
      </c>
      <c r="S186" s="18">
        <v>0</v>
      </c>
      <c r="T186" s="18">
        <v>0</v>
      </c>
      <c r="U186" s="19"/>
      <c r="V186" s="13">
        <f t="shared" si="23"/>
        <v>81239.447934159994</v>
      </c>
      <c r="W186" s="248">
        <v>1.2999999999999999E-2</v>
      </c>
      <c r="X186" s="46">
        <f t="shared" si="22"/>
        <v>82295.560757304062</v>
      </c>
      <c r="Y186" s="13"/>
      <c r="Z186" s="13"/>
      <c r="AA186" s="22">
        <v>45717</v>
      </c>
      <c r="AB186" s="22" cm="1">
        <f t="array" ref="AB1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86" s="4"/>
      <c r="AD186" s="4"/>
      <c r="AE186" s="2"/>
      <c r="AF186" s="3"/>
      <c r="AG186" s="3"/>
      <c r="AH186" s="3"/>
      <c r="AI186" s="3"/>
      <c r="AJ186" s="2">
        <f t="shared" si="24"/>
        <v>0</v>
      </c>
      <c r="AK186" s="2">
        <f t="shared" si="25"/>
        <v>0</v>
      </c>
      <c r="AL186" s="2">
        <f t="shared" si="26"/>
        <v>0</v>
      </c>
      <c r="AM186" s="88"/>
      <c r="AN186" s="157" t="s">
        <v>774</v>
      </c>
    </row>
    <row r="187" spans="2:40" ht="23.15" customHeight="1" thickBot="1">
      <c r="B187" s="87">
        <v>45727</v>
      </c>
      <c r="C187" s="2" t="s">
        <v>295</v>
      </c>
      <c r="D187" s="15" t="s">
        <v>17</v>
      </c>
      <c r="E187" s="20" t="s">
        <v>30</v>
      </c>
      <c r="F187" s="20" t="s">
        <v>73</v>
      </c>
      <c r="G187" s="11">
        <v>29</v>
      </c>
      <c r="H187" s="18">
        <v>29</v>
      </c>
      <c r="I187" s="18">
        <v>4</v>
      </c>
      <c r="J187" s="18">
        <v>4.5</v>
      </c>
      <c r="K187" s="19">
        <v>139314.10015761</v>
      </c>
      <c r="L187" s="41">
        <v>0</v>
      </c>
      <c r="M187" s="41">
        <v>-558.54999999999995</v>
      </c>
      <c r="N187" s="41">
        <v>0</v>
      </c>
      <c r="O187" s="41">
        <v>-77.13</v>
      </c>
      <c r="P187" s="41">
        <v>-1509.24</v>
      </c>
      <c r="Q187" s="41">
        <v>0</v>
      </c>
      <c r="R187" s="41">
        <v>-307.642</v>
      </c>
      <c r="S187" s="41">
        <v>0</v>
      </c>
      <c r="T187" s="41">
        <v>0</v>
      </c>
      <c r="U187" s="19" t="s">
        <v>295</v>
      </c>
      <c r="V187" s="13">
        <f t="shared" si="23"/>
        <v>136861.53815761002</v>
      </c>
      <c r="W187" s="13"/>
      <c r="X187" s="13"/>
      <c r="Y187" s="13"/>
      <c r="Z187" s="13"/>
      <c r="AA187" s="22">
        <v>45658</v>
      </c>
      <c r="AB187" s="22" cm="1">
        <f t="array" ref="AB1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87" s="4"/>
      <c r="AD187" s="4"/>
      <c r="AE187" s="2"/>
      <c r="AF187" s="3"/>
      <c r="AG187" s="3"/>
      <c r="AH187" s="3"/>
      <c r="AI187" s="3"/>
      <c r="AJ187" s="2">
        <f t="shared" si="24"/>
        <v>558.54999999999995</v>
      </c>
      <c r="AK187" s="2">
        <f t="shared" si="25"/>
        <v>0</v>
      </c>
      <c r="AL187" s="2">
        <f t="shared" si="26"/>
        <v>2452.5619999999763</v>
      </c>
      <c r="AM187" s="88"/>
      <c r="AN187" s="157" t="s">
        <v>774</v>
      </c>
    </row>
    <row r="188" spans="2:40" ht="23.15" customHeight="1" thickBot="1">
      <c r="B188" s="87">
        <v>45918</v>
      </c>
      <c r="C188" s="2" t="s">
        <v>295</v>
      </c>
      <c r="D188" s="15" t="s">
        <v>13</v>
      </c>
      <c r="E188" s="20" t="s">
        <v>25</v>
      </c>
      <c r="F188" s="20" t="s">
        <v>41</v>
      </c>
      <c r="G188" s="11">
        <v>18</v>
      </c>
      <c r="H188" s="18">
        <v>10</v>
      </c>
      <c r="I188" s="18">
        <v>11</v>
      </c>
      <c r="J188" s="18">
        <v>0</v>
      </c>
      <c r="K188" s="19">
        <v>76239.98958347096</v>
      </c>
      <c r="L188" s="41">
        <v>-2303.52</v>
      </c>
      <c r="M188" s="41">
        <v>-2354.2199999999998</v>
      </c>
      <c r="N188" s="41">
        <v>0</v>
      </c>
      <c r="O188" s="41">
        <v>0</v>
      </c>
      <c r="P188" s="41">
        <v>-762.4</v>
      </c>
      <c r="Q188" s="41">
        <v>0</v>
      </c>
      <c r="R188" s="41">
        <v>-219.44241735266399</v>
      </c>
      <c r="S188" s="41">
        <v>0</v>
      </c>
      <c r="T188" s="41">
        <v>0</v>
      </c>
      <c r="U188" s="19" t="s">
        <v>295</v>
      </c>
      <c r="V188" s="13">
        <f t="shared" si="23"/>
        <v>72903.927166118301</v>
      </c>
      <c r="W188" s="13"/>
      <c r="X188" s="13"/>
      <c r="Y188" s="13"/>
      <c r="Z188" s="13"/>
      <c r="AA188" s="22">
        <v>45717</v>
      </c>
      <c r="AB188" s="22" cm="1">
        <f t="array" ref="AB1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88" s="4">
        <v>1281.98</v>
      </c>
      <c r="AD188" s="4">
        <v>1473.5059239453358</v>
      </c>
      <c r="AE188" s="2"/>
      <c r="AF188" s="3"/>
      <c r="AG188" s="3"/>
      <c r="AH188" s="3"/>
      <c r="AI188" s="3"/>
      <c r="AJ188" s="2">
        <f t="shared" si="24"/>
        <v>50.699999999999818</v>
      </c>
      <c r="AK188" s="2">
        <f t="shared" si="25"/>
        <v>-191.52592394533576</v>
      </c>
      <c r="AL188" s="2">
        <f t="shared" si="26"/>
        <v>3336.0624173526594</v>
      </c>
      <c r="AM188" s="88"/>
      <c r="AN188" s="157" t="s">
        <v>774</v>
      </c>
    </row>
    <row r="189" spans="2:40" ht="23.15" customHeight="1" thickBot="1">
      <c r="B189" s="87">
        <v>45918</v>
      </c>
      <c r="C189" s="2" t="s">
        <v>295</v>
      </c>
      <c r="D189" s="15" t="s">
        <v>13</v>
      </c>
      <c r="E189" s="20" t="s">
        <v>25</v>
      </c>
      <c r="F189" s="20" t="s">
        <v>41</v>
      </c>
      <c r="G189" s="11">
        <v>18</v>
      </c>
      <c r="H189" s="11">
        <v>10</v>
      </c>
      <c r="I189" s="18">
        <v>23</v>
      </c>
      <c r="J189" s="18">
        <v>7</v>
      </c>
      <c r="K189" s="19">
        <v>76239.98958347096</v>
      </c>
      <c r="L189" s="41">
        <v>-3263.32</v>
      </c>
      <c r="M189" s="41">
        <v>-5321.82</v>
      </c>
      <c r="N189" s="41">
        <v>0</v>
      </c>
      <c r="O189" s="41">
        <v>-301.49</v>
      </c>
      <c r="P189" s="41">
        <v>-762.4</v>
      </c>
      <c r="Q189" s="43">
        <v>0</v>
      </c>
      <c r="R189" s="43">
        <v>-219.44241735266399</v>
      </c>
      <c r="S189" s="43">
        <v>0</v>
      </c>
      <c r="T189" s="43">
        <v>0</v>
      </c>
      <c r="U189" s="19" t="s">
        <v>299</v>
      </c>
      <c r="V189" s="13">
        <f t="shared" si="23"/>
        <v>70397.237166118299</v>
      </c>
      <c r="W189" s="13"/>
      <c r="X189" s="13"/>
      <c r="Y189" s="13">
        <v>22508.38</v>
      </c>
      <c r="Z189" s="13" t="s">
        <v>302</v>
      </c>
      <c r="AA189" s="22">
        <v>45748</v>
      </c>
      <c r="AB189" s="22" cm="1">
        <f t="array" ref="AB1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89" s="4">
        <v>1205.31</v>
      </c>
      <c r="AD189" s="4">
        <v>1199.0607572786691</v>
      </c>
      <c r="AE189" s="2"/>
      <c r="AF189" s="3"/>
      <c r="AG189" s="3"/>
      <c r="AH189" s="3"/>
      <c r="AI189" s="3"/>
      <c r="AJ189" s="2">
        <f t="shared" si="24"/>
        <v>2058.4999999999995</v>
      </c>
      <c r="AK189" s="2">
        <f t="shared" si="25"/>
        <v>6.2492427213308019</v>
      </c>
      <c r="AL189" s="2">
        <f t="shared" si="26"/>
        <v>5842.7524173526617</v>
      </c>
      <c r="AM189" s="88"/>
      <c r="AN189" s="157" t="s">
        <v>774</v>
      </c>
    </row>
    <row r="190" spans="2:40" ht="23.15" customHeight="1" thickBot="1">
      <c r="B190" s="87"/>
      <c r="C190" s="2" t="s">
        <v>292</v>
      </c>
      <c r="D190" s="15" t="s">
        <v>12</v>
      </c>
      <c r="E190" s="20" t="s">
        <v>26</v>
      </c>
      <c r="F190" s="20" t="s">
        <v>40</v>
      </c>
      <c r="G190" s="11">
        <v>3</v>
      </c>
      <c r="H190" s="18">
        <v>2</v>
      </c>
      <c r="I190" s="18" t="s">
        <v>294</v>
      </c>
      <c r="J190" s="18" t="s">
        <v>294</v>
      </c>
      <c r="K190" s="9">
        <v>16575.667078220002</v>
      </c>
      <c r="L190" s="41">
        <v>0</v>
      </c>
      <c r="M190" s="41" t="s">
        <v>294</v>
      </c>
      <c r="N190" s="41">
        <v>0</v>
      </c>
      <c r="O190" s="41" t="s">
        <v>294</v>
      </c>
      <c r="P190" s="41" t="s">
        <v>293</v>
      </c>
      <c r="Q190" s="43">
        <v>0</v>
      </c>
      <c r="R190" s="43">
        <v>0</v>
      </c>
      <c r="S190" s="43">
        <v>0</v>
      </c>
      <c r="T190" s="43">
        <v>0</v>
      </c>
      <c r="U190" s="19"/>
      <c r="V190" s="13">
        <f t="shared" si="23"/>
        <v>16575.667078220002</v>
      </c>
      <c r="W190" s="269">
        <v>1.2999999999999999E-2</v>
      </c>
      <c r="X190" s="46">
        <f t="shared" ref="X190:X208" si="27">IF(K190="","",V190*(1+W190))</f>
        <v>16791.150750236859</v>
      </c>
      <c r="Y190" s="13"/>
      <c r="Z190" s="13"/>
      <c r="AA190" s="22">
        <v>45748</v>
      </c>
      <c r="AB190" s="22" cm="1">
        <f t="array" ref="AB1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90" s="4"/>
      <c r="AD190" s="4"/>
      <c r="AE190" s="2"/>
      <c r="AF190" s="3"/>
      <c r="AG190" s="3"/>
      <c r="AH190" s="3"/>
      <c r="AI190" s="3"/>
      <c r="AJ190" s="2">
        <f t="shared" si="24"/>
        <v>0</v>
      </c>
      <c r="AK190" s="2">
        <f t="shared" si="25"/>
        <v>0</v>
      </c>
      <c r="AL190" s="2">
        <f t="shared" si="26"/>
        <v>0</v>
      </c>
      <c r="AM190" s="88"/>
      <c r="AN190" s="157" t="s">
        <v>774</v>
      </c>
    </row>
    <row r="191" spans="2:40" ht="23.15" customHeight="1" thickBot="1">
      <c r="B191" s="87"/>
      <c r="C191" s="2" t="s">
        <v>292</v>
      </c>
      <c r="D191" s="15" t="s">
        <v>12</v>
      </c>
      <c r="E191" s="20" t="s">
        <v>25</v>
      </c>
      <c r="F191" s="20" t="s">
        <v>40</v>
      </c>
      <c r="G191" s="11">
        <v>21</v>
      </c>
      <c r="H191" s="18">
        <v>10</v>
      </c>
      <c r="I191" s="18" t="s">
        <v>294</v>
      </c>
      <c r="J191" s="18" t="s">
        <v>294</v>
      </c>
      <c r="K191" s="249">
        <v>81239.447934159994</v>
      </c>
      <c r="L191" s="41">
        <v>0</v>
      </c>
      <c r="M191" s="43" t="s">
        <v>294</v>
      </c>
      <c r="N191" s="41">
        <v>0</v>
      </c>
      <c r="O191" s="43" t="s">
        <v>294</v>
      </c>
      <c r="P191" s="41" t="s">
        <v>293</v>
      </c>
      <c r="Q191" s="43">
        <v>0</v>
      </c>
      <c r="R191" s="11">
        <v>0</v>
      </c>
      <c r="S191" s="43">
        <v>0</v>
      </c>
      <c r="T191" s="43">
        <v>0</v>
      </c>
      <c r="U191" s="19"/>
      <c r="V191" s="13">
        <f t="shared" si="23"/>
        <v>81239.447934159994</v>
      </c>
      <c r="W191" s="248">
        <v>1.2999999999999999E-2</v>
      </c>
      <c r="X191" s="46">
        <f t="shared" si="27"/>
        <v>82295.560757304062</v>
      </c>
      <c r="Y191" s="13"/>
      <c r="Z191" s="13"/>
      <c r="AA191" s="22">
        <v>45748</v>
      </c>
      <c r="AB191" s="22" cm="1">
        <f t="array" ref="AB1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91" s="4"/>
      <c r="AD191" s="4"/>
      <c r="AE191" s="2"/>
      <c r="AF191" s="3"/>
      <c r="AG191" s="3"/>
      <c r="AH191" s="3"/>
      <c r="AI191" s="3"/>
      <c r="AJ191" s="2">
        <f t="shared" si="24"/>
        <v>0</v>
      </c>
      <c r="AK191" s="2">
        <f t="shared" si="25"/>
        <v>0</v>
      </c>
      <c r="AL191" s="2">
        <f t="shared" si="26"/>
        <v>0</v>
      </c>
      <c r="AM191" s="88"/>
      <c r="AN191" s="157" t="s">
        <v>774</v>
      </c>
    </row>
    <row r="192" spans="2:40" ht="23.15" customHeight="1" thickBot="1">
      <c r="B192" s="87"/>
      <c r="C192" s="2" t="s">
        <v>292</v>
      </c>
      <c r="D192" s="15" t="s">
        <v>12</v>
      </c>
      <c r="E192" s="20" t="s">
        <v>26</v>
      </c>
      <c r="F192" s="20" t="s">
        <v>40</v>
      </c>
      <c r="G192" s="11">
        <v>3</v>
      </c>
      <c r="H192" s="18">
        <v>2</v>
      </c>
      <c r="I192" s="18" t="s">
        <v>294</v>
      </c>
      <c r="J192" s="18" t="s">
        <v>294</v>
      </c>
      <c r="K192" s="13">
        <v>16575.667078220002</v>
      </c>
      <c r="L192" s="41">
        <v>0</v>
      </c>
      <c r="M192" s="43" t="s">
        <v>294</v>
      </c>
      <c r="N192" s="41">
        <v>0</v>
      </c>
      <c r="O192" s="43" t="s">
        <v>294</v>
      </c>
      <c r="P192" s="41" t="s">
        <v>293</v>
      </c>
      <c r="Q192" s="43">
        <v>0</v>
      </c>
      <c r="R192" s="43">
        <v>0</v>
      </c>
      <c r="S192" s="43">
        <v>0</v>
      </c>
      <c r="T192" s="43">
        <v>0</v>
      </c>
      <c r="U192" s="19"/>
      <c r="V192" s="13">
        <f t="shared" si="23"/>
        <v>16575.667078220002</v>
      </c>
      <c r="W192" s="269">
        <v>1.2999999999999999E-2</v>
      </c>
      <c r="X192" s="46">
        <f t="shared" si="27"/>
        <v>16791.150750236859</v>
      </c>
      <c r="Y192" s="13"/>
      <c r="Z192" s="13"/>
      <c r="AA192" s="22">
        <v>45778</v>
      </c>
      <c r="AB192" s="22" cm="1">
        <f t="array" ref="AB1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92" s="4"/>
      <c r="AD192" s="4"/>
      <c r="AE192" s="2"/>
      <c r="AF192" s="3"/>
      <c r="AG192" s="3"/>
      <c r="AH192" s="3"/>
      <c r="AI192" s="3"/>
      <c r="AJ192" s="2">
        <f t="shared" si="24"/>
        <v>0</v>
      </c>
      <c r="AK192" s="2">
        <f t="shared" si="25"/>
        <v>0</v>
      </c>
      <c r="AL192" s="2">
        <f t="shared" si="26"/>
        <v>0</v>
      </c>
      <c r="AM192" s="88"/>
      <c r="AN192" s="157" t="s">
        <v>774</v>
      </c>
    </row>
    <row r="193" spans="2:40" ht="23.15" customHeight="1" thickBot="1">
      <c r="B193" s="87">
        <v>45665</v>
      </c>
      <c r="C193" s="2" t="s">
        <v>295</v>
      </c>
      <c r="D193" s="15" t="s">
        <v>12</v>
      </c>
      <c r="E193" s="20" t="s">
        <v>29</v>
      </c>
      <c r="F193" s="20" t="s">
        <v>40</v>
      </c>
      <c r="G193" s="11">
        <v>5</v>
      </c>
      <c r="H193" s="11">
        <v>5</v>
      </c>
      <c r="I193" s="18">
        <v>0</v>
      </c>
      <c r="J193" s="18">
        <v>0</v>
      </c>
      <c r="K193" s="19">
        <v>23043.158176188757</v>
      </c>
      <c r="L193" s="41">
        <v>0</v>
      </c>
      <c r="M193" s="43">
        <v>0</v>
      </c>
      <c r="N193" s="41">
        <v>0</v>
      </c>
      <c r="O193" s="43">
        <v>0</v>
      </c>
      <c r="P193" s="41" t="s">
        <v>293</v>
      </c>
      <c r="Q193" s="43">
        <v>0</v>
      </c>
      <c r="R193" s="43">
        <v>0</v>
      </c>
      <c r="S193" s="43">
        <v>0</v>
      </c>
      <c r="T193" s="43">
        <v>0</v>
      </c>
      <c r="U193" s="19"/>
      <c r="V193" s="13">
        <f t="shared" si="23"/>
        <v>23043.158176188757</v>
      </c>
      <c r="W193" s="42">
        <v>0</v>
      </c>
      <c r="X193" s="46">
        <f t="shared" si="27"/>
        <v>23043.158176188757</v>
      </c>
      <c r="Y193" s="13"/>
      <c r="Z193" s="13"/>
      <c r="AA193" s="22">
        <v>45658</v>
      </c>
      <c r="AB193" s="22" cm="1">
        <f t="array" ref="AB1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93" s="4"/>
      <c r="AD193" s="4"/>
      <c r="AE193" s="2"/>
      <c r="AF193" s="3"/>
      <c r="AG193" s="3"/>
      <c r="AH193" s="3"/>
      <c r="AI193" s="3"/>
      <c r="AJ193" s="2">
        <f t="shared" si="24"/>
        <v>0</v>
      </c>
      <c r="AK193" s="2">
        <f t="shared" si="25"/>
        <v>0</v>
      </c>
      <c r="AL193" s="2">
        <f t="shared" si="26"/>
        <v>0</v>
      </c>
      <c r="AM193" s="88"/>
      <c r="AN193" s="157" t="s">
        <v>774</v>
      </c>
    </row>
    <row r="194" spans="2:40" ht="23.15" customHeight="1" thickBot="1">
      <c r="B194" s="87">
        <v>45722</v>
      </c>
      <c r="C194" s="2" t="s">
        <v>295</v>
      </c>
      <c r="D194" s="15" t="s">
        <v>12</v>
      </c>
      <c r="E194" s="20" t="s">
        <v>29</v>
      </c>
      <c r="F194" s="20" t="s">
        <v>39</v>
      </c>
      <c r="G194" s="11">
        <v>5</v>
      </c>
      <c r="H194" s="11">
        <v>5</v>
      </c>
      <c r="I194" s="18">
        <v>0</v>
      </c>
      <c r="J194" s="18">
        <v>0</v>
      </c>
      <c r="K194" s="19">
        <v>23043.158176188757</v>
      </c>
      <c r="L194" s="41">
        <v>0</v>
      </c>
      <c r="M194" s="41">
        <v>0</v>
      </c>
      <c r="N194" s="41">
        <v>0</v>
      </c>
      <c r="O194" s="41">
        <v>0</v>
      </c>
      <c r="P194" s="41">
        <v>0</v>
      </c>
      <c r="Q194" s="43">
        <v>0</v>
      </c>
      <c r="R194" s="43">
        <v>0</v>
      </c>
      <c r="S194" s="43">
        <v>0</v>
      </c>
      <c r="T194" s="43">
        <v>0</v>
      </c>
      <c r="U194" s="19" t="s">
        <v>295</v>
      </c>
      <c r="V194" s="13">
        <f t="shared" si="23"/>
        <v>23043.158176188757</v>
      </c>
      <c r="W194" s="42">
        <v>0</v>
      </c>
      <c r="X194" s="46">
        <f t="shared" si="27"/>
        <v>23043.158176188757</v>
      </c>
      <c r="Y194" s="13"/>
      <c r="Z194" s="13"/>
      <c r="AA194" s="22">
        <v>45689</v>
      </c>
      <c r="AB194" s="22" cm="1">
        <f t="array" ref="AB1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94" s="4"/>
      <c r="AD194" s="4"/>
      <c r="AE194" s="2"/>
      <c r="AF194" s="3"/>
      <c r="AG194" s="3"/>
      <c r="AH194" s="3"/>
      <c r="AI194" s="3"/>
      <c r="AJ194" s="2">
        <f t="shared" si="24"/>
        <v>0</v>
      </c>
      <c r="AK194" s="2">
        <f t="shared" si="25"/>
        <v>0</v>
      </c>
      <c r="AL194" s="2">
        <f t="shared" si="26"/>
        <v>0</v>
      </c>
      <c r="AM194" s="88"/>
      <c r="AN194" s="157" t="s">
        <v>774</v>
      </c>
    </row>
    <row r="195" spans="2:40" ht="23.15" customHeight="1" thickBot="1">
      <c r="B195" s="87">
        <v>45750</v>
      </c>
      <c r="C195" s="2" t="s">
        <v>295</v>
      </c>
      <c r="D195" s="15" t="s">
        <v>12</v>
      </c>
      <c r="E195" s="20" t="s">
        <v>29</v>
      </c>
      <c r="F195" s="20" t="s">
        <v>39</v>
      </c>
      <c r="G195" s="11">
        <v>5</v>
      </c>
      <c r="H195" s="11">
        <v>5</v>
      </c>
      <c r="I195" s="18">
        <v>0</v>
      </c>
      <c r="J195" s="18">
        <v>0</v>
      </c>
      <c r="K195" s="19">
        <v>23043.158176188757</v>
      </c>
      <c r="L195" s="41">
        <v>0</v>
      </c>
      <c r="M195" s="41">
        <v>0</v>
      </c>
      <c r="N195" s="41">
        <v>0</v>
      </c>
      <c r="O195" s="41">
        <v>0</v>
      </c>
      <c r="P195" s="41" t="s">
        <v>293</v>
      </c>
      <c r="Q195" s="43">
        <v>0</v>
      </c>
      <c r="R195" s="43">
        <v>0</v>
      </c>
      <c r="S195" s="43">
        <v>0</v>
      </c>
      <c r="T195" s="43">
        <v>0</v>
      </c>
      <c r="U195" s="19"/>
      <c r="V195" s="13">
        <f t="shared" si="23"/>
        <v>23043.158176188757</v>
      </c>
      <c r="W195" s="42">
        <v>0</v>
      </c>
      <c r="X195" s="46">
        <f t="shared" si="27"/>
        <v>23043.158176188757</v>
      </c>
      <c r="Y195" s="13"/>
      <c r="Z195" s="13"/>
      <c r="AA195" s="22">
        <v>45717</v>
      </c>
      <c r="AB195" s="22" cm="1">
        <f t="array" ref="AB1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95" s="4"/>
      <c r="AD195" s="4"/>
      <c r="AE195" s="2"/>
      <c r="AF195" s="3"/>
      <c r="AG195" s="3"/>
      <c r="AH195" s="3"/>
      <c r="AI195" s="3"/>
      <c r="AJ195" s="2">
        <f t="shared" si="24"/>
        <v>0</v>
      </c>
      <c r="AK195" s="2">
        <f t="shared" si="25"/>
        <v>0</v>
      </c>
      <c r="AL195" s="2">
        <f t="shared" si="26"/>
        <v>0</v>
      </c>
      <c r="AM195" s="88"/>
      <c r="AN195" s="157" t="s">
        <v>774</v>
      </c>
    </row>
    <row r="196" spans="2:40" ht="23.15" customHeight="1" thickBot="1">
      <c r="B196" s="87">
        <v>45789</v>
      </c>
      <c r="C196" s="2" t="s">
        <v>295</v>
      </c>
      <c r="D196" s="15" t="s">
        <v>12</v>
      </c>
      <c r="E196" s="20" t="s">
        <v>29</v>
      </c>
      <c r="F196" s="20" t="s">
        <v>39</v>
      </c>
      <c r="G196" s="11">
        <v>5</v>
      </c>
      <c r="H196" s="11">
        <v>5</v>
      </c>
      <c r="I196" s="18">
        <v>0</v>
      </c>
      <c r="J196" s="18">
        <v>0</v>
      </c>
      <c r="K196" s="19">
        <v>23043.158176188757</v>
      </c>
      <c r="L196" s="41">
        <v>0</v>
      </c>
      <c r="M196" s="41">
        <v>0</v>
      </c>
      <c r="N196" s="41">
        <v>0</v>
      </c>
      <c r="O196" s="41">
        <v>0</v>
      </c>
      <c r="P196" s="41" t="s">
        <v>293</v>
      </c>
      <c r="Q196" s="43">
        <v>0</v>
      </c>
      <c r="R196" s="43">
        <v>0</v>
      </c>
      <c r="S196" s="43">
        <v>0</v>
      </c>
      <c r="T196" s="43">
        <v>0</v>
      </c>
      <c r="U196" s="19"/>
      <c r="V196" s="13">
        <f t="shared" si="23"/>
        <v>23043.158176188757</v>
      </c>
      <c r="W196" s="42">
        <v>0</v>
      </c>
      <c r="X196" s="46">
        <f t="shared" si="27"/>
        <v>23043.158176188757</v>
      </c>
      <c r="Y196" s="13"/>
      <c r="Z196" s="13"/>
      <c r="AA196" s="22">
        <v>45748</v>
      </c>
      <c r="AB196" s="22" cm="1">
        <f t="array" ref="AB1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96" s="4"/>
      <c r="AD196" s="4"/>
      <c r="AE196" s="2"/>
      <c r="AF196" s="3"/>
      <c r="AG196" s="3"/>
      <c r="AH196" s="3"/>
      <c r="AI196" s="3"/>
      <c r="AJ196" s="2">
        <f t="shared" si="24"/>
        <v>0</v>
      </c>
      <c r="AK196" s="2">
        <f t="shared" si="25"/>
        <v>0</v>
      </c>
      <c r="AL196" s="2">
        <f t="shared" si="26"/>
        <v>0</v>
      </c>
      <c r="AM196" s="88"/>
      <c r="AN196" s="157" t="s">
        <v>774</v>
      </c>
    </row>
    <row r="197" spans="2:40" ht="23.15" customHeight="1" thickBot="1">
      <c r="B197" s="87">
        <v>45842</v>
      </c>
      <c r="C197" s="2" t="s">
        <v>295</v>
      </c>
      <c r="D197" s="15" t="s">
        <v>12</v>
      </c>
      <c r="E197" s="20" t="s">
        <v>29</v>
      </c>
      <c r="F197" s="20" t="s">
        <v>39</v>
      </c>
      <c r="G197" s="11">
        <v>5</v>
      </c>
      <c r="H197" s="18">
        <v>5</v>
      </c>
      <c r="I197" s="18">
        <v>0</v>
      </c>
      <c r="J197" s="18">
        <v>0</v>
      </c>
      <c r="K197" s="19">
        <v>23043.158176188757</v>
      </c>
      <c r="L197" s="41">
        <v>0</v>
      </c>
      <c r="M197" s="41">
        <v>0</v>
      </c>
      <c r="N197" s="41">
        <v>0</v>
      </c>
      <c r="O197" s="41">
        <v>0</v>
      </c>
      <c r="P197" s="41" t="s">
        <v>301</v>
      </c>
      <c r="Q197" s="43">
        <v>0</v>
      </c>
      <c r="R197" s="43">
        <v>0</v>
      </c>
      <c r="S197" s="43">
        <v>0</v>
      </c>
      <c r="T197" s="43">
        <v>0</v>
      </c>
      <c r="U197" s="19"/>
      <c r="V197" s="13">
        <f t="shared" si="23"/>
        <v>23043.158176188757</v>
      </c>
      <c r="W197" s="42">
        <v>0</v>
      </c>
      <c r="X197" s="46">
        <f t="shared" si="27"/>
        <v>23043.158176188757</v>
      </c>
      <c r="Y197" s="13"/>
      <c r="Z197" s="13"/>
      <c r="AA197" s="22">
        <v>45778</v>
      </c>
      <c r="AB197" s="22" cm="1">
        <f t="array" ref="AB1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97" s="4"/>
      <c r="AD197" s="4"/>
      <c r="AE197" s="2"/>
      <c r="AF197" s="3"/>
      <c r="AG197" s="3"/>
      <c r="AH197" s="3"/>
      <c r="AI197" s="3"/>
      <c r="AJ197" s="2">
        <f t="shared" si="24"/>
        <v>0</v>
      </c>
      <c r="AK197" s="2">
        <f t="shared" si="25"/>
        <v>0</v>
      </c>
      <c r="AL197" s="2">
        <f t="shared" si="26"/>
        <v>0</v>
      </c>
      <c r="AM197" s="88"/>
      <c r="AN197" s="157" t="s">
        <v>774</v>
      </c>
    </row>
    <row r="198" spans="2:40" ht="23.15" customHeight="1" thickBot="1">
      <c r="B198" s="87">
        <v>45842</v>
      </c>
      <c r="C198" s="2" t="s">
        <v>295</v>
      </c>
      <c r="D198" s="15" t="s">
        <v>12</v>
      </c>
      <c r="E198" s="20" t="s">
        <v>29</v>
      </c>
      <c r="F198" s="20" t="s">
        <v>39</v>
      </c>
      <c r="G198" s="11">
        <v>5</v>
      </c>
      <c r="H198" s="18">
        <v>5</v>
      </c>
      <c r="I198" s="18">
        <v>0</v>
      </c>
      <c r="J198" s="18">
        <v>0</v>
      </c>
      <c r="K198" s="19">
        <v>23043.158176188757</v>
      </c>
      <c r="L198" s="41">
        <v>0</v>
      </c>
      <c r="M198" s="41">
        <v>0</v>
      </c>
      <c r="N198" s="41">
        <v>0</v>
      </c>
      <c r="O198" s="41">
        <v>0</v>
      </c>
      <c r="P198" s="41" t="s">
        <v>301</v>
      </c>
      <c r="Q198" s="41">
        <v>0</v>
      </c>
      <c r="R198" s="41">
        <v>0</v>
      </c>
      <c r="S198" s="41">
        <v>0</v>
      </c>
      <c r="T198" s="41">
        <v>0</v>
      </c>
      <c r="U198" s="19"/>
      <c r="V198" s="13">
        <f t="shared" si="23"/>
        <v>23043.158176188757</v>
      </c>
      <c r="W198" s="42">
        <v>0</v>
      </c>
      <c r="X198" s="46">
        <f t="shared" si="27"/>
        <v>23043.158176188757</v>
      </c>
      <c r="Y198" s="13"/>
      <c r="Z198" s="13"/>
      <c r="AA198" s="22">
        <v>45809</v>
      </c>
      <c r="AB198" s="22" cm="1">
        <f t="array" ref="AB1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98" s="4"/>
      <c r="AD198" s="4"/>
      <c r="AE198" s="2"/>
      <c r="AF198" s="3"/>
      <c r="AG198" s="3"/>
      <c r="AH198" s="3"/>
      <c r="AI198" s="3"/>
      <c r="AJ198" s="2">
        <f t="shared" si="24"/>
        <v>0</v>
      </c>
      <c r="AK198" s="2">
        <f t="shared" si="25"/>
        <v>0</v>
      </c>
      <c r="AL198" s="2">
        <f t="shared" si="26"/>
        <v>0</v>
      </c>
      <c r="AM198" s="88"/>
      <c r="AN198" s="157" t="s">
        <v>774</v>
      </c>
    </row>
    <row r="199" spans="2:40" ht="23.15" customHeight="1" thickBot="1">
      <c r="B199" s="87">
        <v>45874</v>
      </c>
      <c r="C199" s="2" t="s">
        <v>295</v>
      </c>
      <c r="D199" s="15" t="s">
        <v>12</v>
      </c>
      <c r="E199" s="20" t="s">
        <v>29</v>
      </c>
      <c r="F199" s="20" t="s">
        <v>39</v>
      </c>
      <c r="G199" s="11">
        <v>5</v>
      </c>
      <c r="H199" s="18">
        <v>5</v>
      </c>
      <c r="I199" s="18">
        <v>1</v>
      </c>
      <c r="J199" s="18">
        <v>0</v>
      </c>
      <c r="K199" s="19">
        <v>23043.158176188757</v>
      </c>
      <c r="L199" s="41">
        <v>0</v>
      </c>
      <c r="M199" s="41">
        <v>-141.21</v>
      </c>
      <c r="N199" s="41">
        <v>0</v>
      </c>
      <c r="O199" s="41">
        <v>0</v>
      </c>
      <c r="P199" s="41">
        <v>0</v>
      </c>
      <c r="Q199" s="41">
        <v>0</v>
      </c>
      <c r="R199" s="41">
        <v>0</v>
      </c>
      <c r="S199" s="41">
        <v>0</v>
      </c>
      <c r="T199" s="41">
        <v>0</v>
      </c>
      <c r="U199" s="19" t="s">
        <v>295</v>
      </c>
      <c r="V199" s="13">
        <f t="shared" si="23"/>
        <v>22901.948176188758</v>
      </c>
      <c r="W199" s="42">
        <v>0</v>
      </c>
      <c r="X199" s="46">
        <f t="shared" si="27"/>
        <v>22901.948176188758</v>
      </c>
      <c r="Y199" s="13"/>
      <c r="Z199" s="13"/>
      <c r="AA199" s="22">
        <v>45839</v>
      </c>
      <c r="AB199" s="22" cm="1">
        <f t="array" ref="AB1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99" s="4"/>
      <c r="AD199" s="4"/>
      <c r="AE199" s="2"/>
      <c r="AF199" s="3"/>
      <c r="AG199" s="3"/>
      <c r="AH199" s="3"/>
      <c r="AI199" s="3"/>
      <c r="AJ199" s="2">
        <f t="shared" si="24"/>
        <v>141.21</v>
      </c>
      <c r="AK199" s="2">
        <f t="shared" si="25"/>
        <v>0</v>
      </c>
      <c r="AL199" s="2">
        <f t="shared" si="26"/>
        <v>141.20999999999913</v>
      </c>
      <c r="AM199" s="88"/>
      <c r="AN199" s="157" t="s">
        <v>774</v>
      </c>
    </row>
    <row r="200" spans="2:40" ht="23.15" customHeight="1" thickBot="1">
      <c r="B200" s="87">
        <v>45905</v>
      </c>
      <c r="C200" s="2" t="s">
        <v>295</v>
      </c>
      <c r="D200" s="15" t="s">
        <v>12</v>
      </c>
      <c r="E200" s="20" t="s">
        <v>29</v>
      </c>
      <c r="F200" s="20" t="s">
        <v>39</v>
      </c>
      <c r="G200" s="11">
        <v>5</v>
      </c>
      <c r="H200" s="18">
        <v>5</v>
      </c>
      <c r="I200" s="18">
        <v>0</v>
      </c>
      <c r="J200" s="18">
        <v>0</v>
      </c>
      <c r="K200" s="19">
        <v>23043.158176188757</v>
      </c>
      <c r="L200" s="41">
        <v>0</v>
      </c>
      <c r="M200" s="41">
        <v>0</v>
      </c>
      <c r="N200" s="41">
        <v>0</v>
      </c>
      <c r="O200" s="41">
        <v>0</v>
      </c>
      <c r="P200" s="41">
        <v>0</v>
      </c>
      <c r="Q200" s="41">
        <v>0</v>
      </c>
      <c r="R200" s="41">
        <v>0</v>
      </c>
      <c r="S200" s="41">
        <v>0</v>
      </c>
      <c r="T200" s="41">
        <v>0</v>
      </c>
      <c r="U200" s="19" t="s">
        <v>295</v>
      </c>
      <c r="V200" s="13">
        <f t="shared" ref="V200:V231" si="28">IFERROR((K200+M200+R200+S200+T200+O200)+IF(U200="Sim",P200+Q200,0),(K200+R200+S200+T200)+IF(U200="Sim",P200+Q200,0))</f>
        <v>23043.158176188757</v>
      </c>
      <c r="W200" s="42">
        <v>0</v>
      </c>
      <c r="X200" s="46">
        <f t="shared" si="27"/>
        <v>23043.158176188757</v>
      </c>
      <c r="Y200" s="13"/>
      <c r="Z200" s="13"/>
      <c r="AA200" s="22">
        <v>45870</v>
      </c>
      <c r="AB200" s="22" cm="1">
        <f t="array" ref="AB2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00" s="4">
        <v>3953.1608536284975</v>
      </c>
      <c r="AD200" s="4">
        <v>3953.1608536284975</v>
      </c>
      <c r="AE200" s="2"/>
      <c r="AF200" s="3"/>
      <c r="AG200" s="3"/>
      <c r="AH200" s="3"/>
      <c r="AI200" s="3"/>
      <c r="AJ200" s="2">
        <f t="shared" ref="AJ200:AJ231" si="29">IFERROR(L200-M200,0)</f>
        <v>0</v>
      </c>
      <c r="AK200" s="2">
        <f t="shared" ref="AK200:AK231" si="30">AC200-AD200</f>
        <v>0</v>
      </c>
      <c r="AL200" s="2">
        <f t="shared" ref="AL200:AL231" si="31">K200-V200</f>
        <v>0</v>
      </c>
      <c r="AM200" s="88"/>
      <c r="AN200" s="157" t="s">
        <v>774</v>
      </c>
    </row>
    <row r="201" spans="2:40" ht="23.15" customHeight="1" thickBot="1">
      <c r="B201" s="87"/>
      <c r="C201" s="2" t="s">
        <v>295</v>
      </c>
      <c r="D201" s="15" t="s">
        <v>12</v>
      </c>
      <c r="E201" s="20" t="s">
        <v>28</v>
      </c>
      <c r="F201" s="20" t="s">
        <v>37</v>
      </c>
      <c r="G201" s="11">
        <v>8</v>
      </c>
      <c r="H201" s="18">
        <v>8</v>
      </c>
      <c r="I201" s="18">
        <v>0</v>
      </c>
      <c r="J201" s="18">
        <v>0</v>
      </c>
      <c r="K201" s="19">
        <v>49485.99005</v>
      </c>
      <c r="L201" s="41">
        <v>0</v>
      </c>
      <c r="M201" s="41">
        <v>0</v>
      </c>
      <c r="N201" s="41">
        <v>0</v>
      </c>
      <c r="O201" s="41">
        <v>0</v>
      </c>
      <c r="P201" s="41">
        <v>0</v>
      </c>
      <c r="Q201" s="43">
        <v>0</v>
      </c>
      <c r="R201" s="43">
        <v>0</v>
      </c>
      <c r="S201" s="43">
        <v>0</v>
      </c>
      <c r="T201" s="43">
        <v>0</v>
      </c>
      <c r="U201" s="19"/>
      <c r="V201" s="13">
        <f t="shared" si="28"/>
        <v>49485.99005</v>
      </c>
      <c r="W201" s="42"/>
      <c r="X201" s="46">
        <f t="shared" si="27"/>
        <v>49485.99005</v>
      </c>
      <c r="Y201" s="13"/>
      <c r="Z201" s="13"/>
      <c r="AA201" s="22">
        <v>45658</v>
      </c>
      <c r="AB201" s="22" cm="1">
        <f t="array" ref="AB2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01" s="4"/>
      <c r="AD201" s="4"/>
      <c r="AE201" s="2"/>
      <c r="AF201" s="3"/>
      <c r="AG201" s="3"/>
      <c r="AH201" s="3"/>
      <c r="AI201" s="3"/>
      <c r="AJ201" s="2">
        <f t="shared" si="29"/>
        <v>0</v>
      </c>
      <c r="AK201" s="2">
        <f t="shared" si="30"/>
        <v>0</v>
      </c>
      <c r="AL201" s="2">
        <f t="shared" si="31"/>
        <v>0</v>
      </c>
      <c r="AM201" s="88"/>
      <c r="AN201" s="157" t="s">
        <v>774</v>
      </c>
    </row>
    <row r="202" spans="2:40" ht="23.15" customHeight="1" thickBot="1">
      <c r="B202" s="87">
        <v>45715</v>
      </c>
      <c r="C202" s="2" t="s">
        <v>295</v>
      </c>
      <c r="D202" s="15" t="s">
        <v>12</v>
      </c>
      <c r="E202" s="20" t="s">
        <v>28</v>
      </c>
      <c r="F202" s="20" t="s">
        <v>37</v>
      </c>
      <c r="G202" s="11">
        <v>8</v>
      </c>
      <c r="H202" s="11">
        <v>8</v>
      </c>
      <c r="I202" s="18">
        <v>0</v>
      </c>
      <c r="J202" s="18">
        <v>0</v>
      </c>
      <c r="K202" s="19">
        <v>48754.668783000001</v>
      </c>
      <c r="L202" s="41">
        <v>0</v>
      </c>
      <c r="M202" s="41">
        <v>0</v>
      </c>
      <c r="N202" s="41">
        <v>0</v>
      </c>
      <c r="O202" s="41">
        <v>0</v>
      </c>
      <c r="P202" s="41">
        <v>0</v>
      </c>
      <c r="Q202" s="43">
        <v>0</v>
      </c>
      <c r="R202" s="43">
        <v>0</v>
      </c>
      <c r="S202" s="43">
        <v>0</v>
      </c>
      <c r="T202" s="43">
        <v>0</v>
      </c>
      <c r="U202" s="19" t="s">
        <v>295</v>
      </c>
      <c r="V202" s="13">
        <f t="shared" si="28"/>
        <v>48754.668783000001</v>
      </c>
      <c r="W202" s="42">
        <v>1.4999999999999999E-2</v>
      </c>
      <c r="X202" s="46">
        <f t="shared" si="27"/>
        <v>49485.988814744996</v>
      </c>
      <c r="Y202" s="13"/>
      <c r="Z202" s="13"/>
      <c r="AA202" s="22">
        <v>45689</v>
      </c>
      <c r="AB202" s="22" cm="1">
        <f t="array" ref="AB2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02" s="4"/>
      <c r="AD202" s="4"/>
      <c r="AE202" s="2"/>
      <c r="AF202" s="3"/>
      <c r="AG202" s="3"/>
      <c r="AH202" s="3"/>
      <c r="AI202" s="3"/>
      <c r="AJ202" s="2">
        <f t="shared" si="29"/>
        <v>0</v>
      </c>
      <c r="AK202" s="2">
        <f t="shared" si="30"/>
        <v>0</v>
      </c>
      <c r="AL202" s="2">
        <f t="shared" si="31"/>
        <v>0</v>
      </c>
      <c r="AM202" s="88"/>
      <c r="AN202" s="157" t="s">
        <v>774</v>
      </c>
    </row>
    <row r="203" spans="2:40" ht="23.15" customHeight="1" thickBot="1">
      <c r="B203" s="87"/>
      <c r="C203" s="2" t="s">
        <v>292</v>
      </c>
      <c r="D203" s="15" t="s">
        <v>12</v>
      </c>
      <c r="E203" s="20" t="s">
        <v>28</v>
      </c>
      <c r="F203" s="20" t="s">
        <v>37</v>
      </c>
      <c r="G203" s="11">
        <v>8</v>
      </c>
      <c r="H203" s="18">
        <v>8</v>
      </c>
      <c r="I203" s="18" t="s">
        <v>294</v>
      </c>
      <c r="J203" s="18" t="s">
        <v>294</v>
      </c>
      <c r="K203" s="10">
        <v>48754.668783000001</v>
      </c>
      <c r="L203" s="41">
        <v>0</v>
      </c>
      <c r="M203" s="43" t="s">
        <v>294</v>
      </c>
      <c r="N203" s="41">
        <v>0</v>
      </c>
      <c r="O203" s="43" t="s">
        <v>294</v>
      </c>
      <c r="P203" s="41">
        <v>0</v>
      </c>
      <c r="Q203" s="43">
        <v>0</v>
      </c>
      <c r="R203" s="43">
        <v>0</v>
      </c>
      <c r="S203" s="43">
        <v>0</v>
      </c>
      <c r="T203" s="43">
        <v>0</v>
      </c>
      <c r="U203" s="19"/>
      <c r="V203" s="13">
        <f t="shared" si="28"/>
        <v>48754.668783000001</v>
      </c>
      <c r="W203" s="42">
        <v>1.4999999999999999E-2</v>
      </c>
      <c r="X203" s="46">
        <f t="shared" si="27"/>
        <v>49485.988814744996</v>
      </c>
      <c r="Y203" s="13"/>
      <c r="Z203" s="13"/>
      <c r="AA203" s="22">
        <v>45717</v>
      </c>
      <c r="AB203" s="22" cm="1">
        <f t="array" ref="AB2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03" s="4"/>
      <c r="AD203" s="4"/>
      <c r="AE203" s="2"/>
      <c r="AF203" s="3"/>
      <c r="AG203" s="3"/>
      <c r="AH203" s="3"/>
      <c r="AI203" s="3"/>
      <c r="AJ203" s="2">
        <f t="shared" si="29"/>
        <v>0</v>
      </c>
      <c r="AK203" s="2">
        <f t="shared" si="30"/>
        <v>0</v>
      </c>
      <c r="AL203" s="2">
        <f t="shared" si="31"/>
        <v>0</v>
      </c>
      <c r="AM203" s="88"/>
      <c r="AN203" s="157" t="s">
        <v>774</v>
      </c>
    </row>
    <row r="204" spans="2:40" ht="23.15" customHeight="1" thickBot="1">
      <c r="B204" s="87">
        <v>45782</v>
      </c>
      <c r="C204" s="2" t="s">
        <v>295</v>
      </c>
      <c r="D204" s="15" t="s">
        <v>12</v>
      </c>
      <c r="E204" s="20" t="s">
        <v>28</v>
      </c>
      <c r="F204" s="20" t="s">
        <v>37</v>
      </c>
      <c r="G204" s="11">
        <v>8</v>
      </c>
      <c r="H204" s="18">
        <v>8</v>
      </c>
      <c r="I204" s="18">
        <v>0</v>
      </c>
      <c r="J204" s="18">
        <v>0</v>
      </c>
      <c r="K204" s="19">
        <v>48754.668783000001</v>
      </c>
      <c r="L204" s="41">
        <v>0</v>
      </c>
      <c r="M204" s="41">
        <v>0</v>
      </c>
      <c r="N204" s="41">
        <v>0</v>
      </c>
      <c r="O204" s="41">
        <v>0</v>
      </c>
      <c r="P204" s="41">
        <v>0</v>
      </c>
      <c r="Q204" s="43">
        <v>0</v>
      </c>
      <c r="R204" s="43">
        <v>0</v>
      </c>
      <c r="S204" s="43">
        <v>0</v>
      </c>
      <c r="T204" s="43">
        <v>0</v>
      </c>
      <c r="U204" s="19" t="s">
        <v>295</v>
      </c>
      <c r="V204" s="13">
        <f t="shared" si="28"/>
        <v>48754.668783000001</v>
      </c>
      <c r="W204" s="42">
        <v>1.4999999999999999E-2</v>
      </c>
      <c r="X204" s="46">
        <f t="shared" si="27"/>
        <v>49485.988814744996</v>
      </c>
      <c r="Y204" s="13"/>
      <c r="Z204" s="13"/>
      <c r="AA204" s="22">
        <v>45748</v>
      </c>
      <c r="AB204" s="22" cm="1">
        <f t="array" ref="AB2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04" s="4"/>
      <c r="AD204" s="4"/>
      <c r="AE204" s="2"/>
      <c r="AF204" s="3"/>
      <c r="AG204" s="3"/>
      <c r="AH204" s="3"/>
      <c r="AI204" s="3"/>
      <c r="AJ204" s="2">
        <f t="shared" si="29"/>
        <v>0</v>
      </c>
      <c r="AK204" s="2">
        <f t="shared" si="30"/>
        <v>0</v>
      </c>
      <c r="AL204" s="2">
        <f t="shared" si="31"/>
        <v>0</v>
      </c>
      <c r="AM204" s="88"/>
      <c r="AN204" s="157" t="s">
        <v>774</v>
      </c>
    </row>
    <row r="205" spans="2:40" ht="23.15" customHeight="1" thickBot="1">
      <c r="B205" s="87"/>
      <c r="C205" s="2" t="s">
        <v>292</v>
      </c>
      <c r="D205" s="15" t="s">
        <v>12</v>
      </c>
      <c r="E205" s="20" t="s">
        <v>28</v>
      </c>
      <c r="F205" s="20" t="s">
        <v>37</v>
      </c>
      <c r="G205" s="11">
        <v>8</v>
      </c>
      <c r="H205" s="18">
        <v>8</v>
      </c>
      <c r="I205" s="41" t="s">
        <v>294</v>
      </c>
      <c r="J205" s="41" t="s">
        <v>294</v>
      </c>
      <c r="K205" s="19">
        <v>48754.668783000001</v>
      </c>
      <c r="L205" s="41">
        <v>0</v>
      </c>
      <c r="M205" s="41" t="s">
        <v>294</v>
      </c>
      <c r="N205" s="41">
        <v>0</v>
      </c>
      <c r="O205" s="41" t="s">
        <v>294</v>
      </c>
      <c r="P205" s="41" t="s">
        <v>293</v>
      </c>
      <c r="Q205" s="43">
        <v>0</v>
      </c>
      <c r="R205" s="43">
        <v>0</v>
      </c>
      <c r="S205" s="43">
        <v>0</v>
      </c>
      <c r="T205" s="43">
        <v>0</v>
      </c>
      <c r="U205" s="19"/>
      <c r="V205" s="13">
        <f t="shared" si="28"/>
        <v>48754.668783000001</v>
      </c>
      <c r="W205" s="42">
        <v>1.4999999999999999E-2</v>
      </c>
      <c r="X205" s="46">
        <f t="shared" si="27"/>
        <v>49485.988814744996</v>
      </c>
      <c r="Y205" s="13"/>
      <c r="Z205" s="13"/>
      <c r="AA205" s="22">
        <v>45778</v>
      </c>
      <c r="AB205" s="22" cm="1">
        <f t="array" ref="AB2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05" s="4"/>
      <c r="AD205" s="4"/>
      <c r="AE205" s="2"/>
      <c r="AF205" s="3"/>
      <c r="AG205" s="3"/>
      <c r="AH205" s="3"/>
      <c r="AI205" s="3"/>
      <c r="AJ205" s="2">
        <f t="shared" si="29"/>
        <v>0</v>
      </c>
      <c r="AK205" s="2">
        <f t="shared" si="30"/>
        <v>0</v>
      </c>
      <c r="AL205" s="2">
        <f t="shared" si="31"/>
        <v>0</v>
      </c>
      <c r="AM205" s="88"/>
      <c r="AN205" s="157" t="s">
        <v>774</v>
      </c>
    </row>
    <row r="206" spans="2:40" ht="23.15" customHeight="1" thickBot="1">
      <c r="B206" s="87">
        <v>45842</v>
      </c>
      <c r="C206" s="2" t="s">
        <v>295</v>
      </c>
      <c r="D206" s="15" t="s">
        <v>12</v>
      </c>
      <c r="E206" s="20" t="s">
        <v>28</v>
      </c>
      <c r="F206" s="20" t="s">
        <v>37</v>
      </c>
      <c r="G206" s="11">
        <v>8</v>
      </c>
      <c r="H206" s="18">
        <v>8</v>
      </c>
      <c r="I206" s="18">
        <v>0</v>
      </c>
      <c r="J206" s="18">
        <v>0</v>
      </c>
      <c r="K206" s="249">
        <v>48754.668783000001</v>
      </c>
      <c r="L206" s="41">
        <v>0</v>
      </c>
      <c r="M206" s="41">
        <v>0</v>
      </c>
      <c r="N206" s="41">
        <v>0</v>
      </c>
      <c r="O206" s="41">
        <v>0</v>
      </c>
      <c r="P206" s="41" t="s">
        <v>293</v>
      </c>
      <c r="Q206" s="43">
        <v>0</v>
      </c>
      <c r="R206" s="43">
        <v>0</v>
      </c>
      <c r="S206" s="43">
        <v>0</v>
      </c>
      <c r="T206" s="43">
        <v>0</v>
      </c>
      <c r="U206" s="19" t="s">
        <v>292</v>
      </c>
      <c r="V206" s="13">
        <f t="shared" si="28"/>
        <v>48754.668783000001</v>
      </c>
      <c r="W206" s="42">
        <v>1.4999999999999999E-2</v>
      </c>
      <c r="X206" s="46">
        <f t="shared" si="27"/>
        <v>49485.988814744996</v>
      </c>
      <c r="Y206" s="13"/>
      <c r="Z206" s="13"/>
      <c r="AA206" s="22">
        <v>45809</v>
      </c>
      <c r="AB206" s="22" cm="1">
        <f t="array" ref="AB2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06" s="4"/>
      <c r="AD206" s="4"/>
      <c r="AE206" s="2"/>
      <c r="AF206" s="3"/>
      <c r="AG206" s="3"/>
      <c r="AH206" s="3"/>
      <c r="AI206" s="3"/>
      <c r="AJ206" s="2">
        <f t="shared" si="29"/>
        <v>0</v>
      </c>
      <c r="AK206" s="2">
        <f t="shared" si="30"/>
        <v>0</v>
      </c>
      <c r="AL206" s="2">
        <f t="shared" si="31"/>
        <v>0</v>
      </c>
      <c r="AM206" s="88"/>
      <c r="AN206" s="157" t="s">
        <v>774</v>
      </c>
    </row>
    <row r="207" spans="2:40" ht="23.15" customHeight="1" thickBot="1">
      <c r="B207" s="87">
        <v>45873</v>
      </c>
      <c r="C207" s="2" t="s">
        <v>295</v>
      </c>
      <c r="D207" s="15" t="s">
        <v>12</v>
      </c>
      <c r="E207" s="20" t="s">
        <v>28</v>
      </c>
      <c r="F207" s="20" t="s">
        <v>37</v>
      </c>
      <c r="G207" s="11">
        <v>8</v>
      </c>
      <c r="H207" s="18">
        <v>8</v>
      </c>
      <c r="I207" s="18">
        <v>0</v>
      </c>
      <c r="J207" s="18">
        <v>0</v>
      </c>
      <c r="K207" s="19">
        <v>48754.668783000001</v>
      </c>
      <c r="L207" s="41">
        <v>0</v>
      </c>
      <c r="M207" s="41">
        <v>0</v>
      </c>
      <c r="N207" s="41">
        <v>0</v>
      </c>
      <c r="O207" s="41">
        <v>0</v>
      </c>
      <c r="P207" s="41" t="s">
        <v>293</v>
      </c>
      <c r="Q207" s="43">
        <v>0</v>
      </c>
      <c r="R207" s="43">
        <v>0</v>
      </c>
      <c r="S207" s="43">
        <v>0</v>
      </c>
      <c r="T207" s="43">
        <v>0</v>
      </c>
      <c r="U207" s="19" t="s">
        <v>292</v>
      </c>
      <c r="V207" s="13">
        <f t="shared" si="28"/>
        <v>48754.668783000001</v>
      </c>
      <c r="W207" s="42">
        <v>1.4999999999999999E-2</v>
      </c>
      <c r="X207" s="46">
        <f t="shared" si="27"/>
        <v>49485.988814744996</v>
      </c>
      <c r="Y207" s="13"/>
      <c r="Z207" s="13"/>
      <c r="AA207" s="22">
        <v>45839</v>
      </c>
      <c r="AB207" s="22" cm="1">
        <f t="array" ref="AB2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07" s="4"/>
      <c r="AD207" s="4"/>
      <c r="AE207" s="2"/>
      <c r="AF207" s="3"/>
      <c r="AG207" s="3"/>
      <c r="AH207" s="3"/>
      <c r="AI207" s="3"/>
      <c r="AJ207" s="2">
        <f t="shared" si="29"/>
        <v>0</v>
      </c>
      <c r="AK207" s="2">
        <f t="shared" si="30"/>
        <v>0</v>
      </c>
      <c r="AL207" s="2">
        <f t="shared" si="31"/>
        <v>0</v>
      </c>
      <c r="AM207" s="88"/>
      <c r="AN207" s="157" t="s">
        <v>774</v>
      </c>
    </row>
    <row r="208" spans="2:40" ht="23.15" customHeight="1" thickBot="1">
      <c r="B208" s="87"/>
      <c r="C208" s="2" t="s">
        <v>292</v>
      </c>
      <c r="D208" s="15" t="s">
        <v>12</v>
      </c>
      <c r="E208" s="20" t="s">
        <v>29</v>
      </c>
      <c r="F208" s="20" t="s">
        <v>39</v>
      </c>
      <c r="G208" s="11">
        <v>5</v>
      </c>
      <c r="H208" s="18">
        <v>5</v>
      </c>
      <c r="I208" s="18">
        <v>0</v>
      </c>
      <c r="J208" s="18">
        <v>0</v>
      </c>
      <c r="K208" s="19">
        <v>23043.158176188757</v>
      </c>
      <c r="L208" s="41"/>
      <c r="M208" s="41">
        <v>0</v>
      </c>
      <c r="N208" s="41"/>
      <c r="O208" s="41">
        <v>0</v>
      </c>
      <c r="P208" s="41">
        <v>0</v>
      </c>
      <c r="Q208" s="43">
        <v>0</v>
      </c>
      <c r="R208" s="43">
        <v>0</v>
      </c>
      <c r="S208" s="43">
        <v>0</v>
      </c>
      <c r="T208" s="43">
        <v>0</v>
      </c>
      <c r="U208" s="19" t="s">
        <v>295</v>
      </c>
      <c r="V208" s="13">
        <f t="shared" si="28"/>
        <v>23043.158176188757</v>
      </c>
      <c r="W208" s="42">
        <v>0</v>
      </c>
      <c r="X208" s="46">
        <f t="shared" si="27"/>
        <v>23043.158176188757</v>
      </c>
      <c r="Y208" s="13"/>
      <c r="Z208" s="13"/>
      <c r="AA208" s="22">
        <v>45931</v>
      </c>
      <c r="AB208" s="22" cm="1">
        <f t="array" ref="AB2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08" s="4"/>
      <c r="AD208" s="4"/>
      <c r="AE208" s="2"/>
      <c r="AF208" s="3"/>
      <c r="AG208" s="3"/>
      <c r="AH208" s="3"/>
      <c r="AI208" s="3"/>
      <c r="AJ208" s="2">
        <f t="shared" si="29"/>
        <v>0</v>
      </c>
      <c r="AK208" s="2">
        <f t="shared" si="30"/>
        <v>0</v>
      </c>
      <c r="AL208" s="2">
        <f t="shared" si="31"/>
        <v>0</v>
      </c>
      <c r="AM208" s="88"/>
      <c r="AN208" s="157" t="s">
        <v>774</v>
      </c>
    </row>
    <row r="209" spans="2:40" ht="23.15" customHeight="1" thickBot="1">
      <c r="B209" s="87">
        <v>45936</v>
      </c>
      <c r="C209" s="2" t="s">
        <v>295</v>
      </c>
      <c r="D209" s="15" t="s">
        <v>12</v>
      </c>
      <c r="E209" s="20" t="s">
        <v>29</v>
      </c>
      <c r="F209" s="20" t="s">
        <v>39</v>
      </c>
      <c r="G209" s="11"/>
      <c r="H209" s="11">
        <v>5</v>
      </c>
      <c r="I209" s="18">
        <v>0</v>
      </c>
      <c r="J209" s="18">
        <v>0</v>
      </c>
      <c r="K209" s="19">
        <v>23043.158176188757</v>
      </c>
      <c r="L209" s="41">
        <v>0</v>
      </c>
      <c r="M209" s="41">
        <v>0</v>
      </c>
      <c r="N209" s="41">
        <v>0</v>
      </c>
      <c r="O209" s="41">
        <v>0</v>
      </c>
      <c r="P209" s="41" t="s">
        <v>301</v>
      </c>
      <c r="Q209" s="43">
        <v>0</v>
      </c>
      <c r="R209" s="43">
        <v>0</v>
      </c>
      <c r="S209" s="43">
        <v>0</v>
      </c>
      <c r="T209" s="43">
        <v>0</v>
      </c>
      <c r="U209" s="19" t="s">
        <v>295</v>
      </c>
      <c r="V209" s="13" t="e">
        <f t="shared" si="28"/>
        <v>#VALUE!</v>
      </c>
      <c r="W209" s="345">
        <v>0</v>
      </c>
      <c r="X209" s="13"/>
      <c r="Y209" s="13"/>
      <c r="Z209" s="13"/>
      <c r="AA209" s="22">
        <v>45901</v>
      </c>
      <c r="AB209" s="22" cm="1">
        <f t="array" ref="AB2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09" s="4"/>
      <c r="AD209" s="4"/>
      <c r="AE209" s="2"/>
      <c r="AF209" s="3"/>
      <c r="AG209" s="3"/>
      <c r="AH209" s="3"/>
      <c r="AI209" s="3"/>
      <c r="AJ209" s="2">
        <f t="shared" si="29"/>
        <v>0</v>
      </c>
      <c r="AK209" s="2">
        <f t="shared" si="30"/>
        <v>0</v>
      </c>
      <c r="AL209" s="2" t="e">
        <f t="shared" si="31"/>
        <v>#VALUE!</v>
      </c>
      <c r="AM209" s="88"/>
      <c r="AN209" s="157" t="s">
        <v>774</v>
      </c>
    </row>
    <row r="210" spans="2:40" ht="23.15" customHeight="1" thickBot="1">
      <c r="B210" s="87"/>
      <c r="C210" s="2" t="s">
        <v>292</v>
      </c>
      <c r="D210" s="15" t="s">
        <v>12</v>
      </c>
      <c r="E210" s="20" t="s">
        <v>25</v>
      </c>
      <c r="F210" s="20" t="s">
        <v>40</v>
      </c>
      <c r="G210" s="11">
        <v>21</v>
      </c>
      <c r="H210" s="11">
        <v>10</v>
      </c>
      <c r="I210" s="18" t="s">
        <v>294</v>
      </c>
      <c r="J210" s="41" t="s">
        <v>294</v>
      </c>
      <c r="K210" s="19">
        <v>81239.447934159994</v>
      </c>
      <c r="L210" s="41">
        <v>0</v>
      </c>
      <c r="M210" s="41" t="s">
        <v>294</v>
      </c>
      <c r="N210" s="41">
        <v>0</v>
      </c>
      <c r="O210" s="41" t="s">
        <v>294</v>
      </c>
      <c r="P210" s="41" t="s">
        <v>293</v>
      </c>
      <c r="Q210" s="43">
        <v>0</v>
      </c>
      <c r="R210" s="11">
        <v>0</v>
      </c>
      <c r="S210" s="43">
        <v>0</v>
      </c>
      <c r="T210" s="43">
        <v>0</v>
      </c>
      <c r="U210" s="19" t="s">
        <v>292</v>
      </c>
      <c r="V210" s="13">
        <f t="shared" si="28"/>
        <v>81239.447934159994</v>
      </c>
      <c r="W210" s="248">
        <v>1.2999999999999999E-2</v>
      </c>
      <c r="X210" s="46">
        <f t="shared" ref="X210:X243" si="32">IF(K210="","",V210*(1+W210))</f>
        <v>82295.560757304062</v>
      </c>
      <c r="Y210" s="13"/>
      <c r="Z210" s="13"/>
      <c r="AA210" s="22">
        <v>45778</v>
      </c>
      <c r="AB210" s="22" cm="1">
        <f t="array" ref="AB2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10" s="4"/>
      <c r="AD210" s="4"/>
      <c r="AE210" s="2"/>
      <c r="AF210" s="3"/>
      <c r="AG210" s="3"/>
      <c r="AH210" s="3"/>
      <c r="AI210" s="3"/>
      <c r="AJ210" s="2">
        <f t="shared" si="29"/>
        <v>0</v>
      </c>
      <c r="AK210" s="2">
        <f t="shared" si="30"/>
        <v>0</v>
      </c>
      <c r="AL210" s="2">
        <f t="shared" si="31"/>
        <v>0</v>
      </c>
      <c r="AM210" s="88"/>
      <c r="AN210" s="157" t="s">
        <v>774</v>
      </c>
    </row>
    <row r="211" spans="2:40" ht="23.15" customHeight="1" thickBot="1">
      <c r="B211" s="87"/>
      <c r="C211" s="2" t="s">
        <v>292</v>
      </c>
      <c r="D211" s="15" t="s">
        <v>12</v>
      </c>
      <c r="E211" s="20" t="s">
        <v>26</v>
      </c>
      <c r="F211" s="20" t="s">
        <v>40</v>
      </c>
      <c r="G211" s="11">
        <v>3</v>
      </c>
      <c r="H211" s="18">
        <v>2</v>
      </c>
      <c r="I211" s="18" t="s">
        <v>294</v>
      </c>
      <c r="J211" s="18" t="s">
        <v>294</v>
      </c>
      <c r="K211" s="13">
        <v>16575.667078220002</v>
      </c>
      <c r="L211" s="41">
        <v>0</v>
      </c>
      <c r="M211" s="41" t="s">
        <v>294</v>
      </c>
      <c r="N211" s="41">
        <v>0</v>
      </c>
      <c r="O211" s="41" t="s">
        <v>294</v>
      </c>
      <c r="P211" s="41" t="s">
        <v>293</v>
      </c>
      <c r="Q211" s="43">
        <v>0</v>
      </c>
      <c r="R211" s="43">
        <v>0</v>
      </c>
      <c r="S211" s="43">
        <v>0</v>
      </c>
      <c r="T211" s="43">
        <v>0</v>
      </c>
      <c r="U211" s="19" t="s">
        <v>292</v>
      </c>
      <c r="V211" s="13">
        <f t="shared" si="28"/>
        <v>16575.667078220002</v>
      </c>
      <c r="W211" s="248">
        <v>1.2999999999999999E-2</v>
      </c>
      <c r="X211" s="46">
        <f t="shared" si="32"/>
        <v>16791.150750236859</v>
      </c>
      <c r="Y211" s="13"/>
      <c r="Z211" s="13"/>
      <c r="AA211" s="22">
        <v>45809</v>
      </c>
      <c r="AB211" s="22" cm="1">
        <f t="array" ref="AB2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11" s="4"/>
      <c r="AD211" s="4"/>
      <c r="AE211" s="2"/>
      <c r="AF211" s="3"/>
      <c r="AG211" s="3"/>
      <c r="AH211" s="3"/>
      <c r="AI211" s="3"/>
      <c r="AJ211" s="2">
        <f t="shared" si="29"/>
        <v>0</v>
      </c>
      <c r="AK211" s="2">
        <f t="shared" si="30"/>
        <v>0</v>
      </c>
      <c r="AL211" s="2">
        <f t="shared" si="31"/>
        <v>0</v>
      </c>
      <c r="AM211" s="88"/>
      <c r="AN211" s="157" t="s">
        <v>774</v>
      </c>
    </row>
    <row r="212" spans="2:40" ht="23.15" customHeight="1" thickBot="1">
      <c r="B212" s="87"/>
      <c r="C212" s="2" t="s">
        <v>292</v>
      </c>
      <c r="D212" s="15" t="s">
        <v>12</v>
      </c>
      <c r="E212" s="20" t="s">
        <v>25</v>
      </c>
      <c r="F212" s="20" t="s">
        <v>40</v>
      </c>
      <c r="G212" s="11">
        <v>21</v>
      </c>
      <c r="H212" s="18">
        <v>10</v>
      </c>
      <c r="I212" s="18" t="s">
        <v>294</v>
      </c>
      <c r="J212" s="41" t="s">
        <v>294</v>
      </c>
      <c r="K212" s="19">
        <v>81239.447934159994</v>
      </c>
      <c r="L212" s="41">
        <v>0</v>
      </c>
      <c r="M212" s="41" t="s">
        <v>294</v>
      </c>
      <c r="N212" s="41">
        <v>0</v>
      </c>
      <c r="O212" s="41" t="s">
        <v>294</v>
      </c>
      <c r="P212" s="41" t="s">
        <v>293</v>
      </c>
      <c r="Q212" s="41">
        <v>0</v>
      </c>
      <c r="R212" s="18">
        <v>0</v>
      </c>
      <c r="S212" s="41">
        <v>0</v>
      </c>
      <c r="T212" s="41">
        <v>0</v>
      </c>
      <c r="U212" s="19" t="s">
        <v>292</v>
      </c>
      <c r="V212" s="13">
        <f t="shared" si="28"/>
        <v>81239.447934159994</v>
      </c>
      <c r="W212" s="248">
        <v>1.2999999999999999E-2</v>
      </c>
      <c r="X212" s="46">
        <f t="shared" si="32"/>
        <v>82295.560757304062</v>
      </c>
      <c r="Y212" s="13"/>
      <c r="Z212" s="13"/>
      <c r="AA212" s="22">
        <v>45809</v>
      </c>
      <c r="AB212" s="22" cm="1">
        <f t="array" ref="AB2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12" s="4"/>
      <c r="AD212" s="4"/>
      <c r="AE212" s="2"/>
      <c r="AF212" s="3"/>
      <c r="AG212" s="3"/>
      <c r="AH212" s="3"/>
      <c r="AI212" s="3"/>
      <c r="AJ212" s="2">
        <f t="shared" si="29"/>
        <v>0</v>
      </c>
      <c r="AK212" s="2">
        <f t="shared" si="30"/>
        <v>0</v>
      </c>
      <c r="AL212" s="2">
        <f t="shared" si="31"/>
        <v>0</v>
      </c>
      <c r="AM212" s="88"/>
      <c r="AN212" s="157" t="s">
        <v>774</v>
      </c>
    </row>
    <row r="213" spans="2:40" ht="23.15" customHeight="1" thickBot="1">
      <c r="B213" s="87"/>
      <c r="C213" s="2" t="s">
        <v>292</v>
      </c>
      <c r="D213" s="15" t="s">
        <v>12</v>
      </c>
      <c r="E213" s="20" t="s">
        <v>26</v>
      </c>
      <c r="F213" s="20" t="s">
        <v>40</v>
      </c>
      <c r="G213" s="11">
        <v>3</v>
      </c>
      <c r="H213" s="18">
        <v>2</v>
      </c>
      <c r="I213" s="18" t="s">
        <v>294</v>
      </c>
      <c r="J213" s="18" t="s">
        <v>294</v>
      </c>
      <c r="K213" s="19">
        <v>17342.183145759998</v>
      </c>
      <c r="L213" s="41">
        <v>0</v>
      </c>
      <c r="M213" s="41" t="s">
        <v>294</v>
      </c>
      <c r="N213" s="41">
        <v>0</v>
      </c>
      <c r="O213" s="41" t="s">
        <v>294</v>
      </c>
      <c r="P213" s="41" t="s">
        <v>293</v>
      </c>
      <c r="Q213" s="41">
        <v>0</v>
      </c>
      <c r="R213" s="41">
        <v>0</v>
      </c>
      <c r="S213" s="41">
        <v>0</v>
      </c>
      <c r="T213" s="41">
        <v>0</v>
      </c>
      <c r="U213" s="19" t="s">
        <v>292</v>
      </c>
      <c r="V213" s="13">
        <f t="shared" si="28"/>
        <v>17342.183145759998</v>
      </c>
      <c r="W213" s="269">
        <v>1.2999999999999999E-2</v>
      </c>
      <c r="X213" s="46">
        <f t="shared" si="32"/>
        <v>17567.631526654877</v>
      </c>
      <c r="Y213" s="13"/>
      <c r="Z213" s="13"/>
      <c r="AA213" s="22">
        <v>45839</v>
      </c>
      <c r="AB213" s="22" cm="1">
        <f t="array" ref="AB2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13" s="4"/>
      <c r="AD213" s="4"/>
      <c r="AE213" s="2"/>
      <c r="AF213" s="3"/>
      <c r="AG213" s="3"/>
      <c r="AH213" s="3"/>
      <c r="AI213" s="3"/>
      <c r="AJ213" s="2">
        <f t="shared" si="29"/>
        <v>0</v>
      </c>
      <c r="AK213" s="2">
        <f t="shared" si="30"/>
        <v>0</v>
      </c>
      <c r="AL213" s="2">
        <f t="shared" si="31"/>
        <v>0</v>
      </c>
      <c r="AM213" s="88"/>
      <c r="AN213" s="157" t="s">
        <v>774</v>
      </c>
    </row>
    <row r="214" spans="2:40" ht="23.15" customHeight="1" thickBot="1">
      <c r="B214" s="87"/>
      <c r="C214" s="2" t="s">
        <v>292</v>
      </c>
      <c r="D214" s="15" t="s">
        <v>12</v>
      </c>
      <c r="E214" s="20" t="s">
        <v>25</v>
      </c>
      <c r="F214" s="20" t="s">
        <v>40</v>
      </c>
      <c r="G214" s="11">
        <v>21</v>
      </c>
      <c r="H214" s="18">
        <v>10</v>
      </c>
      <c r="I214" s="18" t="s">
        <v>294</v>
      </c>
      <c r="J214" s="41" t="s">
        <v>294</v>
      </c>
      <c r="K214" s="19">
        <v>85244.740489620002</v>
      </c>
      <c r="L214" s="41">
        <v>0</v>
      </c>
      <c r="M214" s="41" t="s">
        <v>294</v>
      </c>
      <c r="N214" s="41">
        <v>0</v>
      </c>
      <c r="O214" s="43" t="s">
        <v>294</v>
      </c>
      <c r="P214" s="41" t="s">
        <v>293</v>
      </c>
      <c r="Q214" s="43">
        <v>0</v>
      </c>
      <c r="R214" s="11">
        <v>0</v>
      </c>
      <c r="S214" s="43">
        <v>0</v>
      </c>
      <c r="T214" s="43">
        <v>0</v>
      </c>
      <c r="U214" s="19" t="s">
        <v>292</v>
      </c>
      <c r="V214" s="13">
        <f t="shared" si="28"/>
        <v>85244.740489620002</v>
      </c>
      <c r="W214" s="248">
        <v>1.2999999999999999E-2</v>
      </c>
      <c r="X214" s="46">
        <f t="shared" si="32"/>
        <v>86352.922115985057</v>
      </c>
      <c r="Y214" s="13"/>
      <c r="Z214" s="13"/>
      <c r="AA214" s="22">
        <v>45839</v>
      </c>
      <c r="AB214" s="22" cm="1">
        <f t="array" ref="AB2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14" s="4"/>
      <c r="AD214" s="4"/>
      <c r="AE214" s="2"/>
      <c r="AF214" s="3"/>
      <c r="AG214" s="3"/>
      <c r="AH214" s="3"/>
      <c r="AI214" s="3"/>
      <c r="AJ214" s="2">
        <f t="shared" si="29"/>
        <v>0</v>
      </c>
      <c r="AK214" s="2">
        <f t="shared" si="30"/>
        <v>0</v>
      </c>
      <c r="AL214" s="2">
        <f t="shared" si="31"/>
        <v>0</v>
      </c>
      <c r="AM214" s="88"/>
      <c r="AN214" s="157" t="s">
        <v>774</v>
      </c>
    </row>
    <row r="215" spans="2:40" ht="23.15" customHeight="1" thickBot="1">
      <c r="B215" s="87">
        <v>45917</v>
      </c>
      <c r="C215" s="2" t="s">
        <v>295</v>
      </c>
      <c r="D215" s="15" t="s">
        <v>12</v>
      </c>
      <c r="E215" s="20" t="s">
        <v>33</v>
      </c>
      <c r="F215" s="20" t="s">
        <v>137</v>
      </c>
      <c r="G215" s="11">
        <v>2</v>
      </c>
      <c r="H215" s="18">
        <v>2</v>
      </c>
      <c r="I215" s="18">
        <v>0</v>
      </c>
      <c r="J215" s="18">
        <v>0</v>
      </c>
      <c r="K215" s="19">
        <v>14149.9002252351</v>
      </c>
      <c r="L215" s="41">
        <v>0</v>
      </c>
      <c r="M215" s="41">
        <v>0</v>
      </c>
      <c r="N215" s="41">
        <v>0</v>
      </c>
      <c r="O215" s="43">
        <v>0</v>
      </c>
      <c r="P215" s="41">
        <v>0</v>
      </c>
      <c r="Q215" s="43">
        <v>0</v>
      </c>
      <c r="R215" s="43">
        <v>0</v>
      </c>
      <c r="S215" s="43">
        <v>0</v>
      </c>
      <c r="T215" s="43">
        <v>0</v>
      </c>
      <c r="U215" s="19" t="s">
        <v>295</v>
      </c>
      <c r="V215" s="13">
        <f t="shared" si="28"/>
        <v>14149.9002252351</v>
      </c>
      <c r="W215" s="344">
        <v>0</v>
      </c>
      <c r="X215" s="46">
        <f t="shared" si="32"/>
        <v>14149.9002252351</v>
      </c>
      <c r="Y215" s="13"/>
      <c r="Z215" s="13"/>
      <c r="AA215" s="22">
        <v>45870</v>
      </c>
      <c r="AB215" s="22" cm="1">
        <f t="array" ref="AB2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15" s="4"/>
      <c r="AD215" s="4"/>
      <c r="AE215" s="2"/>
      <c r="AF215" s="3"/>
      <c r="AG215" s="3"/>
      <c r="AH215" s="3"/>
      <c r="AI215" s="3"/>
      <c r="AJ215" s="2">
        <f t="shared" si="29"/>
        <v>0</v>
      </c>
      <c r="AK215" s="2">
        <f t="shared" si="30"/>
        <v>0</v>
      </c>
      <c r="AL215" s="2">
        <f t="shared" si="31"/>
        <v>0</v>
      </c>
      <c r="AM215" s="88"/>
      <c r="AN215" s="157" t="s">
        <v>774</v>
      </c>
    </row>
    <row r="216" spans="2:40" ht="23.15" customHeight="1" thickBot="1">
      <c r="B216" s="87">
        <v>45945</v>
      </c>
      <c r="C216" s="2" t="s">
        <v>295</v>
      </c>
      <c r="D216" s="15" t="s">
        <v>12</v>
      </c>
      <c r="E216" s="20" t="s">
        <v>33</v>
      </c>
      <c r="F216" s="20" t="s">
        <v>137</v>
      </c>
      <c r="G216" s="11">
        <v>2</v>
      </c>
      <c r="H216" s="11">
        <v>2</v>
      </c>
      <c r="I216" s="18">
        <v>0</v>
      </c>
      <c r="J216" s="18">
        <v>0</v>
      </c>
      <c r="K216" s="19">
        <v>14149.9002252351</v>
      </c>
      <c r="L216" s="41">
        <v>0</v>
      </c>
      <c r="M216" s="18">
        <v>0</v>
      </c>
      <c r="N216" s="41">
        <v>0</v>
      </c>
      <c r="O216" s="18">
        <v>0</v>
      </c>
      <c r="P216" s="41">
        <v>0</v>
      </c>
      <c r="Q216" s="43"/>
      <c r="R216" s="43"/>
      <c r="S216" s="43"/>
      <c r="T216" s="43">
        <v>0</v>
      </c>
      <c r="U216" s="19"/>
      <c r="V216" s="13">
        <f t="shared" si="28"/>
        <v>14149.9002252351</v>
      </c>
      <c r="W216" s="42">
        <v>0</v>
      </c>
      <c r="X216" s="46">
        <f t="shared" si="32"/>
        <v>14149.9002252351</v>
      </c>
      <c r="Y216" s="13"/>
      <c r="Z216" s="13"/>
      <c r="AA216" s="22">
        <v>45901</v>
      </c>
      <c r="AB216" s="22" cm="1">
        <f t="array" ref="AB2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16" s="4"/>
      <c r="AD216" s="4"/>
      <c r="AE216" s="2"/>
      <c r="AF216" s="3"/>
      <c r="AG216" s="3"/>
      <c r="AH216" s="3"/>
      <c r="AI216" s="3"/>
      <c r="AJ216" s="2">
        <f t="shared" si="29"/>
        <v>0</v>
      </c>
      <c r="AK216" s="2">
        <f t="shared" si="30"/>
        <v>0</v>
      </c>
      <c r="AL216" s="2">
        <f t="shared" si="31"/>
        <v>0</v>
      </c>
      <c r="AM216" s="88"/>
      <c r="AN216" s="157" t="s">
        <v>774</v>
      </c>
    </row>
    <row r="217" spans="2:40" ht="23.15" customHeight="1" thickBot="1">
      <c r="B217" s="87"/>
      <c r="C217" s="2" t="s">
        <v>292</v>
      </c>
      <c r="D217" s="15" t="s">
        <v>12</v>
      </c>
      <c r="E217" s="20" t="s">
        <v>33</v>
      </c>
      <c r="F217" s="20" t="s">
        <v>137</v>
      </c>
      <c r="G217" s="11">
        <v>2</v>
      </c>
      <c r="H217" s="11">
        <v>2</v>
      </c>
      <c r="I217" s="18" t="s">
        <v>294</v>
      </c>
      <c r="J217" s="18" t="s">
        <v>294</v>
      </c>
      <c r="K217" s="19">
        <v>14149.9002252351</v>
      </c>
      <c r="L217" s="41"/>
      <c r="M217" s="18" t="s">
        <v>294</v>
      </c>
      <c r="N217" s="41"/>
      <c r="O217" s="18" t="s">
        <v>294</v>
      </c>
      <c r="P217" s="41" t="s">
        <v>301</v>
      </c>
      <c r="Q217" s="43"/>
      <c r="R217" s="43"/>
      <c r="S217" s="43"/>
      <c r="T217" s="43"/>
      <c r="U217" s="19"/>
      <c r="V217" s="13">
        <f t="shared" si="28"/>
        <v>14149.9002252351</v>
      </c>
      <c r="W217" s="344">
        <v>0</v>
      </c>
      <c r="X217" s="46">
        <f t="shared" si="32"/>
        <v>14149.9002252351</v>
      </c>
      <c r="Y217" s="13"/>
      <c r="Z217" s="13"/>
      <c r="AA217" s="22">
        <v>45931</v>
      </c>
      <c r="AB217" s="22" cm="1">
        <f t="array" ref="AB2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17" s="4"/>
      <c r="AD217" s="4"/>
      <c r="AE217" s="2"/>
      <c r="AF217" s="3"/>
      <c r="AG217" s="3"/>
      <c r="AH217" s="3"/>
      <c r="AI217" s="3"/>
      <c r="AJ217" s="2">
        <f t="shared" si="29"/>
        <v>0</v>
      </c>
      <c r="AK217" s="2">
        <f t="shared" si="30"/>
        <v>0</v>
      </c>
      <c r="AL217" s="2">
        <f t="shared" si="31"/>
        <v>0</v>
      </c>
      <c r="AM217" s="88"/>
      <c r="AN217" s="157" t="s">
        <v>774</v>
      </c>
    </row>
    <row r="218" spans="2:40" ht="23.15" customHeight="1" thickBot="1">
      <c r="B218" s="87">
        <v>45722</v>
      </c>
      <c r="C218" s="2" t="s">
        <v>295</v>
      </c>
      <c r="D218" s="15" t="s">
        <v>12</v>
      </c>
      <c r="E218" s="20" t="s">
        <v>30</v>
      </c>
      <c r="F218" s="20" t="s">
        <v>56</v>
      </c>
      <c r="G218" s="11">
        <v>37</v>
      </c>
      <c r="H218" s="11">
        <v>34</v>
      </c>
      <c r="I218" s="18">
        <v>6</v>
      </c>
      <c r="J218" s="18">
        <v>0</v>
      </c>
      <c r="K218" s="19">
        <v>165961.48003000001</v>
      </c>
      <c r="L218" s="41">
        <v>0</v>
      </c>
      <c r="M218" s="41">
        <v>-922.36</v>
      </c>
      <c r="N218" s="41">
        <v>0</v>
      </c>
      <c r="O218" s="41">
        <v>0</v>
      </c>
      <c r="P218" s="41">
        <v>-1106.4100000000001</v>
      </c>
      <c r="Q218" s="43">
        <v>0</v>
      </c>
      <c r="R218" s="43">
        <v>0</v>
      </c>
      <c r="S218" s="43">
        <v>0</v>
      </c>
      <c r="T218" s="43">
        <f>-68.6*7</f>
        <v>-480.19999999999993</v>
      </c>
      <c r="U218" s="19" t="s">
        <v>295</v>
      </c>
      <c r="V218" s="13">
        <f t="shared" si="28"/>
        <v>163452.51003</v>
      </c>
      <c r="W218" s="42">
        <v>2.9000000000000001E-2</v>
      </c>
      <c r="X218" s="46">
        <f t="shared" si="32"/>
        <v>168192.63282087</v>
      </c>
      <c r="Y218" s="13"/>
      <c r="Z218" s="13"/>
      <c r="AA218" s="22">
        <v>45717</v>
      </c>
      <c r="AB218" s="22" cm="1">
        <f t="array" ref="AB2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18" s="4">
        <v>1651.09</v>
      </c>
      <c r="AD218" s="4">
        <v>1651.09</v>
      </c>
      <c r="AE218" s="2"/>
      <c r="AF218" s="3"/>
      <c r="AG218" s="3"/>
      <c r="AH218" s="3"/>
      <c r="AI218" s="3"/>
      <c r="AJ218" s="2">
        <f t="shared" si="29"/>
        <v>922.36</v>
      </c>
      <c r="AK218" s="2">
        <f t="shared" si="30"/>
        <v>0</v>
      </c>
      <c r="AL218" s="2">
        <f t="shared" si="31"/>
        <v>2508.9700000000012</v>
      </c>
      <c r="AM218" s="88"/>
      <c r="AN218" s="157" t="s">
        <v>774</v>
      </c>
    </row>
    <row r="219" spans="2:40" ht="23.15" customHeight="1" thickBot="1">
      <c r="B219" s="87">
        <v>45665</v>
      </c>
      <c r="C219" s="2" t="s">
        <v>295</v>
      </c>
      <c r="D219" s="15" t="s">
        <v>12</v>
      </c>
      <c r="E219" s="20" t="s">
        <v>31</v>
      </c>
      <c r="F219" s="20" t="s">
        <v>40</v>
      </c>
      <c r="G219" s="11">
        <v>18</v>
      </c>
      <c r="H219" s="11">
        <v>19</v>
      </c>
      <c r="I219" s="18">
        <v>0</v>
      </c>
      <c r="J219" s="18">
        <v>0</v>
      </c>
      <c r="K219" s="19">
        <v>87671.885980289648</v>
      </c>
      <c r="L219" s="41">
        <v>0</v>
      </c>
      <c r="M219" s="41">
        <v>0</v>
      </c>
      <c r="N219" s="41">
        <v>0</v>
      </c>
      <c r="O219" s="41">
        <v>0</v>
      </c>
      <c r="P219" s="41">
        <v>0</v>
      </c>
      <c r="Q219" s="43">
        <v>0</v>
      </c>
      <c r="R219" s="43">
        <v>0</v>
      </c>
      <c r="S219" s="43">
        <v>0</v>
      </c>
      <c r="T219" s="43">
        <v>0</v>
      </c>
      <c r="U219" s="19"/>
      <c r="V219" s="13">
        <f t="shared" si="28"/>
        <v>87671.885980289648</v>
      </c>
      <c r="W219" s="42">
        <v>2.8000000000000001E-2</v>
      </c>
      <c r="X219" s="46">
        <f t="shared" si="32"/>
        <v>90126.698787737754</v>
      </c>
      <c r="Y219" s="13"/>
      <c r="Z219" s="13"/>
      <c r="AA219" s="22">
        <v>45658</v>
      </c>
      <c r="AB219" s="22" cm="1">
        <f t="array" ref="AB2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219" s="4"/>
      <c r="AD219" s="4"/>
      <c r="AE219" s="2"/>
      <c r="AF219" s="3"/>
      <c r="AG219" s="3"/>
      <c r="AH219" s="3"/>
      <c r="AI219" s="3"/>
      <c r="AJ219" s="2">
        <f t="shared" si="29"/>
        <v>0</v>
      </c>
      <c r="AK219" s="2">
        <f t="shared" si="30"/>
        <v>0</v>
      </c>
      <c r="AL219" s="2">
        <f t="shared" si="31"/>
        <v>0</v>
      </c>
      <c r="AM219" s="88"/>
      <c r="AN219" s="157" t="s">
        <v>774</v>
      </c>
    </row>
    <row r="220" spans="2:40" ht="23.15" customHeight="1" thickBot="1">
      <c r="B220" s="87"/>
      <c r="C220" s="2" t="s">
        <v>295</v>
      </c>
      <c r="D220" s="15" t="s">
        <v>12</v>
      </c>
      <c r="E220" s="20" t="s">
        <v>31</v>
      </c>
      <c r="F220" s="20" t="s">
        <v>40</v>
      </c>
      <c r="G220" s="11">
        <v>18</v>
      </c>
      <c r="H220" s="18">
        <v>19</v>
      </c>
      <c r="I220" s="18">
        <v>0</v>
      </c>
      <c r="J220" s="18">
        <v>0</v>
      </c>
      <c r="K220" s="19">
        <v>87671.885980289648</v>
      </c>
      <c r="L220" s="41">
        <v>0</v>
      </c>
      <c r="M220" s="41">
        <v>0</v>
      </c>
      <c r="N220" s="41">
        <v>0</v>
      </c>
      <c r="O220" s="41">
        <v>0</v>
      </c>
      <c r="P220" s="41">
        <v>0</v>
      </c>
      <c r="Q220" s="43">
        <v>0</v>
      </c>
      <c r="R220" s="43">
        <v>0</v>
      </c>
      <c r="S220" s="43">
        <v>0</v>
      </c>
      <c r="T220" s="43">
        <v>0</v>
      </c>
      <c r="U220" s="19" t="s">
        <v>295</v>
      </c>
      <c r="V220" s="13">
        <f t="shared" si="28"/>
        <v>87671.885980289648</v>
      </c>
      <c r="W220" s="42">
        <v>2.8000000000000001E-2</v>
      </c>
      <c r="X220" s="46">
        <f t="shared" si="32"/>
        <v>90126.698787737754</v>
      </c>
      <c r="Y220" s="13"/>
      <c r="Z220" s="13"/>
      <c r="AA220" s="22">
        <v>45689</v>
      </c>
      <c r="AB220" s="22" cm="1">
        <f t="array" ref="AB2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20" s="4"/>
      <c r="AD220" s="4"/>
      <c r="AE220" s="2"/>
      <c r="AF220" s="3"/>
      <c r="AG220" s="3"/>
      <c r="AH220" s="3"/>
      <c r="AI220" s="3"/>
      <c r="AJ220" s="2">
        <f t="shared" si="29"/>
        <v>0</v>
      </c>
      <c r="AK220" s="2">
        <f t="shared" si="30"/>
        <v>0</v>
      </c>
      <c r="AL220" s="2">
        <f t="shared" si="31"/>
        <v>0</v>
      </c>
      <c r="AM220" s="88"/>
      <c r="AN220" s="157" t="s">
        <v>774</v>
      </c>
    </row>
    <row r="221" spans="2:40" ht="23.15" customHeight="1" thickBot="1">
      <c r="B221" s="87">
        <v>45729</v>
      </c>
      <c r="C221" s="2" t="s">
        <v>295</v>
      </c>
      <c r="D221" s="15" t="s">
        <v>12</v>
      </c>
      <c r="E221" s="20" t="s">
        <v>31</v>
      </c>
      <c r="F221" s="20" t="s">
        <v>40</v>
      </c>
      <c r="G221" s="11">
        <v>18</v>
      </c>
      <c r="H221" s="18">
        <v>19</v>
      </c>
      <c r="I221" s="18">
        <v>0</v>
      </c>
      <c r="J221" s="18">
        <v>0</v>
      </c>
      <c r="K221" s="19">
        <v>87671.885980289648</v>
      </c>
      <c r="L221" s="41">
        <v>0</v>
      </c>
      <c r="M221" s="41">
        <v>0</v>
      </c>
      <c r="N221" s="41">
        <v>0</v>
      </c>
      <c r="O221" s="41">
        <v>0</v>
      </c>
      <c r="P221" s="41">
        <v>0</v>
      </c>
      <c r="Q221" s="43">
        <v>0</v>
      </c>
      <c r="R221" s="43">
        <v>0</v>
      </c>
      <c r="S221" s="43">
        <v>0</v>
      </c>
      <c r="T221" s="43">
        <v>0</v>
      </c>
      <c r="U221" s="19"/>
      <c r="V221" s="13">
        <f t="shared" si="28"/>
        <v>87671.885980289648</v>
      </c>
      <c r="W221" s="42">
        <v>2.8000000000000001E-2</v>
      </c>
      <c r="X221" s="46">
        <f t="shared" si="32"/>
        <v>90126.698787737754</v>
      </c>
      <c r="Y221" s="13"/>
      <c r="Z221" s="13"/>
      <c r="AA221" s="22">
        <v>45717</v>
      </c>
      <c r="AB221" s="22" cm="1">
        <f t="array" ref="AB2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21" s="4">
        <v>1883.65</v>
      </c>
      <c r="AD221" s="4">
        <v>1883.65</v>
      </c>
      <c r="AE221" s="2"/>
      <c r="AF221" s="3"/>
      <c r="AG221" s="3"/>
      <c r="AH221" s="3"/>
      <c r="AI221" s="3"/>
      <c r="AJ221" s="2">
        <f t="shared" si="29"/>
        <v>0</v>
      </c>
      <c r="AK221" s="2">
        <f t="shared" si="30"/>
        <v>0</v>
      </c>
      <c r="AL221" s="2">
        <f t="shared" si="31"/>
        <v>0</v>
      </c>
      <c r="AM221" s="88"/>
      <c r="AN221" s="157" t="s">
        <v>774</v>
      </c>
    </row>
    <row r="222" spans="2:40" ht="23.15" customHeight="1" thickBot="1">
      <c r="B222" s="87">
        <v>45758</v>
      </c>
      <c r="C222" s="2" t="s">
        <v>295</v>
      </c>
      <c r="D222" s="15" t="s">
        <v>12</v>
      </c>
      <c r="E222" s="20" t="s">
        <v>31</v>
      </c>
      <c r="F222" s="20" t="s">
        <v>40</v>
      </c>
      <c r="G222" s="11">
        <v>18</v>
      </c>
      <c r="H222" s="18">
        <v>19</v>
      </c>
      <c r="I222" s="18">
        <v>0</v>
      </c>
      <c r="J222" s="18">
        <v>0</v>
      </c>
      <c r="K222" s="19">
        <v>87671.885980289648</v>
      </c>
      <c r="L222" s="41">
        <v>0</v>
      </c>
      <c r="M222" s="41">
        <v>0</v>
      </c>
      <c r="N222" s="41">
        <v>0</v>
      </c>
      <c r="O222" s="41">
        <v>0</v>
      </c>
      <c r="P222" s="41">
        <v>0</v>
      </c>
      <c r="Q222" s="41">
        <v>0</v>
      </c>
      <c r="R222" s="41">
        <v>0</v>
      </c>
      <c r="S222" s="41">
        <v>0</v>
      </c>
      <c r="T222" s="41">
        <v>0</v>
      </c>
      <c r="U222" s="19"/>
      <c r="V222" s="13">
        <f t="shared" si="28"/>
        <v>87671.885980289648</v>
      </c>
      <c r="W222" s="42">
        <v>2.8000000000000001E-2</v>
      </c>
      <c r="X222" s="46">
        <f t="shared" si="32"/>
        <v>90126.698787737754</v>
      </c>
      <c r="Y222" s="13"/>
      <c r="Z222" s="13"/>
      <c r="AA222" s="22">
        <v>45748</v>
      </c>
      <c r="AB222" s="22" cm="1">
        <f t="array" ref="AB2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22" s="4"/>
      <c r="AD222" s="4"/>
      <c r="AE222" s="2"/>
      <c r="AF222" s="3"/>
      <c r="AG222" s="3"/>
      <c r="AH222" s="3"/>
      <c r="AI222" s="3"/>
      <c r="AJ222" s="2">
        <f t="shared" si="29"/>
        <v>0</v>
      </c>
      <c r="AK222" s="2">
        <f t="shared" si="30"/>
        <v>0</v>
      </c>
      <c r="AL222" s="2">
        <f t="shared" si="31"/>
        <v>0</v>
      </c>
      <c r="AM222" s="88"/>
      <c r="AN222" s="157" t="s">
        <v>774</v>
      </c>
    </row>
    <row r="223" spans="2:40" ht="23.15" customHeight="1" thickBot="1">
      <c r="B223" s="87">
        <v>45782</v>
      </c>
      <c r="C223" s="2" t="s">
        <v>295</v>
      </c>
      <c r="D223" s="15" t="s">
        <v>12</v>
      </c>
      <c r="E223" s="20" t="s">
        <v>31</v>
      </c>
      <c r="F223" s="20" t="s">
        <v>40</v>
      </c>
      <c r="G223" s="11">
        <v>18</v>
      </c>
      <c r="H223" s="18">
        <v>19</v>
      </c>
      <c r="I223" s="18">
        <v>0</v>
      </c>
      <c r="J223" s="18">
        <v>0</v>
      </c>
      <c r="K223" s="19">
        <v>87671.885980289648</v>
      </c>
      <c r="L223" s="41">
        <v>0</v>
      </c>
      <c r="M223" s="41">
        <v>0</v>
      </c>
      <c r="N223" s="41">
        <v>0</v>
      </c>
      <c r="O223" s="41">
        <v>0</v>
      </c>
      <c r="P223" s="41">
        <v>0</v>
      </c>
      <c r="Q223" s="43">
        <v>0</v>
      </c>
      <c r="R223" s="43">
        <v>0</v>
      </c>
      <c r="S223" s="43">
        <v>0</v>
      </c>
      <c r="T223" s="43">
        <v>0</v>
      </c>
      <c r="U223" s="19" t="s">
        <v>295</v>
      </c>
      <c r="V223" s="13">
        <f t="shared" si="28"/>
        <v>87671.885980289648</v>
      </c>
      <c r="W223" s="42">
        <v>2.8000000000000001E-2</v>
      </c>
      <c r="X223" s="46">
        <f t="shared" si="32"/>
        <v>90126.698787737754</v>
      </c>
      <c r="Y223" s="13"/>
      <c r="Z223" s="13"/>
      <c r="AA223" s="22">
        <v>45778</v>
      </c>
      <c r="AB223" s="22" cm="1">
        <f t="array" ref="AB2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23" s="4"/>
      <c r="AD223" s="4"/>
      <c r="AE223" s="2"/>
      <c r="AF223" s="3"/>
      <c r="AG223" s="3"/>
      <c r="AH223" s="3"/>
      <c r="AI223" s="3"/>
      <c r="AJ223" s="2">
        <f t="shared" si="29"/>
        <v>0</v>
      </c>
      <c r="AK223" s="2">
        <f t="shared" si="30"/>
        <v>0</v>
      </c>
      <c r="AL223" s="2">
        <f t="shared" si="31"/>
        <v>0</v>
      </c>
      <c r="AM223" s="88"/>
      <c r="AN223" s="157" t="s">
        <v>774</v>
      </c>
    </row>
    <row r="224" spans="2:40" ht="23.15" customHeight="1" thickBot="1">
      <c r="B224" s="87">
        <v>45818</v>
      </c>
      <c r="C224" s="2" t="s">
        <v>295</v>
      </c>
      <c r="D224" s="15" t="s">
        <v>12</v>
      </c>
      <c r="E224" s="20" t="s">
        <v>31</v>
      </c>
      <c r="F224" s="20" t="s">
        <v>40</v>
      </c>
      <c r="G224" s="11">
        <v>18</v>
      </c>
      <c r="H224" s="18">
        <v>19</v>
      </c>
      <c r="I224" s="18">
        <v>0</v>
      </c>
      <c r="J224" s="18">
        <v>0</v>
      </c>
      <c r="K224" s="10">
        <v>87671.885980289648</v>
      </c>
      <c r="L224" s="41">
        <v>0</v>
      </c>
      <c r="M224" s="41">
        <v>0</v>
      </c>
      <c r="N224" s="41">
        <v>0</v>
      </c>
      <c r="O224" s="41">
        <v>0</v>
      </c>
      <c r="P224" s="41">
        <v>0</v>
      </c>
      <c r="Q224" s="41">
        <v>0</v>
      </c>
      <c r="R224" s="41">
        <v>0</v>
      </c>
      <c r="S224" s="41">
        <v>0</v>
      </c>
      <c r="T224" s="41">
        <v>0</v>
      </c>
      <c r="U224" s="19"/>
      <c r="V224" s="13">
        <f t="shared" si="28"/>
        <v>87671.885980289648</v>
      </c>
      <c r="W224" s="42">
        <v>2.8000000000000001E-2</v>
      </c>
      <c r="X224" s="46">
        <f t="shared" si="32"/>
        <v>90126.698787737754</v>
      </c>
      <c r="Y224" s="13"/>
      <c r="Z224" s="13"/>
      <c r="AA224" s="22">
        <v>45809</v>
      </c>
      <c r="AB224" s="22" cm="1">
        <f t="array" ref="AB2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24" s="4"/>
      <c r="AD224" s="4"/>
      <c r="AE224" s="2"/>
      <c r="AF224" s="3"/>
      <c r="AG224" s="3"/>
      <c r="AH224" s="3"/>
      <c r="AI224" s="3"/>
      <c r="AJ224" s="2">
        <f t="shared" si="29"/>
        <v>0</v>
      </c>
      <c r="AK224" s="2">
        <f t="shared" si="30"/>
        <v>0</v>
      </c>
      <c r="AL224" s="2">
        <f t="shared" si="31"/>
        <v>0</v>
      </c>
      <c r="AM224" s="88"/>
      <c r="AN224" s="157" t="s">
        <v>774</v>
      </c>
    </row>
    <row r="225" spans="2:40" ht="23.15" customHeight="1" thickBot="1">
      <c r="B225" s="87">
        <v>45846</v>
      </c>
      <c r="C225" s="2" t="s">
        <v>295</v>
      </c>
      <c r="D225" s="15" t="s">
        <v>12</v>
      </c>
      <c r="E225" s="20" t="s">
        <v>31</v>
      </c>
      <c r="F225" s="20" t="s">
        <v>40</v>
      </c>
      <c r="G225" s="11">
        <v>18</v>
      </c>
      <c r="H225" s="18">
        <v>19</v>
      </c>
      <c r="I225" s="18">
        <v>0</v>
      </c>
      <c r="J225" s="18">
        <v>0</v>
      </c>
      <c r="K225" s="19">
        <v>87671.885980289648</v>
      </c>
      <c r="L225" s="41">
        <v>0</v>
      </c>
      <c r="M225" s="43">
        <v>0</v>
      </c>
      <c r="N225" s="41">
        <v>0</v>
      </c>
      <c r="O225" s="43">
        <v>0</v>
      </c>
      <c r="P225" s="41">
        <v>0</v>
      </c>
      <c r="Q225" s="43">
        <v>0</v>
      </c>
      <c r="R225" s="43">
        <v>0</v>
      </c>
      <c r="S225" s="43">
        <v>0</v>
      </c>
      <c r="T225" s="43">
        <v>0</v>
      </c>
      <c r="U225" s="19" t="s">
        <v>295</v>
      </c>
      <c r="V225" s="13">
        <f t="shared" si="28"/>
        <v>87671.885980289648</v>
      </c>
      <c r="W225" s="42">
        <v>2.8000000000000001E-2</v>
      </c>
      <c r="X225" s="46">
        <f t="shared" si="32"/>
        <v>90126.698787737754</v>
      </c>
      <c r="Y225" s="13"/>
      <c r="Z225" s="13"/>
      <c r="AA225" s="22">
        <v>45839</v>
      </c>
      <c r="AB225" s="22" cm="1">
        <f t="array" ref="AB2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25" s="4">
        <f>1883.64616177077+2052.60739067561</f>
        <v>3936.2535524463801</v>
      </c>
      <c r="AD225" s="4">
        <f>1883.64616177077+2052.60739067561</f>
        <v>3936.2535524463801</v>
      </c>
      <c r="AE225" s="4"/>
      <c r="AF225" s="3"/>
      <c r="AG225" s="3"/>
      <c r="AH225" s="3"/>
      <c r="AI225" s="3"/>
      <c r="AJ225" s="2">
        <f t="shared" si="29"/>
        <v>0</v>
      </c>
      <c r="AK225" s="2">
        <f t="shared" si="30"/>
        <v>0</v>
      </c>
      <c r="AL225" s="2">
        <f t="shared" si="31"/>
        <v>0</v>
      </c>
      <c r="AM225" s="88"/>
      <c r="AN225" s="157" t="s">
        <v>774</v>
      </c>
    </row>
    <row r="226" spans="2:40" ht="23.15" customHeight="1" thickBot="1">
      <c r="B226" s="87">
        <v>45665</v>
      </c>
      <c r="C226" s="2" t="s">
        <v>295</v>
      </c>
      <c r="D226" s="15" t="s">
        <v>12</v>
      </c>
      <c r="E226" s="20" t="s">
        <v>32</v>
      </c>
      <c r="F226" s="20" t="s">
        <v>40</v>
      </c>
      <c r="G226" s="11">
        <v>14</v>
      </c>
      <c r="H226" s="11">
        <v>14</v>
      </c>
      <c r="I226" s="18">
        <v>0</v>
      </c>
      <c r="J226" s="18">
        <v>0</v>
      </c>
      <c r="K226" s="19">
        <v>89516.653328138607</v>
      </c>
      <c r="L226" s="41">
        <v>0</v>
      </c>
      <c r="M226" s="41">
        <v>0</v>
      </c>
      <c r="N226" s="41">
        <v>0</v>
      </c>
      <c r="O226" s="41">
        <v>0</v>
      </c>
      <c r="P226" s="41">
        <v>0</v>
      </c>
      <c r="Q226" s="43">
        <v>0</v>
      </c>
      <c r="R226" s="43">
        <v>0</v>
      </c>
      <c r="S226" s="43">
        <v>0</v>
      </c>
      <c r="T226" s="43">
        <v>0</v>
      </c>
      <c r="U226" s="19" t="s">
        <v>295</v>
      </c>
      <c r="V226" s="13">
        <f t="shared" si="28"/>
        <v>89516.653328138607</v>
      </c>
      <c r="W226" s="42">
        <v>2.8000000000000001E-2</v>
      </c>
      <c r="X226" s="46">
        <f t="shared" si="32"/>
        <v>92023.119621326492</v>
      </c>
      <c r="Y226" s="13"/>
      <c r="Z226" s="13"/>
      <c r="AA226" s="22">
        <v>45658</v>
      </c>
      <c r="AB226" s="22" cm="1">
        <f t="array" ref="AB2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226" s="4"/>
      <c r="AD226" s="4"/>
      <c r="AE226" s="2"/>
      <c r="AF226" s="3"/>
      <c r="AG226" s="3"/>
      <c r="AH226" s="3"/>
      <c r="AI226" s="3"/>
      <c r="AJ226" s="2">
        <f t="shared" si="29"/>
        <v>0</v>
      </c>
      <c r="AK226" s="2">
        <f t="shared" si="30"/>
        <v>0</v>
      </c>
      <c r="AL226" s="2">
        <f t="shared" si="31"/>
        <v>0</v>
      </c>
      <c r="AM226" s="88"/>
      <c r="AN226" s="157" t="s">
        <v>774</v>
      </c>
    </row>
    <row r="227" spans="2:40" ht="23.15" customHeight="1" thickBot="1">
      <c r="B227" s="87"/>
      <c r="C227" s="2" t="s">
        <v>295</v>
      </c>
      <c r="D227" s="15" t="s">
        <v>12</v>
      </c>
      <c r="E227" s="20" t="s">
        <v>32</v>
      </c>
      <c r="F227" s="20" t="s">
        <v>40</v>
      </c>
      <c r="G227" s="11">
        <v>14</v>
      </c>
      <c r="H227" s="11">
        <v>14</v>
      </c>
      <c r="I227" s="18">
        <v>0</v>
      </c>
      <c r="J227" s="18">
        <v>0</v>
      </c>
      <c r="K227" s="19">
        <v>89516.653328138607</v>
      </c>
      <c r="L227" s="41">
        <v>0</v>
      </c>
      <c r="M227" s="41">
        <v>0</v>
      </c>
      <c r="N227" s="41">
        <v>0</v>
      </c>
      <c r="O227" s="41">
        <v>0</v>
      </c>
      <c r="P227" s="41">
        <v>0</v>
      </c>
      <c r="Q227" s="43">
        <v>0</v>
      </c>
      <c r="R227" s="43">
        <v>0</v>
      </c>
      <c r="S227" s="43">
        <v>0</v>
      </c>
      <c r="T227" s="43">
        <v>0</v>
      </c>
      <c r="U227" s="19" t="s">
        <v>295</v>
      </c>
      <c r="V227" s="13">
        <f t="shared" si="28"/>
        <v>89516.653328138607</v>
      </c>
      <c r="W227" s="42">
        <v>2.8000000000000001E-2</v>
      </c>
      <c r="X227" s="46">
        <f t="shared" si="32"/>
        <v>92023.119621326492</v>
      </c>
      <c r="Y227" s="13"/>
      <c r="Z227" s="13"/>
      <c r="AA227" s="22">
        <v>45689</v>
      </c>
      <c r="AB227" s="22" cm="1">
        <f t="array" ref="AB2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27" s="4"/>
      <c r="AD227" s="4"/>
      <c r="AE227" s="2"/>
      <c r="AF227" s="3"/>
      <c r="AG227" s="3"/>
      <c r="AH227" s="3"/>
      <c r="AI227" s="3"/>
      <c r="AJ227" s="2">
        <f t="shared" si="29"/>
        <v>0</v>
      </c>
      <c r="AK227" s="2">
        <f t="shared" si="30"/>
        <v>0</v>
      </c>
      <c r="AL227" s="2">
        <f t="shared" si="31"/>
        <v>0</v>
      </c>
      <c r="AM227" s="88"/>
      <c r="AN227" s="157" t="s">
        <v>774</v>
      </c>
    </row>
    <row r="228" spans="2:40" ht="23.15" customHeight="1" thickBot="1">
      <c r="B228" s="87">
        <v>45729</v>
      </c>
      <c r="C228" s="2" t="s">
        <v>295</v>
      </c>
      <c r="D228" s="15" t="s">
        <v>12</v>
      </c>
      <c r="E228" s="20" t="s">
        <v>32</v>
      </c>
      <c r="F228" s="20" t="s">
        <v>40</v>
      </c>
      <c r="G228" s="11">
        <v>14</v>
      </c>
      <c r="H228" s="11">
        <v>14</v>
      </c>
      <c r="I228" s="18">
        <v>0</v>
      </c>
      <c r="J228" s="18">
        <v>0</v>
      </c>
      <c r="K228" s="19">
        <v>89516.653328138607</v>
      </c>
      <c r="L228" s="41">
        <v>0</v>
      </c>
      <c r="M228" s="41">
        <v>0</v>
      </c>
      <c r="N228" s="41">
        <v>0</v>
      </c>
      <c r="O228" s="41">
        <v>0</v>
      </c>
      <c r="P228" s="41">
        <v>0</v>
      </c>
      <c r="Q228" s="43">
        <v>0</v>
      </c>
      <c r="R228" s="43">
        <v>0</v>
      </c>
      <c r="S228" s="43">
        <v>0</v>
      </c>
      <c r="T228" s="43">
        <v>0</v>
      </c>
      <c r="U228" s="19" t="s">
        <v>295</v>
      </c>
      <c r="V228" s="13">
        <f t="shared" si="28"/>
        <v>89516.653328138607</v>
      </c>
      <c r="W228" s="42">
        <v>2.8000000000000001E-2</v>
      </c>
      <c r="X228" s="46">
        <f t="shared" si="32"/>
        <v>92023.119621326492</v>
      </c>
      <c r="Y228" s="13"/>
      <c r="Z228" s="13"/>
      <c r="AA228" s="22">
        <v>45717</v>
      </c>
      <c r="AB228" s="22" cm="1">
        <f t="array" ref="AB2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28" s="4"/>
      <c r="AD228" s="4"/>
      <c r="AE228" s="2"/>
      <c r="AF228" s="3"/>
      <c r="AG228" s="3"/>
      <c r="AH228" s="3"/>
      <c r="AI228" s="3"/>
      <c r="AJ228" s="2">
        <f t="shared" si="29"/>
        <v>0</v>
      </c>
      <c r="AK228" s="2">
        <f t="shared" si="30"/>
        <v>0</v>
      </c>
      <c r="AL228" s="2">
        <f t="shared" si="31"/>
        <v>0</v>
      </c>
      <c r="AM228" s="88"/>
      <c r="AN228" s="157" t="s">
        <v>774</v>
      </c>
    </row>
    <row r="229" spans="2:40" ht="23.15" customHeight="1" thickBot="1">
      <c r="B229" s="87">
        <v>45758</v>
      </c>
      <c r="C229" s="2" t="s">
        <v>295</v>
      </c>
      <c r="D229" s="15" t="s">
        <v>12</v>
      </c>
      <c r="E229" s="20" t="s">
        <v>32</v>
      </c>
      <c r="F229" s="20" t="s">
        <v>40</v>
      </c>
      <c r="G229" s="11">
        <v>14</v>
      </c>
      <c r="H229" s="18">
        <v>14</v>
      </c>
      <c r="I229" s="11">
        <v>0</v>
      </c>
      <c r="J229" s="11">
        <v>0</v>
      </c>
      <c r="K229" s="19">
        <v>93557.13</v>
      </c>
      <c r="L229" s="41">
        <v>0</v>
      </c>
      <c r="M229" s="41">
        <v>0</v>
      </c>
      <c r="N229" s="41">
        <v>0</v>
      </c>
      <c r="O229" s="41">
        <v>0</v>
      </c>
      <c r="P229" s="41">
        <v>0</v>
      </c>
      <c r="Q229" s="41">
        <v>0</v>
      </c>
      <c r="R229" s="41">
        <v>0</v>
      </c>
      <c r="S229" s="41">
        <v>0</v>
      </c>
      <c r="T229" s="41">
        <v>0</v>
      </c>
      <c r="U229" s="19" t="s">
        <v>295</v>
      </c>
      <c r="V229" s="13">
        <f t="shared" si="28"/>
        <v>93557.13</v>
      </c>
      <c r="W229" s="42">
        <v>2.8000000000000001E-2</v>
      </c>
      <c r="X229" s="46">
        <f t="shared" si="32"/>
        <v>96176.729640000005</v>
      </c>
      <c r="Y229" s="41">
        <f>12121.43*3</f>
        <v>36364.29</v>
      </c>
      <c r="Z229" s="13" t="s">
        <v>302</v>
      </c>
      <c r="AA229" s="22">
        <v>45748</v>
      </c>
      <c r="AB229" s="22" cm="1">
        <f t="array" ref="AB2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29" s="4"/>
      <c r="AD229" s="4"/>
      <c r="AE229" s="2"/>
      <c r="AF229" s="3"/>
      <c r="AG229" s="3"/>
      <c r="AH229" s="3"/>
      <c r="AI229" s="3"/>
      <c r="AJ229" s="2">
        <f t="shared" si="29"/>
        <v>0</v>
      </c>
      <c r="AK229" s="2">
        <f t="shared" si="30"/>
        <v>0</v>
      </c>
      <c r="AL229" s="2">
        <f t="shared" si="31"/>
        <v>0</v>
      </c>
      <c r="AM229" s="88"/>
      <c r="AN229" s="157" t="s">
        <v>774</v>
      </c>
    </row>
    <row r="230" spans="2:40" ht="23.15" customHeight="1" thickBot="1">
      <c r="B230" s="87">
        <v>45782</v>
      </c>
      <c r="C230" s="2" t="s">
        <v>295</v>
      </c>
      <c r="D230" s="15" t="s">
        <v>12</v>
      </c>
      <c r="E230" s="20" t="s">
        <v>32</v>
      </c>
      <c r="F230" s="20" t="s">
        <v>40</v>
      </c>
      <c r="G230" s="11">
        <v>14</v>
      </c>
      <c r="H230" s="18">
        <v>14</v>
      </c>
      <c r="I230" s="11">
        <v>0</v>
      </c>
      <c r="J230" s="11">
        <v>0</v>
      </c>
      <c r="K230" s="19">
        <v>93557.13</v>
      </c>
      <c r="L230" s="41">
        <v>0</v>
      </c>
      <c r="M230" s="41">
        <v>0</v>
      </c>
      <c r="N230" s="41">
        <v>0</v>
      </c>
      <c r="O230" s="41">
        <v>0</v>
      </c>
      <c r="P230" s="41">
        <v>0</v>
      </c>
      <c r="Q230" s="43">
        <v>0</v>
      </c>
      <c r="R230" s="43">
        <v>0</v>
      </c>
      <c r="S230" s="43">
        <v>0</v>
      </c>
      <c r="T230" s="43">
        <v>0</v>
      </c>
      <c r="U230" s="19" t="s">
        <v>295</v>
      </c>
      <c r="V230" s="13">
        <f t="shared" si="28"/>
        <v>93557.13</v>
      </c>
      <c r="W230" s="42">
        <v>2.8000000000000001E-2</v>
      </c>
      <c r="X230" s="46">
        <f t="shared" si="32"/>
        <v>96176.729640000005</v>
      </c>
      <c r="Y230" s="13"/>
      <c r="Z230" s="13"/>
      <c r="AA230" s="22">
        <v>45778</v>
      </c>
      <c r="AB230" s="22" cm="1">
        <f t="array" ref="AB2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30" s="4"/>
      <c r="AD230" s="4"/>
      <c r="AE230" s="2"/>
      <c r="AF230" s="3"/>
      <c r="AG230" s="3"/>
      <c r="AH230" s="3"/>
      <c r="AI230" s="3"/>
      <c r="AJ230" s="2">
        <f t="shared" si="29"/>
        <v>0</v>
      </c>
      <c r="AK230" s="2">
        <f t="shared" si="30"/>
        <v>0</v>
      </c>
      <c r="AL230" s="2">
        <f t="shared" si="31"/>
        <v>0</v>
      </c>
      <c r="AM230" s="88"/>
      <c r="AN230" s="157" t="s">
        <v>774</v>
      </c>
    </row>
    <row r="231" spans="2:40" ht="23.15" customHeight="1" thickBot="1">
      <c r="B231" s="87">
        <v>45818</v>
      </c>
      <c r="C231" s="2" t="s">
        <v>295</v>
      </c>
      <c r="D231" s="15" t="s">
        <v>12</v>
      </c>
      <c r="E231" s="20" t="s">
        <v>32</v>
      </c>
      <c r="F231" s="20" t="s">
        <v>40</v>
      </c>
      <c r="G231" s="11">
        <v>14</v>
      </c>
      <c r="H231" s="18">
        <v>14</v>
      </c>
      <c r="I231" s="11">
        <v>0</v>
      </c>
      <c r="J231" s="11">
        <v>0</v>
      </c>
      <c r="K231" s="19">
        <v>93557.13</v>
      </c>
      <c r="L231" s="41">
        <v>0</v>
      </c>
      <c r="M231" s="41">
        <v>0</v>
      </c>
      <c r="N231" s="41">
        <v>0</v>
      </c>
      <c r="O231" s="41">
        <v>0</v>
      </c>
      <c r="P231" s="41">
        <v>0</v>
      </c>
      <c r="Q231" s="43">
        <v>0</v>
      </c>
      <c r="R231" s="43">
        <v>0</v>
      </c>
      <c r="S231" s="43">
        <v>0</v>
      </c>
      <c r="T231" s="43">
        <v>0</v>
      </c>
      <c r="U231" s="19" t="s">
        <v>295</v>
      </c>
      <c r="V231" s="13">
        <f t="shared" si="28"/>
        <v>93557.13</v>
      </c>
      <c r="W231" s="42">
        <v>2.8000000000000001E-2</v>
      </c>
      <c r="X231" s="46">
        <f t="shared" si="32"/>
        <v>96176.729640000005</v>
      </c>
      <c r="Y231" s="13"/>
      <c r="Z231" s="13"/>
      <c r="AA231" s="22">
        <v>45809</v>
      </c>
      <c r="AB231" s="22" cm="1">
        <f t="array" ref="AB2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31" s="4"/>
      <c r="AD231" s="4"/>
      <c r="AE231" s="2"/>
      <c r="AF231" s="3"/>
      <c r="AG231" s="3"/>
      <c r="AH231" s="3"/>
      <c r="AI231" s="3"/>
      <c r="AJ231" s="2">
        <f t="shared" si="29"/>
        <v>0</v>
      </c>
      <c r="AK231" s="2">
        <f t="shared" si="30"/>
        <v>0</v>
      </c>
      <c r="AL231" s="2">
        <f t="shared" si="31"/>
        <v>0</v>
      </c>
      <c r="AM231" s="88"/>
      <c r="AN231" s="157" t="s">
        <v>774</v>
      </c>
    </row>
    <row r="232" spans="2:40" ht="23.15" customHeight="1" thickBot="1">
      <c r="B232" s="87">
        <v>45846</v>
      </c>
      <c r="C232" s="2" t="s">
        <v>295</v>
      </c>
      <c r="D232" s="15" t="s">
        <v>12</v>
      </c>
      <c r="E232" s="20" t="s">
        <v>32</v>
      </c>
      <c r="F232" s="20" t="s">
        <v>40</v>
      </c>
      <c r="G232" s="11">
        <v>14</v>
      </c>
      <c r="H232" s="18">
        <v>14</v>
      </c>
      <c r="I232" s="18">
        <v>0</v>
      </c>
      <c r="J232" s="18">
        <v>0</v>
      </c>
      <c r="K232" s="19">
        <v>93557.13</v>
      </c>
      <c r="L232" s="41">
        <v>0</v>
      </c>
      <c r="M232" s="41">
        <v>0</v>
      </c>
      <c r="N232" s="41">
        <v>0</v>
      </c>
      <c r="O232" s="41">
        <v>0</v>
      </c>
      <c r="P232" s="41">
        <v>0</v>
      </c>
      <c r="Q232" s="43">
        <v>0</v>
      </c>
      <c r="R232" s="43">
        <v>0</v>
      </c>
      <c r="S232" s="43">
        <v>0</v>
      </c>
      <c r="T232" s="43">
        <v>0</v>
      </c>
      <c r="U232" s="19" t="s">
        <v>295</v>
      </c>
      <c r="V232" s="13">
        <f t="shared" ref="V232:V238" si="33">IFERROR((K232+M232+R232+S232+T232+O232)+IF(U232="Sim",P232+Q232,0),(K232+R232+S232+T232)+IF(U232="Sim",P232+Q232,0))</f>
        <v>93557.13</v>
      </c>
      <c r="W232" s="42">
        <v>2.8000000000000001E-2</v>
      </c>
      <c r="X232" s="46">
        <f t="shared" si="32"/>
        <v>96176.729640000005</v>
      </c>
      <c r="Y232" s="13"/>
      <c r="Z232" s="13"/>
      <c r="AA232" s="22">
        <v>45839</v>
      </c>
      <c r="AB232" s="22" cm="1">
        <f t="array" ref="AB2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32" s="4"/>
      <c r="AD232" s="4"/>
      <c r="AE232" s="2"/>
      <c r="AF232" s="3"/>
      <c r="AG232" s="3"/>
      <c r="AH232" s="3"/>
      <c r="AI232" s="3"/>
      <c r="AJ232" s="2">
        <f t="shared" ref="AJ232:AJ243" si="34">IFERROR(L232-M232,0)</f>
        <v>0</v>
      </c>
      <c r="AK232" s="2">
        <f t="shared" ref="AK232:AK243" si="35">AC232-AD232</f>
        <v>0</v>
      </c>
      <c r="AL232" s="2">
        <f t="shared" ref="AL232:AL243" si="36">K232-V232</f>
        <v>0</v>
      </c>
      <c r="AM232" s="88"/>
      <c r="AN232" s="157" t="s">
        <v>774</v>
      </c>
    </row>
    <row r="233" spans="2:40" ht="23.15" customHeight="1" thickBot="1">
      <c r="B233" s="87">
        <v>45750</v>
      </c>
      <c r="C233" s="2" t="s">
        <v>295</v>
      </c>
      <c r="D233" s="15" t="s">
        <v>12</v>
      </c>
      <c r="E233" s="20" t="s">
        <v>30</v>
      </c>
      <c r="F233" s="20" t="s">
        <v>56</v>
      </c>
      <c r="G233" s="11">
        <v>37</v>
      </c>
      <c r="H233" s="11">
        <v>34</v>
      </c>
      <c r="I233" s="11">
        <v>14</v>
      </c>
      <c r="J233" s="11">
        <v>0</v>
      </c>
      <c r="K233" s="19">
        <v>165961.48003000001</v>
      </c>
      <c r="L233" s="41">
        <v>0</v>
      </c>
      <c r="M233" s="41">
        <f>-2003.21</f>
        <v>-2003.21</v>
      </c>
      <c r="N233" s="41">
        <v>0</v>
      </c>
      <c r="O233" s="41">
        <v>0</v>
      </c>
      <c r="P233" s="41">
        <v>-1936.22</v>
      </c>
      <c r="Q233" s="43">
        <v>0</v>
      </c>
      <c r="R233" s="43">
        <v>-104.30472400001599</v>
      </c>
      <c r="S233" s="43">
        <f>-(165961.48003-165419.17585)</f>
        <v>-542.30418000000645</v>
      </c>
      <c r="T233" s="43">
        <v>0</v>
      </c>
      <c r="U233" s="19" t="s">
        <v>295</v>
      </c>
      <c r="V233" s="13">
        <f t="shared" si="33"/>
        <v>161375.44112599999</v>
      </c>
      <c r="W233" s="42">
        <v>2.9000000000000001E-2</v>
      </c>
      <c r="X233" s="46">
        <f t="shared" si="32"/>
        <v>166055.32891865398</v>
      </c>
      <c r="Y233" s="13"/>
      <c r="Z233" s="13"/>
      <c r="AA233" s="22">
        <v>45748</v>
      </c>
      <c r="AB233" s="22" cm="1">
        <f t="array" ref="AB2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33" s="4">
        <v>482.2</v>
      </c>
      <c r="AD233" s="4">
        <v>482.2</v>
      </c>
      <c r="AE233" s="2"/>
      <c r="AF233" s="3"/>
      <c r="AG233" s="3"/>
      <c r="AH233" s="3"/>
      <c r="AI233" s="3"/>
      <c r="AJ233" s="2">
        <f t="shared" si="34"/>
        <v>2003.21</v>
      </c>
      <c r="AK233" s="2">
        <f t="shared" si="35"/>
        <v>0</v>
      </c>
      <c r="AL233" s="2">
        <f t="shared" si="36"/>
        <v>4586.0389040000155</v>
      </c>
      <c r="AM233" s="88"/>
      <c r="AN233" s="157" t="s">
        <v>774</v>
      </c>
    </row>
    <row r="234" spans="2:40" ht="23.15" customHeight="1" thickBot="1">
      <c r="B234" s="87">
        <v>45783</v>
      </c>
      <c r="C234" s="2" t="s">
        <v>295</v>
      </c>
      <c r="D234" s="15" t="s">
        <v>12</v>
      </c>
      <c r="E234" s="20" t="s">
        <v>30</v>
      </c>
      <c r="F234" s="20" t="s">
        <v>56</v>
      </c>
      <c r="G234" s="11">
        <v>37</v>
      </c>
      <c r="H234" s="11">
        <v>34</v>
      </c>
      <c r="I234" s="18">
        <v>7</v>
      </c>
      <c r="J234" s="18">
        <v>0</v>
      </c>
      <c r="K234" s="19">
        <v>166100.87691699999</v>
      </c>
      <c r="L234" s="41">
        <v>0</v>
      </c>
      <c r="M234" s="41">
        <v>-2950.55</v>
      </c>
      <c r="N234" s="41">
        <v>0</v>
      </c>
      <c r="O234" s="41">
        <v>0</v>
      </c>
      <c r="P234" s="41">
        <v>-1107.3399999999999</v>
      </c>
      <c r="Q234" s="43">
        <v>0</v>
      </c>
      <c r="R234" s="43">
        <v>0</v>
      </c>
      <c r="S234" s="43">
        <v>-464.83643999998498</v>
      </c>
      <c r="T234" s="43">
        <v>-451.57</v>
      </c>
      <c r="U234" s="19" t="s">
        <v>295</v>
      </c>
      <c r="V234" s="13">
        <f t="shared" si="33"/>
        <v>161126.58047700001</v>
      </c>
      <c r="W234" s="42">
        <v>2.9000000000000001E-2</v>
      </c>
      <c r="X234" s="46">
        <f t="shared" si="32"/>
        <v>165799.251310833</v>
      </c>
      <c r="Y234" s="13"/>
      <c r="Z234" s="13"/>
      <c r="AA234" s="22">
        <v>45778</v>
      </c>
      <c r="AB234" s="22" cm="1">
        <f t="array" ref="AB2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34" s="4">
        <f>1100.73+1032.61</f>
        <v>2133.34</v>
      </c>
      <c r="AD234" s="4">
        <f>1100.73+1032.61</f>
        <v>2133.34</v>
      </c>
      <c r="AE234" s="4"/>
      <c r="AF234" s="3"/>
      <c r="AG234" s="3"/>
      <c r="AH234" s="3"/>
      <c r="AI234" s="3"/>
      <c r="AJ234" s="2">
        <f t="shared" si="34"/>
        <v>2950.55</v>
      </c>
      <c r="AK234" s="2">
        <f t="shared" si="35"/>
        <v>0</v>
      </c>
      <c r="AL234" s="2">
        <f t="shared" si="36"/>
        <v>4974.2964399999764</v>
      </c>
      <c r="AM234" s="88"/>
      <c r="AN234" s="157" t="s">
        <v>774</v>
      </c>
    </row>
    <row r="235" spans="2:40" ht="23.15" customHeight="1" thickBot="1">
      <c r="B235" s="87">
        <v>45812</v>
      </c>
      <c r="C235" s="2" t="s">
        <v>295</v>
      </c>
      <c r="D235" s="15" t="s">
        <v>12</v>
      </c>
      <c r="E235" s="20" t="s">
        <v>30</v>
      </c>
      <c r="F235" s="20" t="s">
        <v>56</v>
      </c>
      <c r="G235" s="11">
        <v>37</v>
      </c>
      <c r="H235" s="18">
        <v>34</v>
      </c>
      <c r="I235" s="18">
        <v>30</v>
      </c>
      <c r="J235" s="18">
        <v>0</v>
      </c>
      <c r="K235" s="19">
        <v>166100.87691699999</v>
      </c>
      <c r="L235" s="41">
        <v>0</v>
      </c>
      <c r="M235" s="41">
        <f>-4685.34</f>
        <v>-4685.34</v>
      </c>
      <c r="N235" s="41">
        <v>0</v>
      </c>
      <c r="O235" s="41">
        <v>0</v>
      </c>
      <c r="P235" s="41">
        <f>-1937.84</f>
        <v>-1937.84</v>
      </c>
      <c r="Q235" s="43">
        <v>0</v>
      </c>
      <c r="R235" s="43">
        <v>-74.031670965108802</v>
      </c>
      <c r="S235" s="43">
        <f>-77.4677399999637</f>
        <v>-77.467739999963698</v>
      </c>
      <c r="T235" s="43">
        <v>0</v>
      </c>
      <c r="U235" s="19" t="s">
        <v>295</v>
      </c>
      <c r="V235" s="13">
        <f t="shared" si="33"/>
        <v>159326.19750603492</v>
      </c>
      <c r="W235" s="42">
        <v>2.9000000000000001E-2</v>
      </c>
      <c r="X235" s="46">
        <f t="shared" si="32"/>
        <v>163946.65723370991</v>
      </c>
      <c r="Y235" s="13"/>
      <c r="Z235" s="13"/>
      <c r="AA235" s="22">
        <v>45809</v>
      </c>
      <c r="AB235" s="22" cm="1">
        <f t="array" ref="AB2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35" s="4">
        <f>14868.1959+2374.46</f>
        <v>17242.655900000002</v>
      </c>
      <c r="AD235" s="4">
        <f>10393.1959+3066.55+2374.46+1054.49</f>
        <v>16888.695900000002</v>
      </c>
      <c r="AE235" s="2"/>
      <c r="AF235" s="3"/>
      <c r="AG235" s="3"/>
      <c r="AH235" s="3"/>
      <c r="AI235" s="3"/>
      <c r="AJ235" s="2">
        <f t="shared" si="34"/>
        <v>4685.34</v>
      </c>
      <c r="AK235" s="2">
        <f t="shared" si="35"/>
        <v>353.95999999999913</v>
      </c>
      <c r="AL235" s="2">
        <f t="shared" si="36"/>
        <v>6774.6794109650655</v>
      </c>
      <c r="AM235" s="88"/>
      <c r="AN235" s="157" t="s">
        <v>774</v>
      </c>
    </row>
    <row r="236" spans="2:40" ht="23.15" customHeight="1" thickBot="1">
      <c r="B236" s="87"/>
      <c r="C236" s="2" t="s">
        <v>292</v>
      </c>
      <c r="D236" s="15" t="s">
        <v>12</v>
      </c>
      <c r="E236" s="20" t="s">
        <v>25</v>
      </c>
      <c r="F236" s="20" t="s">
        <v>40</v>
      </c>
      <c r="G236" s="11">
        <v>21</v>
      </c>
      <c r="H236" s="18">
        <v>10</v>
      </c>
      <c r="I236" s="18" t="s">
        <v>294</v>
      </c>
      <c r="J236" s="18" t="s">
        <v>294</v>
      </c>
      <c r="K236" s="19">
        <v>85244.740489620002</v>
      </c>
      <c r="L236" s="41">
        <v>0</v>
      </c>
      <c r="M236" s="41" t="s">
        <v>294</v>
      </c>
      <c r="N236" s="41">
        <v>0</v>
      </c>
      <c r="O236" s="41" t="s">
        <v>294</v>
      </c>
      <c r="P236" s="41" t="s">
        <v>293</v>
      </c>
      <c r="Q236" s="43">
        <v>0</v>
      </c>
      <c r="R236" s="43">
        <v>0</v>
      </c>
      <c r="S236" s="43">
        <v>0</v>
      </c>
      <c r="T236" s="43">
        <v>0</v>
      </c>
      <c r="U236" s="19"/>
      <c r="V236" s="13">
        <f t="shared" si="33"/>
        <v>85244.740489620002</v>
      </c>
      <c r="W236" s="248">
        <v>1.2999999999999999E-2</v>
      </c>
      <c r="X236" s="46">
        <f t="shared" si="32"/>
        <v>86352.922115985057</v>
      </c>
      <c r="Y236" s="13"/>
      <c r="Z236" s="13"/>
      <c r="AA236" s="22">
        <v>45870</v>
      </c>
      <c r="AB236" s="22" cm="1">
        <f t="array" ref="AB2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36" s="4"/>
      <c r="AD236" s="4"/>
      <c r="AE236" s="2"/>
      <c r="AF236" s="3"/>
      <c r="AG236" s="3"/>
      <c r="AH236" s="3"/>
      <c r="AI236" s="3"/>
      <c r="AJ236" s="2">
        <f t="shared" si="34"/>
        <v>0</v>
      </c>
      <c r="AK236" s="2">
        <f t="shared" si="35"/>
        <v>0</v>
      </c>
      <c r="AL236" s="2">
        <f t="shared" si="36"/>
        <v>0</v>
      </c>
      <c r="AM236" s="88"/>
      <c r="AN236" s="157" t="s">
        <v>774</v>
      </c>
    </row>
    <row r="237" spans="2:40" ht="23.15" customHeight="1" thickBot="1">
      <c r="B237" s="87">
        <v>45840</v>
      </c>
      <c r="C237" s="2" t="s">
        <v>295</v>
      </c>
      <c r="D237" s="15" t="s">
        <v>12</v>
      </c>
      <c r="E237" s="20" t="s">
        <v>30</v>
      </c>
      <c r="F237" s="20" t="s">
        <v>56</v>
      </c>
      <c r="G237" s="11">
        <v>37</v>
      </c>
      <c r="H237" s="11">
        <v>34</v>
      </c>
      <c r="I237" s="18">
        <v>20</v>
      </c>
      <c r="J237" s="18">
        <v>0</v>
      </c>
      <c r="K237" s="19">
        <v>176849.97</v>
      </c>
      <c r="L237" s="41">
        <v>0</v>
      </c>
      <c r="M237" s="43">
        <f>-3163.34</f>
        <v>-3163.34</v>
      </c>
      <c r="N237" s="41">
        <v>0</v>
      </c>
      <c r="O237" s="43">
        <v>0</v>
      </c>
      <c r="P237" s="41">
        <f>-1768.5</f>
        <v>-1768.5</v>
      </c>
      <c r="Q237" s="43">
        <v>0</v>
      </c>
      <c r="R237" s="43">
        <v>0</v>
      </c>
      <c r="S237" s="43">
        <f>-697.249660000001</f>
        <v>-697.24966000000097</v>
      </c>
      <c r="T237" s="43">
        <v>0</v>
      </c>
      <c r="U237" s="19" t="s">
        <v>295</v>
      </c>
      <c r="V237" s="13">
        <f t="shared" si="33"/>
        <v>171220.88034</v>
      </c>
      <c r="W237" s="42">
        <v>2.9000000000000001E-2</v>
      </c>
      <c r="X237" s="46">
        <f t="shared" si="32"/>
        <v>176186.28586986</v>
      </c>
      <c r="Y237" s="13">
        <v>31880.019731999986</v>
      </c>
      <c r="Z237" s="13" t="s">
        <v>302</v>
      </c>
      <c r="AA237" s="22">
        <v>45839</v>
      </c>
      <c r="AB237" s="22" cm="1">
        <f t="array" ref="AB2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37" s="4"/>
      <c r="AD237" s="4"/>
      <c r="AE237" s="2"/>
      <c r="AF237" s="3"/>
      <c r="AG237" s="3"/>
      <c r="AH237" s="3"/>
      <c r="AI237" s="3"/>
      <c r="AJ237" s="2">
        <f t="shared" si="34"/>
        <v>3163.34</v>
      </c>
      <c r="AK237" s="2">
        <f t="shared" si="35"/>
        <v>0</v>
      </c>
      <c r="AL237" s="2">
        <f t="shared" si="36"/>
        <v>5629.0896599999978</v>
      </c>
      <c r="AM237" s="88"/>
      <c r="AN237" s="157" t="s">
        <v>774</v>
      </c>
    </row>
    <row r="238" spans="2:40" ht="23.15" customHeight="1" thickBot="1">
      <c r="B238" s="87">
        <v>45876</v>
      </c>
      <c r="C238" s="2" t="s">
        <v>295</v>
      </c>
      <c r="D238" s="15" t="s">
        <v>12</v>
      </c>
      <c r="E238" s="20" t="s">
        <v>30</v>
      </c>
      <c r="F238" s="20" t="s">
        <v>56</v>
      </c>
      <c r="G238" s="11">
        <v>37</v>
      </c>
      <c r="H238" s="18">
        <v>34</v>
      </c>
      <c r="I238" s="11">
        <v>41</v>
      </c>
      <c r="J238" s="11">
        <v>0</v>
      </c>
      <c r="K238" s="19">
        <f>174215.93/31*9</f>
        <v>50578.818387096777</v>
      </c>
      <c r="L238" s="41">
        <v>0</v>
      </c>
      <c r="M238" s="41">
        <f>-3281.64-3617.14</f>
        <v>-6898.78</v>
      </c>
      <c r="N238" s="41">
        <v>0</v>
      </c>
      <c r="O238" s="41">
        <v>0</v>
      </c>
      <c r="P238" s="41">
        <v>-1768.5</v>
      </c>
      <c r="Q238" s="43">
        <v>0</v>
      </c>
      <c r="R238" s="43">
        <v>0</v>
      </c>
      <c r="S238" s="43">
        <f>24*77.47+28*77.47</f>
        <v>4028.4399999999996</v>
      </c>
      <c r="T238" s="43">
        <v>0</v>
      </c>
      <c r="U238" s="19" t="s">
        <v>295</v>
      </c>
      <c r="V238" s="13">
        <f t="shared" si="33"/>
        <v>45939.97838709678</v>
      </c>
      <c r="W238" s="42">
        <v>2.9000000000000001E-2</v>
      </c>
      <c r="X238" s="46">
        <f t="shared" si="32"/>
        <v>47272.237760322583</v>
      </c>
      <c r="Y238" s="13"/>
      <c r="Z238" s="13"/>
      <c r="AA238" s="22">
        <v>45870</v>
      </c>
      <c r="AB238" s="22" cm="1">
        <f t="array" ref="AB2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38" s="4"/>
      <c r="AD238" s="4"/>
      <c r="AE238" s="2"/>
      <c r="AF238" s="3"/>
      <c r="AG238" s="3"/>
      <c r="AH238" s="3"/>
      <c r="AI238" s="3"/>
      <c r="AJ238" s="2">
        <f t="shared" si="34"/>
        <v>6898.78</v>
      </c>
      <c r="AK238" s="2">
        <f t="shared" si="35"/>
        <v>0</v>
      </c>
      <c r="AL238" s="2">
        <f t="shared" si="36"/>
        <v>4638.8399999999965</v>
      </c>
      <c r="AM238" s="88"/>
      <c r="AN238" s="157" t="s">
        <v>774</v>
      </c>
    </row>
    <row r="239" spans="2:40" ht="23.15" customHeight="1" thickBot="1">
      <c r="B239" s="87">
        <v>45933</v>
      </c>
      <c r="C239" s="2" t="s">
        <v>295</v>
      </c>
      <c r="D239" s="15" t="s">
        <v>12</v>
      </c>
      <c r="E239" s="20" t="s">
        <v>30</v>
      </c>
      <c r="F239" s="20" t="s">
        <v>68</v>
      </c>
      <c r="G239" s="11">
        <v>37</v>
      </c>
      <c r="H239" s="18">
        <v>34</v>
      </c>
      <c r="I239" s="18">
        <v>0</v>
      </c>
      <c r="J239" s="18">
        <v>0</v>
      </c>
      <c r="K239" s="19">
        <v>177436.67</v>
      </c>
      <c r="L239" s="41">
        <v>0</v>
      </c>
      <c r="M239" s="41">
        <v>0</v>
      </c>
      <c r="N239" s="41">
        <v>0</v>
      </c>
      <c r="O239" s="41">
        <v>0</v>
      </c>
      <c r="P239" s="41">
        <v>-2063.25</v>
      </c>
      <c r="Q239" s="43">
        <v>0</v>
      </c>
      <c r="R239" s="43">
        <v>0</v>
      </c>
      <c r="S239" s="43">
        <v>0</v>
      </c>
      <c r="T239" s="43">
        <v>0</v>
      </c>
      <c r="U239" s="19"/>
      <c r="V239" s="13">
        <v>0</v>
      </c>
      <c r="W239" s="42"/>
      <c r="X239" s="46">
        <f t="shared" si="32"/>
        <v>0</v>
      </c>
      <c r="Y239" s="13"/>
      <c r="Z239" s="13"/>
      <c r="AA239" s="22">
        <v>45870</v>
      </c>
      <c r="AB239" s="22" cm="1">
        <f t="array" ref="AB2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39" s="4">
        <v>2634.6331545189505</v>
      </c>
      <c r="AD239" s="4">
        <v>2634.6331545189505</v>
      </c>
      <c r="AE239" s="2"/>
      <c r="AF239" s="3"/>
      <c r="AG239" s="3"/>
      <c r="AH239" s="3"/>
      <c r="AI239" s="3"/>
      <c r="AJ239" s="2">
        <f t="shared" si="34"/>
        <v>0</v>
      </c>
      <c r="AK239" s="2">
        <f t="shared" si="35"/>
        <v>0</v>
      </c>
      <c r="AL239" s="2">
        <f t="shared" si="36"/>
        <v>177436.67</v>
      </c>
      <c r="AM239" s="88"/>
      <c r="AN239" s="157" t="s">
        <v>774</v>
      </c>
    </row>
    <row r="240" spans="2:40" ht="23.15" customHeight="1" thickBot="1">
      <c r="B240" s="87">
        <v>45931</v>
      </c>
      <c r="C240" s="2" t="s">
        <v>299</v>
      </c>
      <c r="D240" s="15" t="s">
        <v>12</v>
      </c>
      <c r="E240" s="20" t="s">
        <v>30</v>
      </c>
      <c r="F240" s="20" t="s">
        <v>68</v>
      </c>
      <c r="G240" s="11">
        <v>37</v>
      </c>
      <c r="H240" s="18">
        <v>34</v>
      </c>
      <c r="I240" s="18">
        <v>0</v>
      </c>
      <c r="J240" s="18">
        <v>0</v>
      </c>
      <c r="K240" s="19">
        <v>177436.67</v>
      </c>
      <c r="L240" s="41">
        <v>0</v>
      </c>
      <c r="M240" s="18">
        <v>0</v>
      </c>
      <c r="N240" s="41">
        <v>0</v>
      </c>
      <c r="O240" s="18">
        <v>0</v>
      </c>
      <c r="P240" s="41">
        <v>0</v>
      </c>
      <c r="Q240" s="43">
        <v>0</v>
      </c>
      <c r="R240" s="43">
        <v>0</v>
      </c>
      <c r="S240" s="43">
        <v>0</v>
      </c>
      <c r="T240" s="43">
        <v>-53231</v>
      </c>
      <c r="U240" s="19" t="s">
        <v>299</v>
      </c>
      <c r="V240" s="13">
        <f>IFERROR((K240+M240+R240+S240+T240+O240)+IF(U240="Sim",P240+Q240,0),(K240+R240+S240+T240)+IF(U240="Sim",P240+Q240,0))</f>
        <v>124205.67000000001</v>
      </c>
      <c r="W240" s="42"/>
      <c r="X240" s="46">
        <f t="shared" si="32"/>
        <v>124205.67000000001</v>
      </c>
      <c r="Y240" s="13"/>
      <c r="Z240" s="13"/>
      <c r="AA240" s="22">
        <v>45901</v>
      </c>
      <c r="AB240" s="22" cm="1">
        <f t="array" ref="AB2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40" s="4">
        <v>11460.48</v>
      </c>
      <c r="AD240" s="4">
        <v>10544.9</v>
      </c>
      <c r="AE240" s="2"/>
      <c r="AF240" s="3"/>
      <c r="AG240" s="3"/>
      <c r="AH240" s="3"/>
      <c r="AI240" s="3"/>
      <c r="AJ240" s="2">
        <f t="shared" si="34"/>
        <v>0</v>
      </c>
      <c r="AK240" s="2">
        <f t="shared" si="35"/>
        <v>915.57999999999993</v>
      </c>
      <c r="AL240" s="2">
        <f t="shared" si="36"/>
        <v>53231</v>
      </c>
      <c r="AM240" s="88"/>
      <c r="AN240" s="157" t="s">
        <v>774</v>
      </c>
    </row>
    <row r="241" spans="2:40" ht="23.15" customHeight="1" thickBot="1">
      <c r="B241" s="87"/>
      <c r="C241" s="2" t="s">
        <v>292</v>
      </c>
      <c r="D241" s="15" t="s">
        <v>12</v>
      </c>
      <c r="E241" s="20" t="s">
        <v>30</v>
      </c>
      <c r="F241" s="20" t="s">
        <v>68</v>
      </c>
      <c r="G241" s="11">
        <v>37</v>
      </c>
      <c r="H241" s="11"/>
      <c r="I241" s="18" t="s">
        <v>294</v>
      </c>
      <c r="J241" s="18" t="s">
        <v>294</v>
      </c>
      <c r="K241" s="19">
        <v>177436.67</v>
      </c>
      <c r="L241" s="41"/>
      <c r="M241" s="18" t="s">
        <v>294</v>
      </c>
      <c r="N241" s="41"/>
      <c r="O241" s="18" t="s">
        <v>294</v>
      </c>
      <c r="P241" s="41" t="s">
        <v>301</v>
      </c>
      <c r="Q241" s="41">
        <v>-294.75</v>
      </c>
      <c r="R241" s="41"/>
      <c r="S241" s="41"/>
      <c r="T241" s="41"/>
      <c r="U241" s="19"/>
      <c r="V241" s="13">
        <f>IFERROR((K241+M241+R241+S241+T241+O241)+IF(U241="Sim",P241+Q241,0),(K241+R241+S241+T241)+IF(U241="Sim",P241+Q241,0))</f>
        <v>177436.67</v>
      </c>
      <c r="W241" s="42"/>
      <c r="X241" s="46">
        <f t="shared" si="32"/>
        <v>177436.67</v>
      </c>
      <c r="Y241" s="13"/>
      <c r="Z241" s="13"/>
      <c r="AA241" s="22">
        <v>45931</v>
      </c>
      <c r="AB241" s="22" cm="1">
        <f t="array" ref="AB2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41" s="4"/>
      <c r="AD241" s="4"/>
      <c r="AE241" s="2"/>
      <c r="AF241" s="3"/>
      <c r="AG241" s="3"/>
      <c r="AH241" s="3"/>
      <c r="AI241" s="3"/>
      <c r="AJ241" s="2">
        <f t="shared" si="34"/>
        <v>0</v>
      </c>
      <c r="AK241" s="2">
        <f t="shared" si="35"/>
        <v>0</v>
      </c>
      <c r="AL241" s="2">
        <f t="shared" si="36"/>
        <v>0</v>
      </c>
      <c r="AM241" s="88"/>
      <c r="AN241" s="157" t="s">
        <v>774</v>
      </c>
    </row>
    <row r="242" spans="2:40" ht="23.15" customHeight="1" thickBot="1">
      <c r="B242" s="87"/>
      <c r="C242" s="2" t="s">
        <v>292</v>
      </c>
      <c r="D242" s="15" t="s">
        <v>12</v>
      </c>
      <c r="E242" s="20" t="s">
        <v>25</v>
      </c>
      <c r="F242" s="20" t="s">
        <v>40</v>
      </c>
      <c r="G242" s="11">
        <v>21</v>
      </c>
      <c r="H242" s="11">
        <v>10</v>
      </c>
      <c r="I242" s="18" t="s">
        <v>294</v>
      </c>
      <c r="J242" s="18" t="s">
        <v>294</v>
      </c>
      <c r="K242" s="19">
        <v>85244.740489620002</v>
      </c>
      <c r="L242" s="41">
        <v>0</v>
      </c>
      <c r="M242" s="18" t="s">
        <v>294</v>
      </c>
      <c r="N242" s="41">
        <v>0</v>
      </c>
      <c r="O242" s="18" t="s">
        <v>294</v>
      </c>
      <c r="P242" s="41" t="s">
        <v>293</v>
      </c>
      <c r="Q242" s="43">
        <v>0</v>
      </c>
      <c r="R242" s="43">
        <v>0</v>
      </c>
      <c r="S242" s="43">
        <v>0</v>
      </c>
      <c r="T242" s="43">
        <v>0</v>
      </c>
      <c r="U242" s="19"/>
      <c r="V242" s="13">
        <f>IFERROR((K242+M242+R242+S242+T242+O242)+IF(U242="Sim",P242+Q242,0),(K242+R242+S242+T242)+IF(U242="Sim",P242+Q242,0))</f>
        <v>85244.740489620002</v>
      </c>
      <c r="W242" s="248">
        <v>1.2999999999999999E-2</v>
      </c>
      <c r="X242" s="46">
        <f t="shared" si="32"/>
        <v>86352.922115985057</v>
      </c>
      <c r="Y242" s="13"/>
      <c r="Z242" s="13"/>
      <c r="AA242" s="22">
        <v>45901</v>
      </c>
      <c r="AB242" s="22" cm="1">
        <f t="array" ref="AB2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42" s="4"/>
      <c r="AD242" s="4"/>
      <c r="AE242" s="2"/>
      <c r="AF242" s="3"/>
      <c r="AG242" s="3"/>
      <c r="AH242" s="3"/>
      <c r="AI242" s="3"/>
      <c r="AJ242" s="2">
        <f t="shared" si="34"/>
        <v>0</v>
      </c>
      <c r="AK242" s="2">
        <f t="shared" si="35"/>
        <v>0</v>
      </c>
      <c r="AL242" s="2">
        <f t="shared" si="36"/>
        <v>0</v>
      </c>
      <c r="AM242" s="88"/>
      <c r="AN242" s="157" t="s">
        <v>774</v>
      </c>
    </row>
    <row r="243" spans="2:40" ht="22.25" customHeight="1" thickBot="1">
      <c r="B243" s="87"/>
      <c r="C243" s="2" t="s">
        <v>292</v>
      </c>
      <c r="D243" s="15" t="s">
        <v>12</v>
      </c>
      <c r="E243" s="20" t="s">
        <v>25</v>
      </c>
      <c r="F243" s="20" t="s">
        <v>40</v>
      </c>
      <c r="G243" s="11">
        <v>21</v>
      </c>
      <c r="H243" s="18"/>
      <c r="I243" s="18" t="s">
        <v>294</v>
      </c>
      <c r="J243" s="18" t="s">
        <v>294</v>
      </c>
      <c r="K243" s="19">
        <v>85244.740489620002</v>
      </c>
      <c r="L243" s="41">
        <v>0</v>
      </c>
      <c r="M243" s="18" t="s">
        <v>294</v>
      </c>
      <c r="N243" s="41">
        <v>0</v>
      </c>
      <c r="O243" s="18" t="s">
        <v>294</v>
      </c>
      <c r="P243" s="41" t="s">
        <v>301</v>
      </c>
      <c r="Q243" s="43"/>
      <c r="R243" s="43"/>
      <c r="S243" s="43"/>
      <c r="T243" s="43"/>
      <c r="U243" s="19"/>
      <c r="V243" s="13">
        <f>IFERROR((K243+M243+R243+S243+T243+O243)+IF(U243="Sim",P243+Q243,0),(K243+R243+S243+T243)+IF(U243="Sim",P243+Q243,0))</f>
        <v>85244.740489620002</v>
      </c>
      <c r="W243" s="248">
        <v>1.2999999999999999E-2</v>
      </c>
      <c r="X243" s="46">
        <f t="shared" si="32"/>
        <v>86352.922115985057</v>
      </c>
      <c r="Y243" s="13"/>
      <c r="Z243" s="13"/>
      <c r="AA243" s="22">
        <v>45931</v>
      </c>
      <c r="AB243" s="22" cm="1">
        <f t="array" ref="AB2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43" s="4"/>
      <c r="AD243" s="4"/>
      <c r="AE243" s="2"/>
      <c r="AF243" s="3"/>
      <c r="AG243" s="3"/>
      <c r="AH243" s="3"/>
      <c r="AI243" s="3"/>
      <c r="AJ243" s="2">
        <f t="shared" si="34"/>
        <v>0</v>
      </c>
      <c r="AK243" s="2">
        <f t="shared" si="35"/>
        <v>0</v>
      </c>
      <c r="AL243" s="2">
        <f t="shared" si="36"/>
        <v>0</v>
      </c>
      <c r="AM243" s="88"/>
      <c r="AN243" s="157" t="s">
        <v>774</v>
      </c>
    </row>
    <row r="244" spans="2:40" ht="23.15" customHeight="1" thickBot="1">
      <c r="B244" s="87"/>
      <c r="C244" s="2"/>
      <c r="D244" s="15"/>
      <c r="E244" s="20"/>
      <c r="F244" s="20"/>
      <c r="G244" s="11"/>
      <c r="H244" s="11"/>
      <c r="I244" s="18"/>
      <c r="J244" s="18"/>
      <c r="K244" s="19"/>
      <c r="L244" s="41"/>
      <c r="M244" s="18"/>
      <c r="N244" s="41"/>
      <c r="O244" s="18"/>
      <c r="P244" s="41"/>
      <c r="Q244" s="43"/>
      <c r="R244" s="43"/>
      <c r="S244" s="43"/>
      <c r="T244" s="43"/>
      <c r="U244" s="19"/>
      <c r="V244" s="13"/>
      <c r="W244" s="42"/>
      <c r="X244" s="46"/>
      <c r="Y244" s="13"/>
      <c r="Z244" s="13"/>
      <c r="AA244" s="22"/>
      <c r="AB244" s="22"/>
      <c r="AC244" s="4"/>
      <c r="AD244" s="4"/>
      <c r="AE244" s="2"/>
      <c r="AF244" s="3"/>
      <c r="AG244" s="3"/>
      <c r="AH244" s="3"/>
      <c r="AI244" s="3"/>
      <c r="AJ244" s="2"/>
      <c r="AK244" s="2"/>
      <c r="AL244" s="2"/>
      <c r="AM244" s="88"/>
      <c r="AN244" s="157" t="s">
        <v>774</v>
      </c>
    </row>
    <row r="245" spans="2:40" ht="23.15" customHeight="1" thickBot="1">
      <c r="B245" s="87"/>
      <c r="C245" s="2" t="s">
        <v>292</v>
      </c>
      <c r="D245" s="15" t="s">
        <v>12</v>
      </c>
      <c r="E245" s="20" t="s">
        <v>26</v>
      </c>
      <c r="F245" s="20" t="s">
        <v>40</v>
      </c>
      <c r="G245" s="11">
        <v>3</v>
      </c>
      <c r="H245" s="18">
        <v>2</v>
      </c>
      <c r="I245" s="18" t="s">
        <v>294</v>
      </c>
      <c r="J245" s="18" t="s">
        <v>294</v>
      </c>
      <c r="K245" s="19">
        <v>17342.183145759998</v>
      </c>
      <c r="L245" s="41">
        <v>0</v>
      </c>
      <c r="M245" s="41" t="s">
        <v>294</v>
      </c>
      <c r="N245" s="41">
        <v>0</v>
      </c>
      <c r="O245" s="41" t="s">
        <v>294</v>
      </c>
      <c r="P245" s="41" t="s">
        <v>293</v>
      </c>
      <c r="Q245" s="43">
        <v>0</v>
      </c>
      <c r="R245" s="43">
        <v>0</v>
      </c>
      <c r="S245" s="43">
        <v>0</v>
      </c>
      <c r="T245" s="43">
        <v>0</v>
      </c>
      <c r="U245" s="19"/>
      <c r="V245" s="13">
        <f t="shared" ref="V245:V251" si="37">IFERROR((K245+M245+R245+S245+T245+O245)+IF(U245="Sim",P245+Q245,0),(K245+R245+S245+T245)+IF(U245="Sim",P245+Q245,0))</f>
        <v>17342.183145759998</v>
      </c>
      <c r="W245" s="248">
        <v>1.2999999999999999E-2</v>
      </c>
      <c r="X245" s="46">
        <f t="shared" ref="X245:X252" si="38">IF(K245="","",V245*(1+W245))</f>
        <v>17567.631526654877</v>
      </c>
      <c r="Y245" s="13"/>
      <c r="Z245" s="13"/>
      <c r="AA245" s="22">
        <v>45870</v>
      </c>
      <c r="AB245" s="22" cm="1">
        <f t="array" ref="AB2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45" s="4"/>
      <c r="AD245" s="4"/>
      <c r="AE245" s="2"/>
      <c r="AF245" s="3"/>
      <c r="AG245" s="3"/>
      <c r="AH245" s="3"/>
      <c r="AI245" s="3"/>
      <c r="AJ245" s="2">
        <f t="shared" ref="AJ245:AJ279" si="39">IFERROR(L245-M245,0)</f>
        <v>0</v>
      </c>
      <c r="AK245" s="2">
        <f t="shared" ref="AK245:AK276" si="40">AC245-AD245</f>
        <v>0</v>
      </c>
      <c r="AL245" s="2">
        <f t="shared" ref="AL245:AL308" si="41">K245-V245</f>
        <v>0</v>
      </c>
      <c r="AM245" s="88"/>
      <c r="AN245" s="157" t="s">
        <v>774</v>
      </c>
    </row>
    <row r="246" spans="2:40" ht="23.15" customHeight="1" thickBot="1">
      <c r="B246" s="87"/>
      <c r="C246" s="2" t="s">
        <v>292</v>
      </c>
      <c r="D246" s="15" t="s">
        <v>12</v>
      </c>
      <c r="E246" s="20" t="s">
        <v>26</v>
      </c>
      <c r="F246" s="20" t="s">
        <v>40</v>
      </c>
      <c r="G246" s="11">
        <v>3</v>
      </c>
      <c r="H246" s="18">
        <v>2</v>
      </c>
      <c r="I246" s="18" t="s">
        <v>294</v>
      </c>
      <c r="J246" s="18" t="s">
        <v>294</v>
      </c>
      <c r="K246" s="19">
        <v>17342.183145759998</v>
      </c>
      <c r="L246" s="41">
        <v>0</v>
      </c>
      <c r="M246" s="18" t="s">
        <v>294</v>
      </c>
      <c r="N246" s="41">
        <v>0</v>
      </c>
      <c r="O246" s="18" t="s">
        <v>294</v>
      </c>
      <c r="P246" s="41" t="s">
        <v>293</v>
      </c>
      <c r="Q246" s="43">
        <v>0</v>
      </c>
      <c r="R246" s="43">
        <v>0</v>
      </c>
      <c r="S246" s="43">
        <v>0</v>
      </c>
      <c r="T246" s="43">
        <v>0</v>
      </c>
      <c r="U246" s="19"/>
      <c r="V246" s="13">
        <f t="shared" si="37"/>
        <v>17342.183145759998</v>
      </c>
      <c r="W246" s="248">
        <v>1.2999999999999999E-2</v>
      </c>
      <c r="X246" s="46">
        <f t="shared" si="38"/>
        <v>17567.631526654877</v>
      </c>
      <c r="Y246" s="13"/>
      <c r="Z246" s="13"/>
      <c r="AA246" s="22">
        <v>45901</v>
      </c>
      <c r="AB246" s="22" cm="1">
        <f t="array" ref="AB2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46" s="4"/>
      <c r="AD246" s="4"/>
      <c r="AE246" s="2"/>
      <c r="AF246" s="3"/>
      <c r="AG246" s="3"/>
      <c r="AH246" s="3"/>
      <c r="AI246" s="3"/>
      <c r="AJ246" s="2">
        <f t="shared" si="39"/>
        <v>0</v>
      </c>
      <c r="AK246" s="2">
        <f t="shared" si="40"/>
        <v>0</v>
      </c>
      <c r="AL246" s="2">
        <f t="shared" si="41"/>
        <v>0</v>
      </c>
      <c r="AM246" s="88"/>
      <c r="AN246" s="157" t="s">
        <v>774</v>
      </c>
    </row>
    <row r="247" spans="2:40" ht="23.15" customHeight="1" thickBot="1">
      <c r="B247" s="87"/>
      <c r="C247" s="2" t="s">
        <v>292</v>
      </c>
      <c r="D247" s="15" t="s">
        <v>12</v>
      </c>
      <c r="E247" s="20" t="s">
        <v>26</v>
      </c>
      <c r="F247" s="20" t="s">
        <v>40</v>
      </c>
      <c r="G247" s="11">
        <v>3</v>
      </c>
      <c r="H247" s="18"/>
      <c r="I247" s="18" t="s">
        <v>294</v>
      </c>
      <c r="J247" s="18" t="s">
        <v>294</v>
      </c>
      <c r="K247" s="19">
        <v>17342.183145759998</v>
      </c>
      <c r="L247" s="41">
        <v>0</v>
      </c>
      <c r="M247" s="18" t="s">
        <v>294</v>
      </c>
      <c r="N247" s="41">
        <v>0</v>
      </c>
      <c r="O247" s="18" t="s">
        <v>294</v>
      </c>
      <c r="P247" s="41" t="s">
        <v>301</v>
      </c>
      <c r="Q247" s="43"/>
      <c r="R247" s="43"/>
      <c r="S247" s="43"/>
      <c r="T247" s="43"/>
      <c r="U247" s="19"/>
      <c r="V247" s="13">
        <f t="shared" si="37"/>
        <v>17342.183145759998</v>
      </c>
      <c r="W247" s="248">
        <v>1.2999999999999999E-2</v>
      </c>
      <c r="X247" s="46">
        <f t="shared" si="38"/>
        <v>17567.631526654877</v>
      </c>
      <c r="Y247" s="13"/>
      <c r="Z247" s="13"/>
      <c r="AA247" s="22">
        <v>45931</v>
      </c>
      <c r="AB247" s="22" cm="1">
        <f t="array" ref="AB2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47" s="4"/>
      <c r="AD247" s="4"/>
      <c r="AE247" s="2"/>
      <c r="AF247" s="3"/>
      <c r="AG247" s="3"/>
      <c r="AH247" s="3"/>
      <c r="AI247" s="3"/>
      <c r="AJ247" s="2">
        <f t="shared" si="39"/>
        <v>0</v>
      </c>
      <c r="AK247" s="2">
        <f t="shared" si="40"/>
        <v>0</v>
      </c>
      <c r="AL247" s="2">
        <f t="shared" si="41"/>
        <v>0</v>
      </c>
      <c r="AM247" s="88"/>
      <c r="AN247" s="157" t="s">
        <v>774</v>
      </c>
    </row>
    <row r="248" spans="2:40" ht="23.15" customHeight="1" thickBot="1">
      <c r="B248" s="87">
        <v>45883</v>
      </c>
      <c r="C248" s="2" t="s">
        <v>295</v>
      </c>
      <c r="D248" s="15" t="s">
        <v>12</v>
      </c>
      <c r="E248" s="20" t="s">
        <v>31</v>
      </c>
      <c r="F248" s="20" t="s">
        <v>40</v>
      </c>
      <c r="G248" s="11">
        <v>18</v>
      </c>
      <c r="H248" s="18">
        <v>19</v>
      </c>
      <c r="I248" s="18">
        <v>0</v>
      </c>
      <c r="J248" s="18">
        <v>0</v>
      </c>
      <c r="K248" s="19">
        <v>93812.544086458671</v>
      </c>
      <c r="L248" s="41">
        <v>0</v>
      </c>
      <c r="M248" s="41">
        <v>0</v>
      </c>
      <c r="N248" s="41">
        <v>0</v>
      </c>
      <c r="O248" s="41">
        <v>0</v>
      </c>
      <c r="P248" s="41">
        <v>0</v>
      </c>
      <c r="Q248" s="41">
        <v>0</v>
      </c>
      <c r="R248" s="41">
        <v>0</v>
      </c>
      <c r="S248" s="41">
        <v>0</v>
      </c>
      <c r="T248" s="41">
        <v>0</v>
      </c>
      <c r="U248" s="19" t="s">
        <v>295</v>
      </c>
      <c r="V248" s="13">
        <f t="shared" si="37"/>
        <v>93812.544086458671</v>
      </c>
      <c r="W248" s="42">
        <v>2.8000000000000001E-2</v>
      </c>
      <c r="X248" s="46">
        <f t="shared" si="38"/>
        <v>96439.295320879522</v>
      </c>
      <c r="Y248" s="13">
        <v>25533.81</v>
      </c>
      <c r="Z248" s="13" t="s">
        <v>302</v>
      </c>
      <c r="AA248" s="22">
        <v>45870</v>
      </c>
      <c r="AB248" s="22" cm="1">
        <f t="array" ref="AB2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48" s="4"/>
      <c r="AD248" s="4"/>
      <c r="AE248" s="2"/>
      <c r="AF248" s="3"/>
      <c r="AG248" s="3"/>
      <c r="AH248" s="3"/>
      <c r="AI248" s="3"/>
      <c r="AJ248" s="2">
        <f t="shared" si="39"/>
        <v>0</v>
      </c>
      <c r="AK248" s="2">
        <f t="shared" si="40"/>
        <v>0</v>
      </c>
      <c r="AL248" s="2">
        <f t="shared" si="41"/>
        <v>0</v>
      </c>
      <c r="AM248" s="88"/>
      <c r="AN248" s="157" t="s">
        <v>774</v>
      </c>
    </row>
    <row r="249" spans="2:40" ht="23.15" customHeight="1" thickBot="1">
      <c r="B249" s="87">
        <v>45904</v>
      </c>
      <c r="C249" s="2" t="s">
        <v>295</v>
      </c>
      <c r="D249" s="15" t="s">
        <v>12</v>
      </c>
      <c r="E249" s="20" t="s">
        <v>31</v>
      </c>
      <c r="F249" s="20" t="s">
        <v>40</v>
      </c>
      <c r="G249" s="11">
        <v>18</v>
      </c>
      <c r="H249" s="11">
        <v>19</v>
      </c>
      <c r="I249" s="18">
        <v>0</v>
      </c>
      <c r="J249" s="18">
        <v>0</v>
      </c>
      <c r="K249" s="19">
        <v>93812.544086458671</v>
      </c>
      <c r="L249" s="41">
        <v>0</v>
      </c>
      <c r="M249" s="41">
        <v>0</v>
      </c>
      <c r="N249" s="41">
        <v>0</v>
      </c>
      <c r="O249" s="43">
        <v>0</v>
      </c>
      <c r="P249" s="41" t="s">
        <v>293</v>
      </c>
      <c r="Q249" s="43">
        <v>0</v>
      </c>
      <c r="R249" s="43">
        <v>0</v>
      </c>
      <c r="S249" s="43">
        <v>0</v>
      </c>
      <c r="T249" s="43">
        <v>0</v>
      </c>
      <c r="U249" s="19"/>
      <c r="V249" s="13">
        <f t="shared" si="37"/>
        <v>93812.544086458671</v>
      </c>
      <c r="W249" s="42">
        <v>2.8000000000000001E-2</v>
      </c>
      <c r="X249" s="46">
        <f t="shared" si="38"/>
        <v>96439.295320879522</v>
      </c>
      <c r="Y249" s="13"/>
      <c r="Z249" s="13"/>
      <c r="AA249" s="22">
        <v>45901</v>
      </c>
      <c r="AB249" s="22" cm="1">
        <f t="array" ref="AB2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49" s="4"/>
      <c r="AD249" s="4"/>
      <c r="AE249" s="2"/>
      <c r="AF249" s="3"/>
      <c r="AG249" s="3"/>
      <c r="AH249" s="3"/>
      <c r="AI249" s="3"/>
      <c r="AJ249" s="2">
        <f t="shared" si="39"/>
        <v>0</v>
      </c>
      <c r="AK249" s="2">
        <f t="shared" si="40"/>
        <v>0</v>
      </c>
      <c r="AL249" s="2">
        <f t="shared" si="41"/>
        <v>0</v>
      </c>
      <c r="AM249" s="88"/>
      <c r="AN249" s="157" t="s">
        <v>774</v>
      </c>
    </row>
    <row r="250" spans="2:40" ht="23.15" customHeight="1" thickBot="1">
      <c r="B250" s="87">
        <v>45938</v>
      </c>
      <c r="C250" s="2" t="s">
        <v>295</v>
      </c>
      <c r="D250" s="15" t="s">
        <v>12</v>
      </c>
      <c r="E250" s="20" t="s">
        <v>31</v>
      </c>
      <c r="F250" s="20" t="s">
        <v>40</v>
      </c>
      <c r="G250" s="11">
        <v>18</v>
      </c>
      <c r="H250" s="18">
        <v>19</v>
      </c>
      <c r="I250" s="18">
        <v>0</v>
      </c>
      <c r="J250" s="18">
        <v>0</v>
      </c>
      <c r="K250" s="10">
        <v>93812.544086458671</v>
      </c>
      <c r="L250" s="41">
        <v>0</v>
      </c>
      <c r="M250" s="43">
        <v>0</v>
      </c>
      <c r="N250" s="41">
        <v>0</v>
      </c>
      <c r="O250" s="43">
        <v>0</v>
      </c>
      <c r="P250" s="41" t="s">
        <v>293</v>
      </c>
      <c r="Q250" s="43"/>
      <c r="R250" s="43">
        <v>0</v>
      </c>
      <c r="S250" s="43"/>
      <c r="T250" s="43"/>
      <c r="U250" s="19"/>
      <c r="V250" s="13">
        <f t="shared" si="37"/>
        <v>93812.544086458671</v>
      </c>
      <c r="W250" s="42">
        <v>2.8000000000000001E-2</v>
      </c>
      <c r="X250" s="46">
        <f t="shared" si="38"/>
        <v>96439.295320879522</v>
      </c>
      <c r="Y250" s="13"/>
      <c r="Z250" s="13"/>
      <c r="AA250" s="22">
        <v>45931</v>
      </c>
      <c r="AB250" s="22" cm="1">
        <f t="array" ref="AB2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50" s="4"/>
      <c r="AD250" s="4"/>
      <c r="AE250" s="2"/>
      <c r="AF250" s="3"/>
      <c r="AG250" s="3"/>
      <c r="AH250" s="3"/>
      <c r="AI250" s="3"/>
      <c r="AJ250" s="2">
        <f t="shared" si="39"/>
        <v>0</v>
      </c>
      <c r="AK250" s="2">
        <f t="shared" si="40"/>
        <v>0</v>
      </c>
      <c r="AL250" s="2">
        <f t="shared" si="41"/>
        <v>0</v>
      </c>
      <c r="AM250" s="88"/>
      <c r="AN250" s="157" t="s">
        <v>774</v>
      </c>
    </row>
    <row r="251" spans="2:40" ht="23.15" customHeight="1" thickBot="1">
      <c r="B251" s="87">
        <v>45876</v>
      </c>
      <c r="C251" s="2" t="s">
        <v>295</v>
      </c>
      <c r="D251" s="15" t="s">
        <v>12</v>
      </c>
      <c r="E251" s="20" t="s">
        <v>35</v>
      </c>
      <c r="F251" s="20" t="s">
        <v>56</v>
      </c>
      <c r="G251" s="11">
        <v>2</v>
      </c>
      <c r="H251" s="18">
        <v>2</v>
      </c>
      <c r="I251" s="18">
        <v>0</v>
      </c>
      <c r="J251" s="18">
        <v>0</v>
      </c>
      <c r="K251" s="19">
        <f>11415.69/30.4*9</f>
        <v>3379.6450657894743</v>
      </c>
      <c r="L251" s="41">
        <v>0</v>
      </c>
      <c r="M251" s="10">
        <v>-740.04</v>
      </c>
      <c r="N251" s="41">
        <v>0</v>
      </c>
      <c r="O251" s="43">
        <v>0</v>
      </c>
      <c r="P251" s="41">
        <v>0</v>
      </c>
      <c r="Q251" s="43">
        <v>0</v>
      </c>
      <c r="R251" s="43">
        <v>0</v>
      </c>
      <c r="S251" s="43">
        <f>77.47*2</f>
        <v>154.94</v>
      </c>
      <c r="T251" s="43">
        <v>0</v>
      </c>
      <c r="U251" s="19" t="s">
        <v>295</v>
      </c>
      <c r="V251" s="13">
        <f t="shared" si="37"/>
        <v>2794.5450657894744</v>
      </c>
      <c r="W251" s="42">
        <v>2.9000000000000001E-2</v>
      </c>
      <c r="X251" s="46">
        <f t="shared" si="38"/>
        <v>2875.586872697369</v>
      </c>
      <c r="Y251" s="13"/>
      <c r="Z251" s="13"/>
      <c r="AA251" s="22">
        <v>45870</v>
      </c>
      <c r="AB251" s="22" cm="1">
        <f t="array" ref="AB2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51" s="4"/>
      <c r="AD251" s="4"/>
      <c r="AE251" s="2"/>
      <c r="AF251" s="3"/>
      <c r="AG251" s="3"/>
      <c r="AH251" s="3"/>
      <c r="AI251" s="3"/>
      <c r="AJ251" s="2">
        <f t="shared" si="39"/>
        <v>740.04</v>
      </c>
      <c r="AK251" s="2">
        <f t="shared" si="40"/>
        <v>0</v>
      </c>
      <c r="AL251" s="2">
        <f t="shared" si="41"/>
        <v>585.09999999999991</v>
      </c>
      <c r="AM251" s="88"/>
      <c r="AN251" s="157" t="s">
        <v>774</v>
      </c>
    </row>
    <row r="252" spans="2:40" ht="23.15" customHeight="1" thickBot="1">
      <c r="B252" s="87">
        <v>45933</v>
      </c>
      <c r="C252" s="2" t="s">
        <v>292</v>
      </c>
      <c r="D252" s="15" t="s">
        <v>12</v>
      </c>
      <c r="E252" s="20" t="s">
        <v>35</v>
      </c>
      <c r="F252" s="20" t="s">
        <v>68</v>
      </c>
      <c r="G252" s="11">
        <v>2</v>
      </c>
      <c r="H252" s="18">
        <v>2</v>
      </c>
      <c r="I252" s="18">
        <v>0</v>
      </c>
      <c r="J252" s="18">
        <v>0</v>
      </c>
      <c r="K252" s="19">
        <v>11198.58</v>
      </c>
      <c r="L252" s="41">
        <v>0</v>
      </c>
      <c r="M252" s="18">
        <v>0</v>
      </c>
      <c r="N252" s="41">
        <v>0</v>
      </c>
      <c r="O252" s="18">
        <v>0</v>
      </c>
      <c r="P252" s="41">
        <v>0</v>
      </c>
      <c r="Q252" s="43">
        <v>0</v>
      </c>
      <c r="R252" s="43">
        <v>0</v>
      </c>
      <c r="S252" s="43">
        <v>0</v>
      </c>
      <c r="T252" s="43">
        <v>0</v>
      </c>
      <c r="U252" s="19" t="s">
        <v>295</v>
      </c>
      <c r="V252" s="13">
        <v>0</v>
      </c>
      <c r="W252" s="42"/>
      <c r="X252" s="46">
        <f t="shared" si="38"/>
        <v>0</v>
      </c>
      <c r="Y252" s="13"/>
      <c r="Z252" s="13"/>
      <c r="AA252" s="22">
        <v>45870</v>
      </c>
      <c r="AB252" s="22" cm="1">
        <f t="array" ref="AB2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52" s="4"/>
      <c r="AD252" s="4">
        <v>2784.5487627217199</v>
      </c>
      <c r="AE252" s="2"/>
      <c r="AF252" s="3"/>
      <c r="AG252" s="3"/>
      <c r="AH252" s="3"/>
      <c r="AI252" s="3"/>
      <c r="AJ252" s="2">
        <f t="shared" si="39"/>
        <v>0</v>
      </c>
      <c r="AK252" s="2">
        <f t="shared" si="40"/>
        <v>-2784.5487627217199</v>
      </c>
      <c r="AL252" s="2">
        <f t="shared" si="41"/>
        <v>11198.58</v>
      </c>
      <c r="AM252" s="88"/>
      <c r="AN252" s="157" t="s">
        <v>774</v>
      </c>
    </row>
    <row r="253" spans="2:40" ht="23.15" customHeight="1" thickBot="1">
      <c r="B253" s="87">
        <v>45782</v>
      </c>
      <c r="C253" s="2" t="s">
        <v>295</v>
      </c>
      <c r="D253" s="15" t="s">
        <v>11</v>
      </c>
      <c r="E253" s="20" t="s">
        <v>29</v>
      </c>
      <c r="F253" s="20" t="s">
        <v>80</v>
      </c>
      <c r="G253" s="11">
        <v>11</v>
      </c>
      <c r="H253" s="18">
        <v>9</v>
      </c>
      <c r="I253" s="18">
        <v>0</v>
      </c>
      <c r="J253" s="18">
        <v>32.9</v>
      </c>
      <c r="K253" s="19">
        <v>55417.08444447504</v>
      </c>
      <c r="L253" s="41">
        <v>0</v>
      </c>
      <c r="M253" s="41">
        <v>0</v>
      </c>
      <c r="N253" s="41">
        <v>0</v>
      </c>
      <c r="O253" s="41">
        <v>-911.63</v>
      </c>
      <c r="P253" s="41">
        <v>-1385.43</v>
      </c>
      <c r="Q253" s="41">
        <v>0</v>
      </c>
      <c r="R253" s="41">
        <v>-764.16</v>
      </c>
      <c r="S253" s="41">
        <v>0</v>
      </c>
      <c r="T253" s="41">
        <v>-1793.51835443698</v>
      </c>
      <c r="U253" s="19" t="s">
        <v>295</v>
      </c>
      <c r="V253" s="13">
        <f t="shared" ref="V253:V284" si="42">IFERROR((K253+M253+R253+S253+T253+O253)+IF(U253="Sim",P253+Q253,0),(K253+R253+S253+T253)+IF(U253="Sim",P253+Q253,0))</f>
        <v>50562.34609003806</v>
      </c>
      <c r="W253" s="13"/>
      <c r="X253" s="13"/>
      <c r="Y253" s="13"/>
      <c r="Z253" s="13"/>
      <c r="AA253" s="22">
        <v>45748</v>
      </c>
      <c r="AB253" s="22" cm="1">
        <f t="array" ref="AB2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53" s="4"/>
      <c r="AD253" s="4"/>
      <c r="AE253" s="2"/>
      <c r="AF253" s="3"/>
      <c r="AG253" s="3"/>
      <c r="AH253" s="3"/>
      <c r="AI253" s="3"/>
      <c r="AJ253" s="2">
        <f t="shared" si="39"/>
        <v>0</v>
      </c>
      <c r="AK253" s="2">
        <f t="shared" si="40"/>
        <v>0</v>
      </c>
      <c r="AL253" s="2">
        <f t="shared" si="41"/>
        <v>4854.7383544369804</v>
      </c>
      <c r="AM253" s="88"/>
      <c r="AN253" s="157" t="s">
        <v>774</v>
      </c>
    </row>
    <row r="254" spans="2:40" ht="23.15" customHeight="1" thickBot="1">
      <c r="B254" s="87">
        <v>45931</v>
      </c>
      <c r="C254" s="2" t="s">
        <v>299</v>
      </c>
      <c r="D254" s="15" t="s">
        <v>12</v>
      </c>
      <c r="E254" s="20" t="s">
        <v>35</v>
      </c>
      <c r="F254" s="20" t="s">
        <v>68</v>
      </c>
      <c r="G254" s="11">
        <v>2</v>
      </c>
      <c r="H254" s="18">
        <v>2</v>
      </c>
      <c r="I254" s="18">
        <v>0</v>
      </c>
      <c r="J254" s="18">
        <v>0</v>
      </c>
      <c r="K254" s="19">
        <v>11198.58</v>
      </c>
      <c r="L254" s="41">
        <v>0</v>
      </c>
      <c r="M254" s="18">
        <v>0</v>
      </c>
      <c r="N254" s="41">
        <v>0</v>
      </c>
      <c r="O254" s="18">
        <v>0</v>
      </c>
      <c r="P254" s="41">
        <v>0</v>
      </c>
      <c r="Q254" s="43">
        <v>0</v>
      </c>
      <c r="R254" s="43">
        <v>0</v>
      </c>
      <c r="S254" s="43">
        <v>0</v>
      </c>
      <c r="T254" s="43">
        <v>-3359.57</v>
      </c>
      <c r="U254" s="19" t="s">
        <v>299</v>
      </c>
      <c r="V254" s="13">
        <f t="shared" si="42"/>
        <v>7839.01</v>
      </c>
      <c r="W254" s="42"/>
      <c r="X254" s="46">
        <f t="shared" ref="X254:X268" si="43">IF(K254="","",V254*(1+W254))</f>
        <v>7839.01</v>
      </c>
      <c r="Y254" s="13"/>
      <c r="Z254" s="13"/>
      <c r="AA254" s="22">
        <v>45901</v>
      </c>
      <c r="AB254" s="22" cm="1">
        <f t="array" ref="AB2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54" s="4"/>
      <c r="AD254" s="4">
        <v>6049.8299796933261</v>
      </c>
      <c r="AE254" s="2"/>
      <c r="AF254" s="3"/>
      <c r="AG254" s="3"/>
      <c r="AH254" s="3"/>
      <c r="AI254" s="3"/>
      <c r="AJ254" s="2">
        <f t="shared" si="39"/>
        <v>0</v>
      </c>
      <c r="AK254" s="2">
        <f t="shared" si="40"/>
        <v>-6049.8299796933261</v>
      </c>
      <c r="AL254" s="2">
        <f t="shared" si="41"/>
        <v>3359.5699999999997</v>
      </c>
      <c r="AM254" s="88"/>
      <c r="AN254" s="157" t="s">
        <v>774</v>
      </c>
    </row>
    <row r="255" spans="2:40" ht="23.15" customHeight="1" thickBot="1">
      <c r="B255" s="87"/>
      <c r="C255" s="2" t="s">
        <v>292</v>
      </c>
      <c r="D255" s="15" t="s">
        <v>12</v>
      </c>
      <c r="E255" s="20" t="s">
        <v>35</v>
      </c>
      <c r="F255" s="20" t="s">
        <v>68</v>
      </c>
      <c r="G255" s="11">
        <v>2</v>
      </c>
      <c r="H255" s="11"/>
      <c r="I255" s="18" t="s">
        <v>294</v>
      </c>
      <c r="J255" s="18" t="s">
        <v>294</v>
      </c>
      <c r="K255" s="19">
        <v>11198.58</v>
      </c>
      <c r="L255" s="41"/>
      <c r="M255" s="18" t="s">
        <v>294</v>
      </c>
      <c r="N255" s="41"/>
      <c r="O255" s="18" t="s">
        <v>294</v>
      </c>
      <c r="P255" s="41" t="s">
        <v>301</v>
      </c>
      <c r="Q255" s="43"/>
      <c r="R255" s="43"/>
      <c r="S255" s="43"/>
      <c r="T255" s="43"/>
      <c r="U255" s="19"/>
      <c r="V255" s="13">
        <f t="shared" si="42"/>
        <v>11198.58</v>
      </c>
      <c r="W255" s="42"/>
      <c r="X255" s="46">
        <f t="shared" si="43"/>
        <v>11198.58</v>
      </c>
      <c r="Y255" s="13"/>
      <c r="Z255" s="13"/>
      <c r="AA255" s="22">
        <v>45931</v>
      </c>
      <c r="AB255" s="22" cm="1">
        <f t="array" ref="AB2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55" s="4"/>
      <c r="AD255" s="4">
        <v>6049.8299796933261</v>
      </c>
      <c r="AE255" s="2"/>
      <c r="AF255" s="3"/>
      <c r="AG255" s="3"/>
      <c r="AH255" s="3"/>
      <c r="AI255" s="3"/>
      <c r="AJ255" s="2">
        <f t="shared" si="39"/>
        <v>0</v>
      </c>
      <c r="AK255" s="2">
        <f t="shared" si="40"/>
        <v>-6049.8299796933261</v>
      </c>
      <c r="AL255" s="2">
        <f t="shared" si="41"/>
        <v>0</v>
      </c>
      <c r="AM255" s="88"/>
      <c r="AN255" s="157" t="s">
        <v>774</v>
      </c>
    </row>
    <row r="256" spans="2:40" ht="23.15" customHeight="1" thickBot="1">
      <c r="B256" s="87">
        <v>45882</v>
      </c>
      <c r="C256" s="2" t="s">
        <v>295</v>
      </c>
      <c r="D256" s="15" t="s">
        <v>12</v>
      </c>
      <c r="E256" s="20" t="s">
        <v>32</v>
      </c>
      <c r="F256" s="20" t="s">
        <v>40</v>
      </c>
      <c r="G256" s="11">
        <v>14</v>
      </c>
      <c r="H256" s="18">
        <v>14</v>
      </c>
      <c r="I256" s="18">
        <v>0</v>
      </c>
      <c r="J256" s="18">
        <v>0</v>
      </c>
      <c r="K256" s="19">
        <v>93557.13</v>
      </c>
      <c r="L256" s="41">
        <v>0</v>
      </c>
      <c r="M256" s="41">
        <v>0</v>
      </c>
      <c r="N256" s="41">
        <v>0</v>
      </c>
      <c r="O256" s="41">
        <v>0</v>
      </c>
      <c r="P256" s="41">
        <v>0</v>
      </c>
      <c r="Q256" s="43">
        <v>0</v>
      </c>
      <c r="R256" s="43">
        <v>0</v>
      </c>
      <c r="S256" s="43">
        <v>0</v>
      </c>
      <c r="T256" s="43">
        <v>0</v>
      </c>
      <c r="U256" s="19" t="s">
        <v>295</v>
      </c>
      <c r="V256" s="13">
        <f t="shared" si="42"/>
        <v>93557.13</v>
      </c>
      <c r="W256" s="42">
        <v>2.8000000000000001E-2</v>
      </c>
      <c r="X256" s="46">
        <f t="shared" si="43"/>
        <v>96176.729640000005</v>
      </c>
      <c r="Y256" s="13"/>
      <c r="Z256" s="13"/>
      <c r="AA256" s="22">
        <v>45870</v>
      </c>
      <c r="AB256" s="22" cm="1">
        <f t="array" ref="AB2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56" s="4"/>
      <c r="AD256" s="4"/>
      <c r="AE256" s="2"/>
      <c r="AF256" s="3"/>
      <c r="AG256" s="3"/>
      <c r="AH256" s="3"/>
      <c r="AI256" s="3"/>
      <c r="AJ256" s="2">
        <f t="shared" si="39"/>
        <v>0</v>
      </c>
      <c r="AK256" s="2">
        <f t="shared" si="40"/>
        <v>0</v>
      </c>
      <c r="AL256" s="2">
        <f t="shared" si="41"/>
        <v>0</v>
      </c>
      <c r="AM256" s="88"/>
      <c r="AN256" s="157" t="s">
        <v>774</v>
      </c>
    </row>
    <row r="257" spans="2:40" ht="23.15" customHeight="1" thickBot="1">
      <c r="B257" s="87">
        <v>45904</v>
      </c>
      <c r="C257" s="2" t="s">
        <v>295</v>
      </c>
      <c r="D257" s="15" t="s">
        <v>12</v>
      </c>
      <c r="E257" s="20" t="s">
        <v>32</v>
      </c>
      <c r="F257" s="20" t="s">
        <v>40</v>
      </c>
      <c r="G257" s="11">
        <v>14</v>
      </c>
      <c r="H257" s="11">
        <v>14</v>
      </c>
      <c r="I257" s="18">
        <v>0</v>
      </c>
      <c r="J257" s="18">
        <v>0</v>
      </c>
      <c r="K257" s="19">
        <v>93557.13</v>
      </c>
      <c r="L257" s="41">
        <v>0</v>
      </c>
      <c r="M257" s="41">
        <v>0</v>
      </c>
      <c r="N257" s="41">
        <v>0</v>
      </c>
      <c r="O257" s="41">
        <v>0</v>
      </c>
      <c r="P257" s="41" t="s">
        <v>293</v>
      </c>
      <c r="Q257" s="43">
        <v>0</v>
      </c>
      <c r="R257" s="43">
        <v>0</v>
      </c>
      <c r="S257" s="43">
        <v>0</v>
      </c>
      <c r="T257" s="43">
        <v>0</v>
      </c>
      <c r="U257" s="19"/>
      <c r="V257" s="13">
        <f t="shared" si="42"/>
        <v>93557.13</v>
      </c>
      <c r="W257" s="42">
        <v>2.8000000000000001E-2</v>
      </c>
      <c r="X257" s="46">
        <f t="shared" si="43"/>
        <v>96176.729640000005</v>
      </c>
      <c r="Y257" s="13"/>
      <c r="Z257" s="13"/>
      <c r="AA257" s="22">
        <v>45901</v>
      </c>
      <c r="AB257" s="22" cm="1">
        <f t="array" ref="AB2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57" s="4"/>
      <c r="AD257" s="4"/>
      <c r="AE257" s="2"/>
      <c r="AF257" s="3"/>
      <c r="AG257" s="3"/>
      <c r="AH257" s="3"/>
      <c r="AI257" s="3"/>
      <c r="AJ257" s="2">
        <f t="shared" si="39"/>
        <v>0</v>
      </c>
      <c r="AK257" s="2">
        <f t="shared" si="40"/>
        <v>0</v>
      </c>
      <c r="AL257" s="2">
        <f t="shared" si="41"/>
        <v>0</v>
      </c>
      <c r="AM257" s="88"/>
      <c r="AN257" s="157" t="s">
        <v>774</v>
      </c>
    </row>
    <row r="258" spans="2:40" ht="23.15" customHeight="1" thickBot="1">
      <c r="B258" s="87"/>
      <c r="C258" s="2"/>
      <c r="D258" s="15" t="s">
        <v>12</v>
      </c>
      <c r="E258" s="20" t="s">
        <v>28</v>
      </c>
      <c r="F258" s="20" t="s">
        <v>37</v>
      </c>
      <c r="G258" s="11">
        <v>8</v>
      </c>
      <c r="H258" s="18"/>
      <c r="I258" s="18"/>
      <c r="J258" s="18"/>
      <c r="K258" s="19"/>
      <c r="L258" s="41"/>
      <c r="M258" s="41"/>
      <c r="N258" s="41"/>
      <c r="O258" s="41"/>
      <c r="P258" s="41"/>
      <c r="Q258" s="41"/>
      <c r="R258" s="41"/>
      <c r="S258" s="41"/>
      <c r="T258" s="41"/>
      <c r="U258" s="19"/>
      <c r="V258" s="13">
        <f t="shared" si="42"/>
        <v>0</v>
      </c>
      <c r="W258" s="42">
        <v>1.4999999999999999E-2</v>
      </c>
      <c r="X258" s="46" t="str">
        <f t="shared" si="43"/>
        <v/>
      </c>
      <c r="Y258" s="13"/>
      <c r="Z258" s="13"/>
      <c r="AA258" s="22">
        <v>45962</v>
      </c>
      <c r="AB258" s="22" cm="1">
        <f t="array" ref="AB2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58" s="4"/>
      <c r="AD258" s="4"/>
      <c r="AE258" s="2"/>
      <c r="AF258" s="3"/>
      <c r="AG258" s="3"/>
      <c r="AH258" s="3"/>
      <c r="AI258" s="3"/>
      <c r="AJ258" s="2">
        <f t="shared" si="39"/>
        <v>0</v>
      </c>
      <c r="AK258" s="2">
        <f t="shared" si="40"/>
        <v>0</v>
      </c>
      <c r="AL258" s="2">
        <f t="shared" si="41"/>
        <v>0</v>
      </c>
      <c r="AM258" s="88"/>
      <c r="AN258" s="157" t="s">
        <v>774</v>
      </c>
    </row>
    <row r="259" spans="2:40" ht="23.15" customHeight="1" thickBot="1">
      <c r="B259" s="87"/>
      <c r="C259" s="2"/>
      <c r="D259" s="15" t="s">
        <v>12</v>
      </c>
      <c r="E259" s="20" t="s">
        <v>29</v>
      </c>
      <c r="F259" s="20" t="s">
        <v>39</v>
      </c>
      <c r="G259" s="11">
        <v>5</v>
      </c>
      <c r="H259" s="18"/>
      <c r="I259" s="18"/>
      <c r="J259" s="18"/>
      <c r="K259" s="19"/>
      <c r="L259" s="41"/>
      <c r="M259" s="49"/>
      <c r="N259" s="41"/>
      <c r="O259" s="41"/>
      <c r="P259" s="41"/>
      <c r="Q259" s="43"/>
      <c r="R259" s="43"/>
      <c r="S259" s="43"/>
      <c r="T259" s="43"/>
      <c r="U259" s="19"/>
      <c r="V259" s="13">
        <f t="shared" si="42"/>
        <v>0</v>
      </c>
      <c r="W259" s="42">
        <v>0</v>
      </c>
      <c r="X259" s="46" t="str">
        <f t="shared" si="43"/>
        <v/>
      </c>
      <c r="Y259" s="13"/>
      <c r="Z259" s="13"/>
      <c r="AA259" s="22">
        <v>45962</v>
      </c>
      <c r="AB259" s="22" cm="1">
        <f t="array" ref="AB2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59" s="4"/>
      <c r="AD259" s="4"/>
      <c r="AE259" s="2"/>
      <c r="AF259" s="3"/>
      <c r="AG259" s="3"/>
      <c r="AH259" s="3"/>
      <c r="AI259" s="3"/>
      <c r="AJ259" s="2">
        <f t="shared" si="39"/>
        <v>0</v>
      </c>
      <c r="AK259" s="2">
        <f t="shared" si="40"/>
        <v>0</v>
      </c>
      <c r="AL259" s="2">
        <f t="shared" si="41"/>
        <v>0</v>
      </c>
      <c r="AM259" s="88"/>
      <c r="AN259" s="157" t="s">
        <v>774</v>
      </c>
    </row>
    <row r="260" spans="2:40" ht="23.15" customHeight="1" thickBot="1">
      <c r="B260" s="87"/>
      <c r="C260" s="2"/>
      <c r="D260" s="15" t="s">
        <v>12</v>
      </c>
      <c r="E260" s="20" t="s">
        <v>33</v>
      </c>
      <c r="F260" s="20" t="s">
        <v>137</v>
      </c>
      <c r="G260" s="11">
        <v>2</v>
      </c>
      <c r="H260" s="11"/>
      <c r="I260" s="18"/>
      <c r="J260" s="18"/>
      <c r="K260" s="19"/>
      <c r="L260" s="41"/>
      <c r="M260" s="267"/>
      <c r="N260" s="41"/>
      <c r="O260" s="41"/>
      <c r="P260" s="41"/>
      <c r="Q260" s="43"/>
      <c r="R260" s="43"/>
      <c r="S260" s="43"/>
      <c r="T260" s="43"/>
      <c r="U260" s="19"/>
      <c r="V260" s="13">
        <f t="shared" si="42"/>
        <v>0</v>
      </c>
      <c r="W260" s="42">
        <v>0</v>
      </c>
      <c r="X260" s="46" t="str">
        <f t="shared" si="43"/>
        <v/>
      </c>
      <c r="Y260" s="13"/>
      <c r="Z260" s="13"/>
      <c r="AA260" s="22">
        <v>45962</v>
      </c>
      <c r="AB260" s="22" cm="1">
        <f t="array" ref="AB2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60" s="4"/>
      <c r="AD260" s="4"/>
      <c r="AE260" s="2"/>
      <c r="AF260" s="3"/>
      <c r="AG260" s="3"/>
      <c r="AH260" s="3"/>
      <c r="AI260" s="3"/>
      <c r="AJ260" s="2">
        <f t="shared" si="39"/>
        <v>0</v>
      </c>
      <c r="AK260" s="2">
        <f t="shared" si="40"/>
        <v>0</v>
      </c>
      <c r="AL260" s="2">
        <f t="shared" si="41"/>
        <v>0</v>
      </c>
      <c r="AM260" s="88"/>
      <c r="AN260" s="157" t="s">
        <v>774</v>
      </c>
    </row>
    <row r="261" spans="2:40" ht="23.15" customHeight="1" thickBot="1">
      <c r="B261" s="87"/>
      <c r="C261" s="2"/>
      <c r="D261" s="15" t="s">
        <v>12</v>
      </c>
      <c r="E261" s="20" t="s">
        <v>30</v>
      </c>
      <c r="F261" s="20" t="s">
        <v>68</v>
      </c>
      <c r="G261" s="11">
        <v>37</v>
      </c>
      <c r="H261" s="11"/>
      <c r="I261" s="18"/>
      <c r="J261" s="18"/>
      <c r="K261" s="19"/>
      <c r="L261" s="41"/>
      <c r="M261" s="43"/>
      <c r="N261" s="41"/>
      <c r="O261" s="43"/>
      <c r="P261" s="41"/>
      <c r="Q261" s="43"/>
      <c r="R261" s="43"/>
      <c r="S261" s="43"/>
      <c r="T261" s="43"/>
      <c r="U261" s="19"/>
      <c r="V261" s="13">
        <f t="shared" si="42"/>
        <v>0</v>
      </c>
      <c r="W261" s="42"/>
      <c r="X261" s="46" t="str">
        <f t="shared" si="43"/>
        <v/>
      </c>
      <c r="Y261" s="13"/>
      <c r="Z261" s="13"/>
      <c r="AA261" s="22">
        <v>45962</v>
      </c>
      <c r="AB261" s="22" cm="1">
        <f t="array" ref="AB2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61" s="4"/>
      <c r="AD261" s="4"/>
      <c r="AE261" s="2"/>
      <c r="AF261" s="3"/>
      <c r="AG261" s="3"/>
      <c r="AH261" s="3"/>
      <c r="AI261" s="3"/>
      <c r="AJ261" s="2">
        <f t="shared" si="39"/>
        <v>0</v>
      </c>
      <c r="AK261" s="2">
        <f t="shared" si="40"/>
        <v>0</v>
      </c>
      <c r="AL261" s="2">
        <f t="shared" si="41"/>
        <v>0</v>
      </c>
      <c r="AM261" s="88"/>
      <c r="AN261" s="157" t="s">
        <v>774</v>
      </c>
    </row>
    <row r="262" spans="2:40" ht="23.15" customHeight="1" thickBot="1">
      <c r="B262" s="87"/>
      <c r="C262" s="2"/>
      <c r="D262" s="15" t="s">
        <v>12</v>
      </c>
      <c r="E262" s="20" t="s">
        <v>25</v>
      </c>
      <c r="F262" s="20" t="s">
        <v>40</v>
      </c>
      <c r="G262" s="11">
        <v>21</v>
      </c>
      <c r="H262" s="18"/>
      <c r="I262" s="11"/>
      <c r="J262" s="11"/>
      <c r="K262" s="10"/>
      <c r="L262" s="41"/>
      <c r="M262" s="43"/>
      <c r="N262" s="41"/>
      <c r="O262" s="43"/>
      <c r="P262" s="41"/>
      <c r="Q262" s="41"/>
      <c r="R262" s="41"/>
      <c r="S262" s="41"/>
      <c r="T262" s="41"/>
      <c r="U262" s="19"/>
      <c r="V262" s="13">
        <f t="shared" si="42"/>
        <v>0</v>
      </c>
      <c r="W262" s="248">
        <v>1.2999999999999999E-2</v>
      </c>
      <c r="X262" s="46" t="str">
        <f t="shared" si="43"/>
        <v/>
      </c>
      <c r="Y262" s="13"/>
      <c r="Z262" s="13"/>
      <c r="AA262" s="22">
        <v>45962</v>
      </c>
      <c r="AB262" s="22" cm="1">
        <f t="array" ref="AB2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62" s="4"/>
      <c r="AD262" s="4"/>
      <c r="AE262" s="2"/>
      <c r="AF262" s="3"/>
      <c r="AG262" s="3"/>
      <c r="AH262" s="3"/>
      <c r="AI262" s="3"/>
      <c r="AJ262" s="2">
        <f t="shared" si="39"/>
        <v>0</v>
      </c>
      <c r="AK262" s="2">
        <f t="shared" si="40"/>
        <v>0</v>
      </c>
      <c r="AL262" s="2">
        <f t="shared" si="41"/>
        <v>0</v>
      </c>
      <c r="AM262" s="88"/>
      <c r="AN262" s="157" t="s">
        <v>774</v>
      </c>
    </row>
    <row r="263" spans="2:40" ht="23.15" customHeight="1" thickBot="1">
      <c r="B263" s="87"/>
      <c r="C263" s="2"/>
      <c r="D263" s="15" t="s">
        <v>12</v>
      </c>
      <c r="E263" s="20" t="s">
        <v>26</v>
      </c>
      <c r="F263" s="20" t="s">
        <v>40</v>
      </c>
      <c r="G263" s="11">
        <v>3</v>
      </c>
      <c r="H263" s="11"/>
      <c r="I263" s="18"/>
      <c r="J263" s="18"/>
      <c r="K263" s="10"/>
      <c r="L263" s="41"/>
      <c r="M263" s="43"/>
      <c r="N263" s="41"/>
      <c r="O263" s="43"/>
      <c r="P263" s="41"/>
      <c r="Q263" s="41"/>
      <c r="R263" s="41"/>
      <c r="S263" s="41"/>
      <c r="T263" s="41"/>
      <c r="U263" s="19"/>
      <c r="V263" s="13">
        <f t="shared" si="42"/>
        <v>0</v>
      </c>
      <c r="W263" s="248">
        <v>1.2999999999999999E-2</v>
      </c>
      <c r="X263" s="46" t="str">
        <f t="shared" si="43"/>
        <v/>
      </c>
      <c r="Y263" s="13"/>
      <c r="Z263" s="13"/>
      <c r="AA263" s="22">
        <v>45962</v>
      </c>
      <c r="AB263" s="22" cm="1">
        <f t="array" ref="AB2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63" s="4"/>
      <c r="AD263" s="4"/>
      <c r="AE263" s="2"/>
      <c r="AF263" s="3"/>
      <c r="AG263" s="3"/>
      <c r="AH263" s="3"/>
      <c r="AI263" s="3"/>
      <c r="AJ263" s="2">
        <f t="shared" si="39"/>
        <v>0</v>
      </c>
      <c r="AK263" s="2">
        <f t="shared" si="40"/>
        <v>0</v>
      </c>
      <c r="AL263" s="2">
        <f t="shared" si="41"/>
        <v>0</v>
      </c>
      <c r="AM263" s="88"/>
      <c r="AN263" s="157" t="s">
        <v>774</v>
      </c>
    </row>
    <row r="264" spans="2:40" ht="23.15" customHeight="1" thickBot="1">
      <c r="B264" s="87"/>
      <c r="C264" s="2"/>
      <c r="D264" s="15" t="s">
        <v>12</v>
      </c>
      <c r="E264" s="20" t="s">
        <v>31</v>
      </c>
      <c r="F264" s="20" t="s">
        <v>40</v>
      </c>
      <c r="G264" s="11">
        <v>18</v>
      </c>
      <c r="H264" s="18"/>
      <c r="I264" s="18"/>
      <c r="J264" s="18"/>
      <c r="K264" s="19"/>
      <c r="L264" s="41"/>
      <c r="M264" s="41"/>
      <c r="N264" s="41"/>
      <c r="O264" s="41"/>
      <c r="P264" s="41"/>
      <c r="Q264" s="41"/>
      <c r="R264" s="41"/>
      <c r="S264" s="41"/>
      <c r="T264" s="41"/>
      <c r="U264" s="19"/>
      <c r="V264" s="13">
        <f t="shared" si="42"/>
        <v>0</v>
      </c>
      <c r="W264" s="42">
        <v>2.8000000000000001E-2</v>
      </c>
      <c r="X264" s="46" t="str">
        <f t="shared" si="43"/>
        <v/>
      </c>
      <c r="Y264" s="13"/>
      <c r="Z264" s="13"/>
      <c r="AA264" s="22">
        <v>45962</v>
      </c>
      <c r="AB264" s="22" cm="1">
        <f t="array" ref="AB2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64" s="4"/>
      <c r="AD264" s="4"/>
      <c r="AE264" s="2"/>
      <c r="AF264" s="3"/>
      <c r="AG264" s="3"/>
      <c r="AH264" s="3"/>
      <c r="AI264" s="3"/>
      <c r="AJ264" s="2">
        <f t="shared" si="39"/>
        <v>0</v>
      </c>
      <c r="AK264" s="2">
        <f t="shared" si="40"/>
        <v>0</v>
      </c>
      <c r="AL264" s="2">
        <f t="shared" si="41"/>
        <v>0</v>
      </c>
      <c r="AM264" s="88"/>
      <c r="AN264" s="157" t="s">
        <v>774</v>
      </c>
    </row>
    <row r="265" spans="2:40" ht="23.15" customHeight="1" thickBot="1">
      <c r="B265" s="87"/>
      <c r="C265" s="2"/>
      <c r="D265" s="15" t="s">
        <v>12</v>
      </c>
      <c r="E265" s="20" t="s">
        <v>35</v>
      </c>
      <c r="F265" s="20" t="s">
        <v>68</v>
      </c>
      <c r="G265" s="11">
        <v>2</v>
      </c>
      <c r="H265" s="11"/>
      <c r="I265" s="18"/>
      <c r="J265" s="18"/>
      <c r="K265" s="19"/>
      <c r="L265" s="41"/>
      <c r="M265" s="148"/>
      <c r="N265" s="41"/>
      <c r="O265" s="41"/>
      <c r="P265" s="41"/>
      <c r="Q265" s="41"/>
      <c r="R265" s="41"/>
      <c r="S265" s="41"/>
      <c r="T265" s="41"/>
      <c r="U265" s="19"/>
      <c r="V265" s="13">
        <f t="shared" si="42"/>
        <v>0</v>
      </c>
      <c r="W265" s="42"/>
      <c r="X265" s="46" t="str">
        <f t="shared" si="43"/>
        <v/>
      </c>
      <c r="Y265" s="13"/>
      <c r="Z265" s="13"/>
      <c r="AA265" s="22">
        <v>45962</v>
      </c>
      <c r="AB265" s="22" cm="1">
        <f t="array" ref="AB2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65" s="4"/>
      <c r="AD265" s="4">
        <v>6049.8299796933261</v>
      </c>
      <c r="AE265" s="2"/>
      <c r="AF265" s="3"/>
      <c r="AG265" s="3"/>
      <c r="AH265" s="3"/>
      <c r="AI265" s="3"/>
      <c r="AJ265" s="2">
        <f t="shared" si="39"/>
        <v>0</v>
      </c>
      <c r="AK265" s="2">
        <f t="shared" si="40"/>
        <v>-6049.8299796933261</v>
      </c>
      <c r="AL265" s="2">
        <f t="shared" si="41"/>
        <v>0</v>
      </c>
      <c r="AM265" s="88"/>
      <c r="AN265" s="157" t="s">
        <v>774</v>
      </c>
    </row>
    <row r="266" spans="2:40" ht="23.15" customHeight="1" thickBot="1">
      <c r="B266" s="87"/>
      <c r="C266" s="2"/>
      <c r="D266" s="15" t="s">
        <v>12</v>
      </c>
      <c r="E266" s="20" t="s">
        <v>32</v>
      </c>
      <c r="F266" s="20" t="s">
        <v>40</v>
      </c>
      <c r="G266" s="11">
        <v>14</v>
      </c>
      <c r="H266" s="18"/>
      <c r="I266" s="18"/>
      <c r="J266" s="18"/>
      <c r="K266" s="19"/>
      <c r="L266" s="41"/>
      <c r="M266" s="41"/>
      <c r="N266" s="41"/>
      <c r="O266" s="41"/>
      <c r="P266" s="41"/>
      <c r="Q266" s="43"/>
      <c r="R266" s="43"/>
      <c r="S266" s="43"/>
      <c r="T266" s="43"/>
      <c r="U266" s="19"/>
      <c r="V266" s="13">
        <f t="shared" si="42"/>
        <v>0</v>
      </c>
      <c r="W266" s="42">
        <v>2.8000000000000001E-2</v>
      </c>
      <c r="X266" s="46" t="str">
        <f t="shared" si="43"/>
        <v/>
      </c>
      <c r="Y266" s="13"/>
      <c r="Z266" s="13"/>
      <c r="AA266" s="22">
        <v>45962</v>
      </c>
      <c r="AB266" s="22" cm="1">
        <f t="array" ref="AB2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66" s="4"/>
      <c r="AD266" s="4"/>
      <c r="AE266" s="2"/>
      <c r="AF266" s="3"/>
      <c r="AG266" s="3"/>
      <c r="AH266" s="3"/>
      <c r="AI266" s="3"/>
      <c r="AJ266" s="2">
        <f t="shared" si="39"/>
        <v>0</v>
      </c>
      <c r="AK266" s="2">
        <f t="shared" si="40"/>
        <v>0</v>
      </c>
      <c r="AL266" s="2">
        <f t="shared" si="41"/>
        <v>0</v>
      </c>
      <c r="AM266" s="88"/>
      <c r="AN266" s="157" t="s">
        <v>774</v>
      </c>
    </row>
    <row r="267" spans="2:40" ht="23.15" customHeight="1" thickBot="1">
      <c r="B267" s="87"/>
      <c r="C267" s="2"/>
      <c r="D267" s="15" t="s">
        <v>12</v>
      </c>
      <c r="E267" s="20" t="s">
        <v>28</v>
      </c>
      <c r="F267" s="20" t="s">
        <v>37</v>
      </c>
      <c r="G267" s="11">
        <v>8</v>
      </c>
      <c r="H267" s="18"/>
      <c r="I267" s="18"/>
      <c r="J267" s="18"/>
      <c r="K267" s="19"/>
      <c r="L267" s="41"/>
      <c r="M267" s="44"/>
      <c r="N267" s="41"/>
      <c r="O267" s="41"/>
      <c r="P267" s="41"/>
      <c r="Q267" s="43"/>
      <c r="R267" s="43"/>
      <c r="S267" s="43"/>
      <c r="T267" s="43"/>
      <c r="U267" s="19"/>
      <c r="V267" s="13">
        <f t="shared" si="42"/>
        <v>0</v>
      </c>
      <c r="W267" s="42">
        <v>1.4999999999999999E-2</v>
      </c>
      <c r="X267" s="46" t="str">
        <f t="shared" si="43"/>
        <v/>
      </c>
      <c r="Y267" s="13"/>
      <c r="Z267" s="13"/>
      <c r="AA267" s="22">
        <v>45992</v>
      </c>
      <c r="AB267" s="22" cm="1">
        <f t="array" ref="AB2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267" s="4"/>
      <c r="AD267" s="4"/>
      <c r="AE267" s="2"/>
      <c r="AF267" s="3"/>
      <c r="AG267" s="3"/>
      <c r="AH267" s="3"/>
      <c r="AI267" s="3"/>
      <c r="AJ267" s="2">
        <f t="shared" si="39"/>
        <v>0</v>
      </c>
      <c r="AK267" s="2">
        <f t="shared" si="40"/>
        <v>0</v>
      </c>
      <c r="AL267" s="2">
        <f t="shared" si="41"/>
        <v>0</v>
      </c>
      <c r="AM267" s="88"/>
      <c r="AN267" s="157" t="s">
        <v>774</v>
      </c>
    </row>
    <row r="268" spans="2:40" ht="23.15" customHeight="1" thickBot="1">
      <c r="B268" s="87"/>
      <c r="C268" s="2"/>
      <c r="D268" s="15" t="s">
        <v>12</v>
      </c>
      <c r="E268" s="20" t="s">
        <v>29</v>
      </c>
      <c r="F268" s="20" t="s">
        <v>39</v>
      </c>
      <c r="G268" s="11">
        <v>5</v>
      </c>
      <c r="H268" s="18"/>
      <c r="I268" s="18"/>
      <c r="J268" s="18"/>
      <c r="K268" s="19"/>
      <c r="L268" s="41"/>
      <c r="M268" s="267"/>
      <c r="N268" s="41"/>
      <c r="O268" s="41"/>
      <c r="P268" s="41"/>
      <c r="Q268" s="43"/>
      <c r="R268" s="43"/>
      <c r="S268" s="43"/>
      <c r="T268" s="43"/>
      <c r="U268" s="19"/>
      <c r="V268" s="13">
        <f t="shared" si="42"/>
        <v>0</v>
      </c>
      <c r="W268" s="42">
        <v>0</v>
      </c>
      <c r="X268" s="46" t="str">
        <f t="shared" si="43"/>
        <v/>
      </c>
      <c r="Y268" s="13"/>
      <c r="Z268" s="13"/>
      <c r="AA268" s="22">
        <v>45992</v>
      </c>
      <c r="AB268" s="22" cm="1">
        <f t="array" ref="AB2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268" s="4"/>
      <c r="AD268" s="4"/>
      <c r="AE268" s="2"/>
      <c r="AF268" s="3"/>
      <c r="AG268" s="3"/>
      <c r="AH268" s="3"/>
      <c r="AI268" s="3"/>
      <c r="AJ268" s="2">
        <f t="shared" si="39"/>
        <v>0</v>
      </c>
      <c r="AK268" s="2">
        <f t="shared" si="40"/>
        <v>0</v>
      </c>
      <c r="AL268" s="2">
        <f t="shared" si="41"/>
        <v>0</v>
      </c>
      <c r="AM268" s="88"/>
      <c r="AN268" s="157" t="s">
        <v>774</v>
      </c>
    </row>
    <row r="269" spans="2:40" ht="23.15" customHeight="1" thickBot="1">
      <c r="B269" s="87">
        <v>45838</v>
      </c>
      <c r="C269" s="2" t="s">
        <v>295</v>
      </c>
      <c r="D269" s="15" t="s">
        <v>13</v>
      </c>
      <c r="E269" s="20" t="s">
        <v>25</v>
      </c>
      <c r="F269" s="20" t="s">
        <v>41</v>
      </c>
      <c r="G269" s="11">
        <v>18</v>
      </c>
      <c r="H269" s="18">
        <v>10</v>
      </c>
      <c r="I269" s="18">
        <v>22</v>
      </c>
      <c r="J269" s="18">
        <v>63</v>
      </c>
      <c r="K269" s="19">
        <v>83951.56866847942</v>
      </c>
      <c r="L269" s="41">
        <v>-4616.92</v>
      </c>
      <c r="M269" s="41">
        <v>-4708.4399999999996</v>
      </c>
      <c r="N269" s="41">
        <v>-2358.7199999999998</v>
      </c>
      <c r="O269" s="41">
        <v>-2390.85</v>
      </c>
      <c r="P269" s="41">
        <v>-839.52</v>
      </c>
      <c r="Q269" s="43">
        <v>0</v>
      </c>
      <c r="R269" s="43">
        <v>-219.44241735266399</v>
      </c>
      <c r="S269" s="43">
        <v>0</v>
      </c>
      <c r="T269" s="43">
        <v>0</v>
      </c>
      <c r="U269" s="19" t="s">
        <v>299</v>
      </c>
      <c r="V269" s="13">
        <f t="shared" si="42"/>
        <v>76632.836251126748</v>
      </c>
      <c r="W269" s="13"/>
      <c r="X269" s="13"/>
      <c r="Y269" s="13"/>
      <c r="Z269" s="13"/>
      <c r="AA269" s="22">
        <v>45778</v>
      </c>
      <c r="AB269" s="22" cm="1">
        <f t="array" ref="AB2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69" s="4">
        <v>2087.14</v>
      </c>
      <c r="AD269" s="4">
        <v>1878.9065606646695</v>
      </c>
      <c r="AE269" s="2"/>
      <c r="AF269" s="3"/>
      <c r="AG269" s="3"/>
      <c r="AH269" s="3"/>
      <c r="AI269" s="3"/>
      <c r="AJ269" s="2">
        <f t="shared" si="39"/>
        <v>91.519999999999527</v>
      </c>
      <c r="AK269" s="2">
        <f t="shared" si="40"/>
        <v>208.23343933533033</v>
      </c>
      <c r="AL269" s="2">
        <f t="shared" si="41"/>
        <v>7318.7324173526722</v>
      </c>
      <c r="AM269" s="88"/>
      <c r="AN269" s="157" t="s">
        <v>774</v>
      </c>
    </row>
    <row r="270" spans="2:40" ht="23.15" customHeight="1" thickBot="1">
      <c r="B270" s="87">
        <v>45887</v>
      </c>
      <c r="C270" s="2" t="s">
        <v>295</v>
      </c>
      <c r="D270" s="15" t="s">
        <v>13</v>
      </c>
      <c r="E270" s="20" t="s">
        <v>25</v>
      </c>
      <c r="F270" s="20" t="s">
        <v>41</v>
      </c>
      <c r="G270" s="11">
        <v>18</v>
      </c>
      <c r="H270" s="11">
        <v>10</v>
      </c>
      <c r="I270" s="18">
        <v>22</v>
      </c>
      <c r="J270" s="18">
        <v>3.8</v>
      </c>
      <c r="K270" s="19">
        <v>83951.56866847942</v>
      </c>
      <c r="L270" s="41">
        <v>0</v>
      </c>
      <c r="M270" s="41">
        <v>-4708.4399999999996</v>
      </c>
      <c r="N270" s="41">
        <v>0</v>
      </c>
      <c r="O270" s="41">
        <v>-144.21</v>
      </c>
      <c r="P270" s="41">
        <v>-839.52</v>
      </c>
      <c r="Q270" s="43">
        <v>0</v>
      </c>
      <c r="R270" s="43">
        <v>-219.44241735266399</v>
      </c>
      <c r="S270" s="43">
        <v>0</v>
      </c>
      <c r="T270" s="43">
        <v>0</v>
      </c>
      <c r="U270" s="19" t="s">
        <v>299</v>
      </c>
      <c r="V270" s="13">
        <f t="shared" si="42"/>
        <v>78879.476251126747</v>
      </c>
      <c r="W270" s="13"/>
      <c r="X270" s="13"/>
      <c r="Y270" s="13"/>
      <c r="Z270" s="13"/>
      <c r="AA270" s="22">
        <v>45809</v>
      </c>
      <c r="AB270" s="22" cm="1">
        <f t="array" ref="AB2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70" s="4">
        <v>1935.62</v>
      </c>
      <c r="AD270" s="4">
        <v>1650.4973312210718</v>
      </c>
      <c r="AE270" s="2"/>
      <c r="AF270" s="3"/>
      <c r="AG270" s="3"/>
      <c r="AH270" s="3"/>
      <c r="AI270" s="3"/>
      <c r="AJ270" s="2">
        <f t="shared" si="39"/>
        <v>4708.4399999999996</v>
      </c>
      <c r="AK270" s="2">
        <f t="shared" si="40"/>
        <v>285.12266877892807</v>
      </c>
      <c r="AL270" s="2">
        <f t="shared" si="41"/>
        <v>5072.0924173526728</v>
      </c>
      <c r="AM270" s="88"/>
      <c r="AN270" s="157" t="s">
        <v>774</v>
      </c>
    </row>
    <row r="271" spans="2:40" ht="23.15" customHeight="1" thickBot="1">
      <c r="B271" s="87"/>
      <c r="C271" s="2"/>
      <c r="D271" s="15" t="s">
        <v>12</v>
      </c>
      <c r="E271" s="20" t="s">
        <v>33</v>
      </c>
      <c r="F271" s="20" t="s">
        <v>137</v>
      </c>
      <c r="G271" s="11">
        <v>2</v>
      </c>
      <c r="H271" s="18"/>
      <c r="I271" s="18"/>
      <c r="J271" s="18"/>
      <c r="K271" s="19"/>
      <c r="L271" s="41"/>
      <c r="M271" s="267"/>
      <c r="N271" s="41"/>
      <c r="O271" s="41"/>
      <c r="P271" s="41"/>
      <c r="Q271" s="43"/>
      <c r="R271" s="43"/>
      <c r="S271" s="43"/>
      <c r="T271" s="43"/>
      <c r="U271" s="19"/>
      <c r="V271" s="13">
        <f t="shared" si="42"/>
        <v>0</v>
      </c>
      <c r="W271" s="42">
        <v>0</v>
      </c>
      <c r="X271" s="46" t="str">
        <f t="shared" ref="X271:X277" si="44">IF(K271="","",V271*(1+W271))</f>
        <v/>
      </c>
      <c r="Y271" s="13"/>
      <c r="Z271" s="13"/>
      <c r="AA271" s="22">
        <v>45992</v>
      </c>
      <c r="AB271" s="22" cm="1">
        <f t="array" ref="AB2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271" s="4"/>
      <c r="AD271" s="4"/>
      <c r="AE271" s="2"/>
      <c r="AF271" s="3"/>
      <c r="AG271" s="3"/>
      <c r="AH271" s="3"/>
      <c r="AI271" s="3"/>
      <c r="AJ271" s="2">
        <f t="shared" si="39"/>
        <v>0</v>
      </c>
      <c r="AK271" s="2">
        <f t="shared" si="40"/>
        <v>0</v>
      </c>
      <c r="AL271" s="2">
        <f t="shared" si="41"/>
        <v>0</v>
      </c>
      <c r="AM271" s="88"/>
      <c r="AN271" s="157" t="s">
        <v>774</v>
      </c>
    </row>
    <row r="272" spans="2:40" ht="23.15" customHeight="1" thickBot="1">
      <c r="B272" s="87"/>
      <c r="C272" s="2"/>
      <c r="D272" s="15" t="s">
        <v>12</v>
      </c>
      <c r="E272" s="20" t="s">
        <v>30</v>
      </c>
      <c r="F272" s="20" t="s">
        <v>68</v>
      </c>
      <c r="G272" s="11">
        <v>37</v>
      </c>
      <c r="H272" s="18"/>
      <c r="I272" s="18"/>
      <c r="J272" s="18"/>
      <c r="K272" s="19"/>
      <c r="L272" s="41"/>
      <c r="M272" s="44"/>
      <c r="N272" s="41"/>
      <c r="O272" s="41"/>
      <c r="P272" s="41"/>
      <c r="Q272" s="43"/>
      <c r="R272" s="43"/>
      <c r="S272" s="43"/>
      <c r="T272" s="43"/>
      <c r="U272" s="19"/>
      <c r="V272" s="13">
        <f t="shared" si="42"/>
        <v>0</v>
      </c>
      <c r="W272" s="42"/>
      <c r="X272" s="46" t="str">
        <f t="shared" si="44"/>
        <v/>
      </c>
      <c r="Y272" s="13"/>
      <c r="Z272" s="13"/>
      <c r="AA272" s="22">
        <v>45992</v>
      </c>
      <c r="AB272" s="22" cm="1">
        <f t="array" ref="AB2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272" s="4"/>
      <c r="AD272" s="4"/>
      <c r="AE272" s="2"/>
      <c r="AF272" s="3"/>
      <c r="AG272" s="3"/>
      <c r="AH272" s="3"/>
      <c r="AI272" s="3"/>
      <c r="AJ272" s="2">
        <f t="shared" si="39"/>
        <v>0</v>
      </c>
      <c r="AK272" s="2">
        <f t="shared" si="40"/>
        <v>0</v>
      </c>
      <c r="AL272" s="2">
        <f t="shared" si="41"/>
        <v>0</v>
      </c>
      <c r="AM272" s="88"/>
      <c r="AN272" s="157" t="s">
        <v>774</v>
      </c>
    </row>
    <row r="273" spans="2:40" ht="23.15" customHeight="1" thickBot="1">
      <c r="B273" s="87"/>
      <c r="C273" s="2"/>
      <c r="D273" s="15" t="s">
        <v>12</v>
      </c>
      <c r="E273" s="20" t="s">
        <v>25</v>
      </c>
      <c r="F273" s="20" t="s">
        <v>40</v>
      </c>
      <c r="G273" s="11">
        <v>21</v>
      </c>
      <c r="H273" s="18"/>
      <c r="I273" s="18"/>
      <c r="J273" s="18"/>
      <c r="K273" s="19"/>
      <c r="L273" s="41"/>
      <c r="M273" s="41"/>
      <c r="N273" s="41"/>
      <c r="O273" s="41"/>
      <c r="P273" s="41"/>
      <c r="Q273" s="43"/>
      <c r="R273" s="43"/>
      <c r="S273" s="43"/>
      <c r="T273" s="43"/>
      <c r="U273" s="19"/>
      <c r="V273" s="13">
        <f t="shared" si="42"/>
        <v>0</v>
      </c>
      <c r="W273" s="248">
        <v>1.2999999999999999E-2</v>
      </c>
      <c r="X273" s="46" t="str">
        <f t="shared" si="44"/>
        <v/>
      </c>
      <c r="Y273" s="13"/>
      <c r="Z273" s="13"/>
      <c r="AA273" s="22">
        <v>45992</v>
      </c>
      <c r="AB273" s="22" cm="1">
        <f t="array" ref="AB2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73" s="4"/>
      <c r="AD273" s="4"/>
      <c r="AE273" s="2"/>
      <c r="AF273" s="3"/>
      <c r="AG273" s="3"/>
      <c r="AH273" s="3"/>
      <c r="AI273" s="3"/>
      <c r="AJ273" s="2">
        <f t="shared" si="39"/>
        <v>0</v>
      </c>
      <c r="AK273" s="2">
        <f t="shared" si="40"/>
        <v>0</v>
      </c>
      <c r="AL273" s="2">
        <f t="shared" si="41"/>
        <v>0</v>
      </c>
      <c r="AM273" s="88"/>
      <c r="AN273" s="157" t="s">
        <v>774</v>
      </c>
    </row>
    <row r="274" spans="2:40" ht="23.15" customHeight="1" thickBot="1">
      <c r="B274" s="87"/>
      <c r="C274" s="2"/>
      <c r="D274" s="15" t="s">
        <v>12</v>
      </c>
      <c r="E274" s="20" t="s">
        <v>26</v>
      </c>
      <c r="F274" s="20" t="s">
        <v>40</v>
      </c>
      <c r="G274" s="11">
        <v>3</v>
      </c>
      <c r="H274" s="11"/>
      <c r="I274" s="18"/>
      <c r="J274" s="18"/>
      <c r="K274" s="19"/>
      <c r="L274" s="41"/>
      <c r="M274" s="41"/>
      <c r="N274" s="41"/>
      <c r="O274" s="43"/>
      <c r="P274" s="41"/>
      <c r="Q274" s="41"/>
      <c r="R274" s="43"/>
      <c r="S274" s="43"/>
      <c r="T274" s="43"/>
      <c r="U274" s="19"/>
      <c r="V274" s="13">
        <f t="shared" si="42"/>
        <v>0</v>
      </c>
      <c r="W274" s="248">
        <v>1.2999999999999999E-2</v>
      </c>
      <c r="X274" s="46" t="str">
        <f t="shared" si="44"/>
        <v/>
      </c>
      <c r="Y274" s="13"/>
      <c r="Z274" s="13"/>
      <c r="AA274" s="22">
        <v>45992</v>
      </c>
      <c r="AB274" s="22" cm="1">
        <f t="array" ref="AB2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74" s="4"/>
      <c r="AD274" s="4"/>
      <c r="AE274" s="2"/>
      <c r="AF274" s="3"/>
      <c r="AG274" s="3"/>
      <c r="AH274" s="3"/>
      <c r="AI274" s="3"/>
      <c r="AJ274" s="2">
        <f t="shared" si="39"/>
        <v>0</v>
      </c>
      <c r="AK274" s="2">
        <f t="shared" si="40"/>
        <v>0</v>
      </c>
      <c r="AL274" s="2">
        <f t="shared" si="41"/>
        <v>0</v>
      </c>
      <c r="AM274" s="88"/>
      <c r="AN274" s="157" t="s">
        <v>774</v>
      </c>
    </row>
    <row r="275" spans="2:40" ht="23.15" customHeight="1" thickBot="1">
      <c r="B275" s="87"/>
      <c r="C275" s="2"/>
      <c r="D275" s="15" t="s">
        <v>12</v>
      </c>
      <c r="E275" s="20" t="s">
        <v>31</v>
      </c>
      <c r="F275" s="20" t="s">
        <v>40</v>
      </c>
      <c r="G275" s="11">
        <v>18</v>
      </c>
      <c r="H275" s="11"/>
      <c r="I275" s="18"/>
      <c r="J275" s="18"/>
      <c r="K275" s="10"/>
      <c r="L275" s="41"/>
      <c r="M275" s="41"/>
      <c r="N275" s="41"/>
      <c r="O275" s="41"/>
      <c r="P275" s="41"/>
      <c r="Q275" s="43"/>
      <c r="R275" s="43"/>
      <c r="S275" s="43"/>
      <c r="T275" s="43"/>
      <c r="U275" s="19"/>
      <c r="V275" s="13">
        <f t="shared" si="42"/>
        <v>0</v>
      </c>
      <c r="W275" s="42">
        <v>2.8000000000000001E-2</v>
      </c>
      <c r="X275" s="46" t="str">
        <f t="shared" si="44"/>
        <v/>
      </c>
      <c r="Y275" s="13"/>
      <c r="Z275" s="13"/>
      <c r="AA275" s="22">
        <v>45992</v>
      </c>
      <c r="AB275" s="22" cm="1">
        <f t="array" ref="AB2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75" s="4"/>
      <c r="AD275" s="4"/>
      <c r="AE275" s="2"/>
      <c r="AF275" s="3"/>
      <c r="AG275" s="3"/>
      <c r="AH275" s="3"/>
      <c r="AI275" s="3"/>
      <c r="AJ275" s="2">
        <f t="shared" si="39"/>
        <v>0</v>
      </c>
      <c r="AK275" s="2">
        <f t="shared" si="40"/>
        <v>0</v>
      </c>
      <c r="AL275" s="2">
        <f t="shared" si="41"/>
        <v>0</v>
      </c>
      <c r="AM275" s="88"/>
      <c r="AN275" s="157" t="s">
        <v>774</v>
      </c>
    </row>
    <row r="276" spans="2:40" ht="23.15" customHeight="1" thickBot="1">
      <c r="B276" s="87"/>
      <c r="C276" s="2"/>
      <c r="D276" s="15" t="s">
        <v>12</v>
      </c>
      <c r="E276" s="20" t="s">
        <v>35</v>
      </c>
      <c r="F276" s="20" t="s">
        <v>68</v>
      </c>
      <c r="G276" s="11">
        <v>2</v>
      </c>
      <c r="H276" s="11"/>
      <c r="I276" s="18"/>
      <c r="J276" s="18"/>
      <c r="K276" s="19"/>
      <c r="L276" s="41"/>
      <c r="M276" s="148"/>
      <c r="N276" s="41"/>
      <c r="O276" s="41"/>
      <c r="P276" s="41"/>
      <c r="Q276" s="43"/>
      <c r="R276" s="43"/>
      <c r="S276" s="43"/>
      <c r="T276" s="43"/>
      <c r="U276" s="19"/>
      <c r="V276" s="13">
        <f t="shared" si="42"/>
        <v>0</v>
      </c>
      <c r="W276" s="42"/>
      <c r="X276" s="46" t="str">
        <f t="shared" si="44"/>
        <v/>
      </c>
      <c r="Y276" s="13"/>
      <c r="Z276" s="13"/>
      <c r="AA276" s="22">
        <v>45992</v>
      </c>
      <c r="AB276" s="22" cm="1">
        <f t="array" ref="AB2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276" s="4"/>
      <c r="AD276" s="4"/>
      <c r="AE276" s="2"/>
      <c r="AF276" s="3"/>
      <c r="AG276" s="3"/>
      <c r="AH276" s="3"/>
      <c r="AI276" s="3"/>
      <c r="AJ276" s="2">
        <f t="shared" si="39"/>
        <v>0</v>
      </c>
      <c r="AK276" s="2">
        <f t="shared" si="40"/>
        <v>0</v>
      </c>
      <c r="AL276" s="2">
        <f t="shared" si="41"/>
        <v>0</v>
      </c>
      <c r="AM276" s="88"/>
      <c r="AN276" s="157" t="s">
        <v>774</v>
      </c>
    </row>
    <row r="277" spans="2:40" ht="23.15" customHeight="1" thickBot="1">
      <c r="B277" s="87"/>
      <c r="C277" s="2"/>
      <c r="D277" s="15" t="s">
        <v>12</v>
      </c>
      <c r="E277" s="20" t="s">
        <v>32</v>
      </c>
      <c r="F277" s="20" t="s">
        <v>40</v>
      </c>
      <c r="G277" s="11">
        <v>14</v>
      </c>
      <c r="H277" s="11"/>
      <c r="I277" s="18"/>
      <c r="J277" s="18"/>
      <c r="K277" s="19"/>
      <c r="L277" s="41"/>
      <c r="M277" s="41"/>
      <c r="N277" s="41"/>
      <c r="O277" s="43"/>
      <c r="P277" s="41"/>
      <c r="Q277" s="43"/>
      <c r="R277" s="43"/>
      <c r="S277" s="43"/>
      <c r="T277" s="43"/>
      <c r="U277" s="19"/>
      <c r="V277" s="13">
        <f t="shared" si="42"/>
        <v>0</v>
      </c>
      <c r="W277" s="42">
        <v>2.8000000000000001E-2</v>
      </c>
      <c r="X277" s="46" t="str">
        <f t="shared" si="44"/>
        <v/>
      </c>
      <c r="Y277" s="13"/>
      <c r="Z277" s="13"/>
      <c r="AA277" s="22">
        <v>45992</v>
      </c>
      <c r="AB277" s="22" cm="1">
        <f t="array" ref="AB2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77" s="4"/>
      <c r="AD277" s="4"/>
      <c r="AE277" s="2"/>
      <c r="AF277" s="3"/>
      <c r="AG277" s="3"/>
      <c r="AH277" s="3"/>
      <c r="AI277" s="3"/>
      <c r="AJ277" s="2">
        <f t="shared" si="39"/>
        <v>0</v>
      </c>
      <c r="AK277" s="2">
        <f t="shared" ref="AK277:AK311" si="45">AC277-AD277</f>
        <v>0</v>
      </c>
      <c r="AL277" s="2">
        <f t="shared" si="41"/>
        <v>0</v>
      </c>
      <c r="AM277" s="88"/>
      <c r="AN277" s="157" t="s">
        <v>774</v>
      </c>
    </row>
    <row r="278" spans="2:40" ht="23.15" customHeight="1" thickBot="1">
      <c r="B278" s="87"/>
      <c r="C278" s="2" t="s">
        <v>292</v>
      </c>
      <c r="D278" s="15" t="s">
        <v>13</v>
      </c>
      <c r="E278" s="20" t="s">
        <v>26</v>
      </c>
      <c r="F278" s="20" t="s">
        <v>41</v>
      </c>
      <c r="G278" s="11">
        <v>2</v>
      </c>
      <c r="H278" s="18">
        <v>2</v>
      </c>
      <c r="I278" s="18" t="s">
        <v>294</v>
      </c>
      <c r="J278" s="18" t="s">
        <v>294</v>
      </c>
      <c r="K278" s="19">
        <v>18599.510073064863</v>
      </c>
      <c r="L278" s="41">
        <v>0</v>
      </c>
      <c r="M278" s="41" t="s">
        <v>294</v>
      </c>
      <c r="N278" s="41">
        <v>0</v>
      </c>
      <c r="O278" s="43" t="s">
        <v>294</v>
      </c>
      <c r="P278" s="41" t="s">
        <v>293</v>
      </c>
      <c r="Q278" s="43">
        <v>0</v>
      </c>
      <c r="R278" s="43">
        <v>0</v>
      </c>
      <c r="S278" s="43">
        <v>0</v>
      </c>
      <c r="T278" s="43">
        <v>0</v>
      </c>
      <c r="U278" s="19"/>
      <c r="V278" s="13">
        <f t="shared" si="42"/>
        <v>18599.510073064863</v>
      </c>
      <c r="W278" s="13"/>
      <c r="X278" s="13"/>
      <c r="Y278" s="13"/>
      <c r="Z278" s="13"/>
      <c r="AA278" s="22">
        <v>45658</v>
      </c>
      <c r="AB278" s="22" cm="1">
        <f t="array" ref="AB2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78" s="4"/>
      <c r="AD278" s="4"/>
      <c r="AE278" s="2"/>
      <c r="AF278" s="3"/>
      <c r="AG278" s="3"/>
      <c r="AH278" s="3"/>
      <c r="AI278" s="3"/>
      <c r="AJ278" s="2">
        <f t="shared" si="39"/>
        <v>0</v>
      </c>
      <c r="AK278" s="2">
        <f t="shared" si="45"/>
        <v>0</v>
      </c>
      <c r="AL278" s="2">
        <f t="shared" si="41"/>
        <v>0</v>
      </c>
      <c r="AM278" s="88"/>
      <c r="AN278" s="157" t="s">
        <v>774</v>
      </c>
    </row>
    <row r="279" spans="2:40" ht="23.15" customHeight="1" thickBot="1">
      <c r="B279" s="87"/>
      <c r="C279" s="2" t="s">
        <v>292</v>
      </c>
      <c r="D279" s="15" t="s">
        <v>13</v>
      </c>
      <c r="E279" s="20" t="s">
        <v>26</v>
      </c>
      <c r="F279" s="20" t="s">
        <v>41</v>
      </c>
      <c r="G279" s="11">
        <v>2</v>
      </c>
      <c r="H279" s="18">
        <v>2</v>
      </c>
      <c r="I279" s="18" t="s">
        <v>294</v>
      </c>
      <c r="J279" s="18" t="s">
        <v>294</v>
      </c>
      <c r="K279" s="19">
        <v>19081.830000000002</v>
      </c>
      <c r="L279" s="41">
        <v>0</v>
      </c>
      <c r="M279" s="41" t="s">
        <v>294</v>
      </c>
      <c r="N279" s="41">
        <v>0</v>
      </c>
      <c r="O279" s="43" t="s">
        <v>294</v>
      </c>
      <c r="P279" s="41" t="s">
        <v>293</v>
      </c>
      <c r="Q279" s="43">
        <v>0</v>
      </c>
      <c r="R279" s="43">
        <v>0</v>
      </c>
      <c r="S279" s="43">
        <v>0</v>
      </c>
      <c r="T279" s="43">
        <v>0</v>
      </c>
      <c r="U279" s="19"/>
      <c r="V279" s="13">
        <f t="shared" si="42"/>
        <v>19081.830000000002</v>
      </c>
      <c r="W279" s="13"/>
      <c r="X279" s="13"/>
      <c r="Y279" s="13"/>
      <c r="Z279" s="13"/>
      <c r="AA279" s="22">
        <v>45689</v>
      </c>
      <c r="AB279" s="22" cm="1">
        <f t="array" ref="AB2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79" s="4"/>
      <c r="AD279" s="4"/>
      <c r="AE279" s="2"/>
      <c r="AF279" s="3"/>
      <c r="AG279" s="3"/>
      <c r="AH279" s="3"/>
      <c r="AI279" s="3"/>
      <c r="AJ279" s="2">
        <f t="shared" si="39"/>
        <v>0</v>
      </c>
      <c r="AK279" s="2">
        <f t="shared" si="45"/>
        <v>0</v>
      </c>
      <c r="AL279" s="2">
        <f t="shared" si="41"/>
        <v>0</v>
      </c>
      <c r="AM279" s="88"/>
      <c r="AN279" s="157" t="s">
        <v>774</v>
      </c>
    </row>
    <row r="280" spans="2:40" ht="23.15" customHeight="1" thickBot="1">
      <c r="B280" s="87">
        <v>45918</v>
      </c>
      <c r="C280" s="2" t="s">
        <v>295</v>
      </c>
      <c r="D280" s="15" t="s">
        <v>13</v>
      </c>
      <c r="E280" s="20" t="s">
        <v>26</v>
      </c>
      <c r="F280" s="20" t="s">
        <v>41</v>
      </c>
      <c r="G280" s="11">
        <v>2</v>
      </c>
      <c r="H280" s="18">
        <v>2</v>
      </c>
      <c r="I280" s="18">
        <v>0</v>
      </c>
      <c r="J280" s="18">
        <v>0</v>
      </c>
      <c r="K280" s="19">
        <v>19081.830000000002</v>
      </c>
      <c r="L280" s="41">
        <v>0</v>
      </c>
      <c r="M280" s="41">
        <v>0</v>
      </c>
      <c r="N280" s="41">
        <v>0</v>
      </c>
      <c r="O280" s="41">
        <v>0</v>
      </c>
      <c r="P280" s="41">
        <v>0</v>
      </c>
      <c r="Q280" s="43">
        <v>0</v>
      </c>
      <c r="R280" s="43">
        <v>0</v>
      </c>
      <c r="S280" s="43">
        <v>0</v>
      </c>
      <c r="T280" s="43">
        <v>0</v>
      </c>
      <c r="U280" s="19" t="s">
        <v>295</v>
      </c>
      <c r="V280" s="13">
        <f t="shared" si="42"/>
        <v>19081.830000000002</v>
      </c>
      <c r="W280" s="13"/>
      <c r="X280" s="13"/>
      <c r="Y280" s="13"/>
      <c r="Z280" s="13"/>
      <c r="AA280" s="22">
        <v>45717</v>
      </c>
      <c r="AB280" s="22" cm="1">
        <f t="array" ref="AB2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80" s="4"/>
      <c r="AD280" s="4">
        <v>123.45466666666665</v>
      </c>
      <c r="AE280" s="2"/>
      <c r="AF280" s="3"/>
      <c r="AG280" s="3"/>
      <c r="AH280" s="3"/>
      <c r="AI280" s="3"/>
      <c r="AJ280" s="2">
        <f>IFERROR(L281-M280,0)</f>
        <v>0</v>
      </c>
      <c r="AK280" s="2">
        <f t="shared" si="45"/>
        <v>-123.45466666666665</v>
      </c>
      <c r="AL280" s="2">
        <f t="shared" si="41"/>
        <v>0</v>
      </c>
      <c r="AM280" s="88"/>
      <c r="AN280" s="157" t="s">
        <v>774</v>
      </c>
    </row>
    <row r="281" spans="2:40" ht="23.15" customHeight="1" thickBot="1">
      <c r="B281" s="87">
        <v>45918</v>
      </c>
      <c r="C281" s="2" t="s">
        <v>295</v>
      </c>
      <c r="D281" s="15" t="s">
        <v>13</v>
      </c>
      <c r="E281" s="20" t="s">
        <v>26</v>
      </c>
      <c r="F281" s="20" t="s">
        <v>41</v>
      </c>
      <c r="G281" s="11">
        <v>2</v>
      </c>
      <c r="H281" s="18">
        <v>2</v>
      </c>
      <c r="I281" s="18">
        <v>0</v>
      </c>
      <c r="J281" s="18">
        <v>0</v>
      </c>
      <c r="K281" s="19">
        <v>19081.830000000002</v>
      </c>
      <c r="L281" s="41">
        <v>0</v>
      </c>
      <c r="M281" s="41">
        <v>0</v>
      </c>
      <c r="N281" s="41">
        <v>0</v>
      </c>
      <c r="O281" s="43">
        <v>0</v>
      </c>
      <c r="P281" s="41">
        <v>0</v>
      </c>
      <c r="Q281" s="43">
        <v>0</v>
      </c>
      <c r="R281" s="43">
        <v>0</v>
      </c>
      <c r="S281" s="43">
        <v>0</v>
      </c>
      <c r="T281" s="43">
        <v>0</v>
      </c>
      <c r="U281" s="19" t="s">
        <v>295</v>
      </c>
      <c r="V281" s="13">
        <f t="shared" si="42"/>
        <v>19081.830000000002</v>
      </c>
      <c r="W281" s="13"/>
      <c r="X281" s="13"/>
      <c r="Y281" s="13">
        <v>3943.58</v>
      </c>
      <c r="Z281" s="13" t="s">
        <v>302</v>
      </c>
      <c r="AA281" s="22">
        <v>45748</v>
      </c>
      <c r="AB281" s="22" cm="1">
        <f t="array" ref="AB2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81" s="4"/>
      <c r="AD281" s="4"/>
      <c r="AE281" s="2"/>
      <c r="AF281" s="3"/>
      <c r="AG281" s="3"/>
      <c r="AH281" s="3"/>
      <c r="AI281" s="3"/>
      <c r="AJ281" s="2">
        <f>IFERROR(#REF!-M281,0)</f>
        <v>0</v>
      </c>
      <c r="AK281" s="2">
        <f t="shared" si="45"/>
        <v>0</v>
      </c>
      <c r="AL281" s="2">
        <f t="shared" si="41"/>
        <v>0</v>
      </c>
      <c r="AM281" s="88"/>
      <c r="AN281" s="157" t="s">
        <v>774</v>
      </c>
    </row>
    <row r="282" spans="2:40" ht="23.15" customHeight="1" thickBot="1">
      <c r="B282" s="87">
        <v>45838</v>
      </c>
      <c r="C282" s="2" t="s">
        <v>295</v>
      </c>
      <c r="D282" s="15" t="s">
        <v>13</v>
      </c>
      <c r="E282" s="20" t="s">
        <v>26</v>
      </c>
      <c r="F282" s="20" t="s">
        <v>41</v>
      </c>
      <c r="G282" s="11">
        <v>2</v>
      </c>
      <c r="H282" s="18">
        <v>2</v>
      </c>
      <c r="I282" s="18">
        <v>0</v>
      </c>
      <c r="J282" s="18">
        <v>0</v>
      </c>
      <c r="K282" s="19">
        <v>20366.435842043415</v>
      </c>
      <c r="L282" s="41">
        <v>0</v>
      </c>
      <c r="M282" s="41">
        <v>0</v>
      </c>
      <c r="N282" s="41">
        <v>0</v>
      </c>
      <c r="O282" s="41">
        <v>0</v>
      </c>
      <c r="P282" s="41">
        <v>0</v>
      </c>
      <c r="Q282" s="43">
        <v>0</v>
      </c>
      <c r="R282" s="43">
        <v>0</v>
      </c>
      <c r="S282" s="43">
        <v>0</v>
      </c>
      <c r="T282" s="43">
        <v>0</v>
      </c>
      <c r="U282" s="19" t="s">
        <v>295</v>
      </c>
      <c r="V282" s="13">
        <f t="shared" si="42"/>
        <v>20366.435842043415</v>
      </c>
      <c r="W282" s="13"/>
      <c r="X282" s="13"/>
      <c r="Y282" s="13"/>
      <c r="Z282" s="13"/>
      <c r="AA282" s="22">
        <v>45778</v>
      </c>
      <c r="AB282" s="22" cm="1">
        <f t="array" ref="AB2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82" s="4"/>
      <c r="AD282" s="4">
        <v>494.49862863933447</v>
      </c>
      <c r="AE282" s="2"/>
      <c r="AF282" s="3"/>
      <c r="AG282" s="3"/>
      <c r="AH282" s="3"/>
      <c r="AI282" s="3"/>
      <c r="AJ282" s="2">
        <f t="shared" ref="AJ282:AJ313" si="46">IFERROR(L282-M282,0)</f>
        <v>0</v>
      </c>
      <c r="AK282" s="2">
        <f t="shared" si="45"/>
        <v>-494.49862863933447</v>
      </c>
      <c r="AL282" s="2">
        <f t="shared" si="41"/>
        <v>0</v>
      </c>
      <c r="AM282" s="88"/>
      <c r="AN282" s="157" t="s">
        <v>774</v>
      </c>
    </row>
    <row r="283" spans="2:40" ht="23.15" customHeight="1" thickBot="1">
      <c r="B283" s="87">
        <v>45887</v>
      </c>
      <c r="C283" s="2" t="s">
        <v>295</v>
      </c>
      <c r="D283" s="15" t="s">
        <v>13</v>
      </c>
      <c r="E283" s="20" t="s">
        <v>26</v>
      </c>
      <c r="F283" s="20" t="s">
        <v>41</v>
      </c>
      <c r="G283" s="11">
        <v>2</v>
      </c>
      <c r="H283" s="11">
        <v>2</v>
      </c>
      <c r="I283" s="18">
        <v>0</v>
      </c>
      <c r="J283" s="18">
        <v>0</v>
      </c>
      <c r="K283" s="19">
        <v>20366.435842043415</v>
      </c>
      <c r="L283" s="41">
        <v>0</v>
      </c>
      <c r="M283" s="41">
        <v>0</v>
      </c>
      <c r="N283" s="41">
        <v>0</v>
      </c>
      <c r="O283" s="41">
        <v>0</v>
      </c>
      <c r="P283" s="41">
        <v>0</v>
      </c>
      <c r="Q283" s="43">
        <v>0</v>
      </c>
      <c r="R283" s="43">
        <v>0</v>
      </c>
      <c r="S283" s="43">
        <v>0</v>
      </c>
      <c r="T283" s="43">
        <v>0</v>
      </c>
      <c r="U283" s="19" t="s">
        <v>295</v>
      </c>
      <c r="V283" s="13">
        <f t="shared" si="42"/>
        <v>20366.435842043415</v>
      </c>
      <c r="W283" s="13"/>
      <c r="X283" s="13"/>
      <c r="Y283" s="13"/>
      <c r="Z283" s="13"/>
      <c r="AA283" s="22">
        <v>45809</v>
      </c>
      <c r="AB283" s="22" cm="1">
        <f t="array" ref="AB2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83" s="4">
        <v>541.75</v>
      </c>
      <c r="AD283" s="4">
        <v>596.70000000000005</v>
      </c>
      <c r="AE283" s="2"/>
      <c r="AF283" s="3"/>
      <c r="AG283" s="3"/>
      <c r="AH283" s="3"/>
      <c r="AI283" s="3"/>
      <c r="AJ283" s="2">
        <f t="shared" si="46"/>
        <v>0</v>
      </c>
      <c r="AK283" s="2">
        <f t="shared" si="45"/>
        <v>-54.950000000000045</v>
      </c>
      <c r="AL283" s="2">
        <f t="shared" si="41"/>
        <v>0</v>
      </c>
      <c r="AM283" s="88"/>
      <c r="AN283" s="157" t="s">
        <v>774</v>
      </c>
    </row>
    <row r="284" spans="2:40" ht="23.15" customHeight="1" thickBot="1">
      <c r="B284" s="87">
        <v>45894</v>
      </c>
      <c r="C284" s="2" t="s">
        <v>295</v>
      </c>
      <c r="D284" s="15" t="s">
        <v>13</v>
      </c>
      <c r="E284" s="20" t="s">
        <v>26</v>
      </c>
      <c r="F284" s="20" t="s">
        <v>41</v>
      </c>
      <c r="G284" s="11">
        <v>2</v>
      </c>
      <c r="H284" s="18">
        <v>2</v>
      </c>
      <c r="I284" s="18">
        <v>0</v>
      </c>
      <c r="J284" s="18">
        <v>0</v>
      </c>
      <c r="K284" s="19">
        <v>20366.435842043415</v>
      </c>
      <c r="L284" s="41">
        <v>0</v>
      </c>
      <c r="M284" s="41">
        <v>0</v>
      </c>
      <c r="N284" s="41">
        <v>0</v>
      </c>
      <c r="O284" s="41">
        <v>0</v>
      </c>
      <c r="P284" s="41">
        <v>0</v>
      </c>
      <c r="Q284" s="41">
        <v>0</v>
      </c>
      <c r="R284" s="41">
        <v>0</v>
      </c>
      <c r="S284" s="41">
        <v>0</v>
      </c>
      <c r="T284" s="41">
        <v>0</v>
      </c>
      <c r="U284" s="19" t="s">
        <v>295</v>
      </c>
      <c r="V284" s="13">
        <f t="shared" si="42"/>
        <v>20366.435842043415</v>
      </c>
      <c r="W284" s="13"/>
      <c r="X284" s="13"/>
      <c r="Y284" s="13"/>
      <c r="Z284" s="13"/>
      <c r="AA284" s="22">
        <v>45839</v>
      </c>
      <c r="AB284" s="22" cm="1">
        <f t="array" ref="AB2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84" s="4"/>
      <c r="AD284" s="4"/>
      <c r="AE284" s="2"/>
      <c r="AF284" s="3"/>
      <c r="AG284" s="3"/>
      <c r="AH284" s="3"/>
      <c r="AI284" s="3"/>
      <c r="AJ284" s="2">
        <f t="shared" si="46"/>
        <v>0</v>
      </c>
      <c r="AK284" s="2">
        <f t="shared" si="45"/>
        <v>0</v>
      </c>
      <c r="AL284" s="2">
        <f t="shared" si="41"/>
        <v>0</v>
      </c>
      <c r="AM284" s="88"/>
      <c r="AN284" s="157" t="s">
        <v>774</v>
      </c>
    </row>
    <row r="285" spans="2:40" ht="23.15" customHeight="1" thickBot="1">
      <c r="B285" s="87">
        <v>45904</v>
      </c>
      <c r="C285" s="2" t="s">
        <v>295</v>
      </c>
      <c r="D285" s="15" t="s">
        <v>13</v>
      </c>
      <c r="E285" s="20" t="s">
        <v>28</v>
      </c>
      <c r="F285" s="20" t="s">
        <v>65</v>
      </c>
      <c r="G285" s="11">
        <v>8</v>
      </c>
      <c r="H285" s="18">
        <v>8</v>
      </c>
      <c r="I285" s="18">
        <v>0</v>
      </c>
      <c r="J285" s="18">
        <v>0</v>
      </c>
      <c r="K285" s="13">
        <v>75172.25</v>
      </c>
      <c r="L285" s="41">
        <v>0</v>
      </c>
      <c r="M285" s="41">
        <v>0</v>
      </c>
      <c r="N285" s="41">
        <v>0</v>
      </c>
      <c r="O285" s="41">
        <v>0</v>
      </c>
      <c r="P285" s="41">
        <v>0</v>
      </c>
      <c r="Q285" s="41">
        <v>0</v>
      </c>
      <c r="R285" s="41">
        <v>0</v>
      </c>
      <c r="S285" s="41">
        <v>0</v>
      </c>
      <c r="T285" s="43">
        <v>0</v>
      </c>
      <c r="U285" s="19" t="s">
        <v>295</v>
      </c>
      <c r="V285" s="13">
        <f t="shared" ref="V285:V308" si="47">IFERROR((K285+M285+R285+S285+T285+O285)+IF(U285="Sim",P285+Q285,0),(K285+R285+S285+T285)+IF(U285="Sim",P285+Q285,0))</f>
        <v>75172.25</v>
      </c>
      <c r="W285" s="13"/>
      <c r="X285" s="13"/>
      <c r="Y285" s="13"/>
      <c r="Z285" s="13"/>
      <c r="AA285" s="22">
        <v>45870</v>
      </c>
      <c r="AB285" s="22" cm="1">
        <f t="array" ref="AB2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85" s="4"/>
      <c r="AD285" s="4"/>
      <c r="AE285" s="2"/>
      <c r="AF285" s="3"/>
      <c r="AG285" s="3"/>
      <c r="AH285" s="3"/>
      <c r="AI285" s="3"/>
      <c r="AJ285" s="2">
        <f t="shared" si="46"/>
        <v>0</v>
      </c>
      <c r="AK285" s="2">
        <f t="shared" si="45"/>
        <v>0</v>
      </c>
      <c r="AL285" s="2">
        <f t="shared" si="41"/>
        <v>0</v>
      </c>
      <c r="AM285" s="88"/>
      <c r="AN285" s="157" t="s">
        <v>774</v>
      </c>
    </row>
    <row r="286" spans="2:40" ht="23.15" customHeight="1" thickBot="1">
      <c r="B286" s="87">
        <v>45702</v>
      </c>
      <c r="C286" s="2" t="s">
        <v>295</v>
      </c>
      <c r="D286" s="15" t="s">
        <v>13</v>
      </c>
      <c r="E286" s="20" t="s">
        <v>32</v>
      </c>
      <c r="F286" s="20" t="s">
        <v>39</v>
      </c>
      <c r="G286" s="11">
        <v>4</v>
      </c>
      <c r="H286" s="18">
        <v>4</v>
      </c>
      <c r="I286" s="18">
        <v>0</v>
      </c>
      <c r="J286" s="18">
        <v>0</v>
      </c>
      <c r="K286" s="19">
        <v>31842.633089965886</v>
      </c>
      <c r="L286" s="41">
        <v>0</v>
      </c>
      <c r="M286" s="41">
        <v>0</v>
      </c>
      <c r="N286" s="41">
        <v>0</v>
      </c>
      <c r="O286" s="41">
        <v>0</v>
      </c>
      <c r="P286" s="41">
        <v>0</v>
      </c>
      <c r="Q286" s="41">
        <v>0</v>
      </c>
      <c r="R286" s="41">
        <v>0</v>
      </c>
      <c r="S286" s="41">
        <v>0</v>
      </c>
      <c r="T286" s="41">
        <v>0</v>
      </c>
      <c r="U286" s="19" t="s">
        <v>295</v>
      </c>
      <c r="V286" s="13">
        <f t="shared" si="47"/>
        <v>31842.633089965886</v>
      </c>
      <c r="W286" s="13"/>
      <c r="X286" s="13"/>
      <c r="Y286" s="13"/>
      <c r="Z286" s="13"/>
      <c r="AA286" s="22">
        <v>45658</v>
      </c>
      <c r="AB286" s="22" cm="1">
        <f t="array" ref="AB2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86" s="4"/>
      <c r="AD286" s="4"/>
      <c r="AE286" s="2"/>
      <c r="AF286" s="3"/>
      <c r="AG286" s="3"/>
      <c r="AH286" s="3"/>
      <c r="AI286" s="3"/>
      <c r="AJ286" s="2">
        <f t="shared" si="46"/>
        <v>0</v>
      </c>
      <c r="AK286" s="2">
        <f t="shared" si="45"/>
        <v>0</v>
      </c>
      <c r="AL286" s="2">
        <f t="shared" si="41"/>
        <v>0</v>
      </c>
      <c r="AM286" s="88"/>
      <c r="AN286" s="157" t="s">
        <v>774</v>
      </c>
    </row>
    <row r="287" spans="2:40" ht="23.15" customHeight="1" thickBot="1">
      <c r="B287" s="87"/>
      <c r="C287" s="2" t="s">
        <v>292</v>
      </c>
      <c r="D287" s="15" t="s">
        <v>13</v>
      </c>
      <c r="E287" s="20" t="s">
        <v>32</v>
      </c>
      <c r="F287" s="20" t="s">
        <v>39</v>
      </c>
      <c r="G287" s="11">
        <v>4</v>
      </c>
      <c r="H287" s="18">
        <v>4</v>
      </c>
      <c r="I287" s="18">
        <v>0</v>
      </c>
      <c r="J287" s="18">
        <v>0</v>
      </c>
      <c r="K287" s="249">
        <v>31842.633089965886</v>
      </c>
      <c r="L287" s="41">
        <v>0</v>
      </c>
      <c r="M287" s="41">
        <v>0</v>
      </c>
      <c r="N287" s="41">
        <v>0</v>
      </c>
      <c r="O287" s="41">
        <v>0</v>
      </c>
      <c r="P287" s="41">
        <v>0</v>
      </c>
      <c r="Q287" s="41">
        <v>0</v>
      </c>
      <c r="R287" s="41">
        <v>0</v>
      </c>
      <c r="S287" s="41">
        <v>0</v>
      </c>
      <c r="T287" s="41">
        <v>0</v>
      </c>
      <c r="U287" s="19"/>
      <c r="V287" s="13">
        <f t="shared" si="47"/>
        <v>31842.633089965886</v>
      </c>
      <c r="W287" s="13"/>
      <c r="X287" s="13"/>
      <c r="Y287" s="13"/>
      <c r="Z287" s="13"/>
      <c r="AA287" s="22">
        <v>45689</v>
      </c>
      <c r="AB287" s="22" cm="1">
        <f t="array" ref="AB2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87" s="4"/>
      <c r="AD287" s="4"/>
      <c r="AE287" s="2"/>
      <c r="AF287" s="3"/>
      <c r="AG287" s="3"/>
      <c r="AH287" s="3"/>
      <c r="AI287" s="3"/>
      <c r="AJ287" s="2">
        <f t="shared" si="46"/>
        <v>0</v>
      </c>
      <c r="AK287" s="2">
        <f t="shared" si="45"/>
        <v>0</v>
      </c>
      <c r="AL287" s="2">
        <f t="shared" si="41"/>
        <v>0</v>
      </c>
      <c r="AM287" s="88"/>
      <c r="AN287" s="157" t="s">
        <v>774</v>
      </c>
    </row>
    <row r="288" spans="2:40" ht="23.15" customHeight="1" thickBot="1">
      <c r="B288" s="87">
        <v>45792</v>
      </c>
      <c r="C288" s="2" t="s">
        <v>292</v>
      </c>
      <c r="D288" s="15" t="s">
        <v>13</v>
      </c>
      <c r="E288" s="20" t="s">
        <v>32</v>
      </c>
      <c r="F288" s="20" t="s">
        <v>39</v>
      </c>
      <c r="G288" s="11">
        <v>4</v>
      </c>
      <c r="H288" s="18">
        <v>4</v>
      </c>
      <c r="I288" s="18">
        <v>0</v>
      </c>
      <c r="J288" s="18">
        <v>0</v>
      </c>
      <c r="K288" s="19">
        <v>31842.633089965886</v>
      </c>
      <c r="L288" s="41">
        <v>0</v>
      </c>
      <c r="M288" s="41">
        <v>0</v>
      </c>
      <c r="N288" s="41">
        <v>0</v>
      </c>
      <c r="O288" s="41">
        <v>0</v>
      </c>
      <c r="P288" s="41">
        <v>0</v>
      </c>
      <c r="Q288" s="43">
        <v>0</v>
      </c>
      <c r="R288" s="43">
        <v>0</v>
      </c>
      <c r="S288" s="43">
        <v>0</v>
      </c>
      <c r="T288" s="43">
        <v>0</v>
      </c>
      <c r="U288" s="19"/>
      <c r="V288" s="13">
        <f t="shared" si="47"/>
        <v>31842.633089965886</v>
      </c>
      <c r="W288" s="13"/>
      <c r="X288" s="13"/>
      <c r="Y288" s="13"/>
      <c r="Z288" s="13"/>
      <c r="AA288" s="22">
        <v>45717</v>
      </c>
      <c r="AB288" s="22" cm="1">
        <f t="array" ref="AB2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88" s="4"/>
      <c r="AD288" s="4"/>
      <c r="AE288" s="2"/>
      <c r="AF288" s="3"/>
      <c r="AG288" s="3"/>
      <c r="AH288" s="3"/>
      <c r="AI288" s="3"/>
      <c r="AJ288" s="2">
        <f t="shared" si="46"/>
        <v>0</v>
      </c>
      <c r="AK288" s="2">
        <f t="shared" si="45"/>
        <v>0</v>
      </c>
      <c r="AL288" s="2">
        <f t="shared" si="41"/>
        <v>0</v>
      </c>
      <c r="AM288" s="88"/>
      <c r="AN288" s="157" t="s">
        <v>774</v>
      </c>
    </row>
    <row r="289" spans="2:40" ht="23.15" customHeight="1" thickBot="1">
      <c r="B289" s="87">
        <v>45702</v>
      </c>
      <c r="C289" s="2" t="s">
        <v>295</v>
      </c>
      <c r="D289" s="15" t="s">
        <v>13</v>
      </c>
      <c r="E289" s="20" t="s">
        <v>31</v>
      </c>
      <c r="F289" s="20" t="s">
        <v>39</v>
      </c>
      <c r="G289" s="11">
        <v>13</v>
      </c>
      <c r="H289" s="18">
        <v>13</v>
      </c>
      <c r="I289" s="18">
        <v>10</v>
      </c>
      <c r="J289" s="18">
        <v>0</v>
      </c>
      <c r="K289" s="19">
        <v>73566.796547701961</v>
      </c>
      <c r="L289" s="41">
        <v>0</v>
      </c>
      <c r="M289" s="41">
        <v>-1762.77</v>
      </c>
      <c r="N289" s="41">
        <v>0</v>
      </c>
      <c r="O289" s="41">
        <v>0</v>
      </c>
      <c r="P289" s="41">
        <v>0</v>
      </c>
      <c r="Q289" s="41">
        <v>0</v>
      </c>
      <c r="R289" s="41">
        <v>0</v>
      </c>
      <c r="S289" s="41">
        <v>0</v>
      </c>
      <c r="T289" s="41">
        <v>0</v>
      </c>
      <c r="U289" s="19" t="s">
        <v>295</v>
      </c>
      <c r="V289" s="13">
        <f t="shared" si="47"/>
        <v>71804.026547701957</v>
      </c>
      <c r="W289" s="13"/>
      <c r="X289" s="13"/>
      <c r="Y289" s="13"/>
      <c r="Z289" s="13"/>
      <c r="AA289" s="22">
        <v>45658</v>
      </c>
      <c r="AB289" s="22" cm="1">
        <f t="array" ref="AB2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89" s="4"/>
      <c r="AD289" s="4"/>
      <c r="AE289" s="2"/>
      <c r="AF289" s="3"/>
      <c r="AG289" s="3"/>
      <c r="AH289" s="3"/>
      <c r="AI289" s="3"/>
      <c r="AJ289" s="2">
        <f t="shared" si="46"/>
        <v>1762.77</v>
      </c>
      <c r="AK289" s="2">
        <f t="shared" si="45"/>
        <v>0</v>
      </c>
      <c r="AL289" s="2">
        <f t="shared" si="41"/>
        <v>1762.7700000000041</v>
      </c>
      <c r="AM289" s="88"/>
      <c r="AN289" s="157" t="s">
        <v>774</v>
      </c>
    </row>
    <row r="290" spans="2:40" ht="23.15" customHeight="1" thickBot="1">
      <c r="B290" s="87"/>
      <c r="C290" s="2" t="s">
        <v>295</v>
      </c>
      <c r="D290" s="15" t="s">
        <v>13</v>
      </c>
      <c r="E290" s="20" t="s">
        <v>31</v>
      </c>
      <c r="F290" s="20" t="s">
        <v>39</v>
      </c>
      <c r="G290" s="11">
        <v>13</v>
      </c>
      <c r="H290" s="11">
        <v>13</v>
      </c>
      <c r="I290" s="18">
        <v>0</v>
      </c>
      <c r="J290" s="18">
        <v>0</v>
      </c>
      <c r="K290" s="19">
        <v>73566.796547701961</v>
      </c>
      <c r="L290" s="41">
        <v>0</v>
      </c>
      <c r="M290" s="41">
        <v>0</v>
      </c>
      <c r="N290" s="41">
        <v>0</v>
      </c>
      <c r="O290" s="41">
        <v>0</v>
      </c>
      <c r="P290" s="41">
        <v>0</v>
      </c>
      <c r="Q290" s="41">
        <v>0</v>
      </c>
      <c r="R290" s="41">
        <v>0</v>
      </c>
      <c r="S290" s="41">
        <v>0</v>
      </c>
      <c r="T290" s="41">
        <v>0</v>
      </c>
      <c r="U290" s="19" t="s">
        <v>295</v>
      </c>
      <c r="V290" s="13">
        <f t="shared" si="47"/>
        <v>73566.796547701961</v>
      </c>
      <c r="W290" s="13"/>
      <c r="X290" s="13"/>
      <c r="Y290" s="13"/>
      <c r="Z290" s="13"/>
      <c r="AA290" s="22">
        <v>45689</v>
      </c>
      <c r="AB290" s="22" cm="1">
        <f t="array" ref="AB2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90" s="4"/>
      <c r="AD290" s="4"/>
      <c r="AE290" s="2"/>
      <c r="AF290" s="3"/>
      <c r="AG290" s="3"/>
      <c r="AH290" s="3"/>
      <c r="AI290" s="3"/>
      <c r="AJ290" s="2">
        <f t="shared" si="46"/>
        <v>0</v>
      </c>
      <c r="AK290" s="2">
        <f t="shared" si="45"/>
        <v>0</v>
      </c>
      <c r="AL290" s="2">
        <f t="shared" si="41"/>
        <v>0</v>
      </c>
      <c r="AM290" s="88"/>
      <c r="AN290" s="157" t="s">
        <v>774</v>
      </c>
    </row>
    <row r="291" spans="2:40" ht="23.15" customHeight="1" thickBot="1">
      <c r="B291" s="87">
        <v>45792</v>
      </c>
      <c r="C291" s="2" t="s">
        <v>295</v>
      </c>
      <c r="D291" s="15" t="s">
        <v>13</v>
      </c>
      <c r="E291" s="20" t="s">
        <v>31</v>
      </c>
      <c r="F291" s="20" t="s">
        <v>39</v>
      </c>
      <c r="G291" s="11">
        <v>13</v>
      </c>
      <c r="H291" s="11">
        <v>13</v>
      </c>
      <c r="I291" s="18">
        <v>0</v>
      </c>
      <c r="J291" s="18">
        <v>0</v>
      </c>
      <c r="K291" s="19">
        <v>73566.796547701961</v>
      </c>
      <c r="L291" s="41">
        <v>0</v>
      </c>
      <c r="M291" s="41">
        <v>0</v>
      </c>
      <c r="N291" s="41">
        <v>0</v>
      </c>
      <c r="O291" s="41">
        <v>0</v>
      </c>
      <c r="P291" s="41">
        <v>-735.67</v>
      </c>
      <c r="Q291" s="43">
        <v>-1471.34</v>
      </c>
      <c r="R291" s="43">
        <v>0</v>
      </c>
      <c r="S291" s="43">
        <v>0</v>
      </c>
      <c r="T291" s="43">
        <v>0</v>
      </c>
      <c r="U291" s="19" t="s">
        <v>295</v>
      </c>
      <c r="V291" s="13">
        <f t="shared" si="47"/>
        <v>71359.786547701966</v>
      </c>
      <c r="W291" s="13"/>
      <c r="X291" s="13"/>
      <c r="Y291" s="13"/>
      <c r="Z291" s="13"/>
      <c r="AA291" s="22">
        <v>45717</v>
      </c>
      <c r="AB291" s="22" cm="1">
        <f t="array" ref="AB2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91" s="4"/>
      <c r="AD291" s="4"/>
      <c r="AE291" s="2"/>
      <c r="AF291" s="3"/>
      <c r="AG291" s="3"/>
      <c r="AH291" s="3"/>
      <c r="AI291" s="3"/>
      <c r="AJ291" s="2">
        <f t="shared" si="46"/>
        <v>0</v>
      </c>
      <c r="AK291" s="2">
        <f t="shared" si="45"/>
        <v>0</v>
      </c>
      <c r="AL291" s="2">
        <f t="shared" si="41"/>
        <v>2207.0099999999948</v>
      </c>
      <c r="AM291" s="88"/>
      <c r="AN291" s="157" t="s">
        <v>774</v>
      </c>
    </row>
    <row r="292" spans="2:40" ht="23.15" customHeight="1" thickBot="1">
      <c r="B292" s="87">
        <v>45791</v>
      </c>
      <c r="C292" s="2" t="s">
        <v>295</v>
      </c>
      <c r="D292" s="15" t="s">
        <v>13</v>
      </c>
      <c r="E292" s="20" t="s">
        <v>31</v>
      </c>
      <c r="F292" s="20" t="s">
        <v>39</v>
      </c>
      <c r="G292" s="11">
        <v>13</v>
      </c>
      <c r="H292" s="11">
        <v>13</v>
      </c>
      <c r="I292" s="295">
        <v>16</v>
      </c>
      <c r="J292" s="295">
        <v>0</v>
      </c>
      <c r="K292" s="19">
        <v>73566.796547701961</v>
      </c>
      <c r="L292" s="41">
        <v>0</v>
      </c>
      <c r="M292" s="41">
        <v>-3026.56</v>
      </c>
      <c r="N292" s="41">
        <v>0</v>
      </c>
      <c r="O292" s="41">
        <v>0</v>
      </c>
      <c r="P292" s="296">
        <v>-735.67</v>
      </c>
      <c r="Q292" s="41">
        <v>0</v>
      </c>
      <c r="R292" s="41">
        <v>0</v>
      </c>
      <c r="S292" s="41">
        <v>0</v>
      </c>
      <c r="T292" s="41">
        <v>0</v>
      </c>
      <c r="U292" s="19" t="s">
        <v>295</v>
      </c>
      <c r="V292" s="13">
        <f t="shared" si="47"/>
        <v>69804.566547701965</v>
      </c>
      <c r="W292" s="13"/>
      <c r="X292" s="13"/>
      <c r="Y292" s="13"/>
      <c r="Z292" s="13"/>
      <c r="AA292" s="22">
        <v>45748</v>
      </c>
      <c r="AB292" s="22" cm="1">
        <f t="array" ref="AB2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92" s="4"/>
      <c r="AD292" s="4"/>
      <c r="AE292" s="2"/>
      <c r="AF292" s="3"/>
      <c r="AG292" s="3"/>
      <c r="AH292" s="3"/>
      <c r="AI292" s="3"/>
      <c r="AJ292" s="2">
        <f t="shared" si="46"/>
        <v>3026.56</v>
      </c>
      <c r="AK292" s="2">
        <f t="shared" si="45"/>
        <v>0</v>
      </c>
      <c r="AL292" s="2">
        <f t="shared" si="41"/>
        <v>3762.2299999999959</v>
      </c>
      <c r="AM292" s="88"/>
      <c r="AN292" s="157" t="s">
        <v>774</v>
      </c>
    </row>
    <row r="293" spans="2:40" ht="23.15" customHeight="1" thickBot="1">
      <c r="B293" s="87">
        <v>45824</v>
      </c>
      <c r="C293" s="2" t="s">
        <v>295</v>
      </c>
      <c r="D293" s="15" t="s">
        <v>13</v>
      </c>
      <c r="E293" s="20" t="s">
        <v>31</v>
      </c>
      <c r="F293" s="20" t="s">
        <v>39</v>
      </c>
      <c r="G293" s="11">
        <v>13</v>
      </c>
      <c r="H293" s="18">
        <v>13</v>
      </c>
      <c r="I293" s="295">
        <v>0</v>
      </c>
      <c r="J293" s="295">
        <v>86.8</v>
      </c>
      <c r="K293" s="19">
        <v>73566.796547701961</v>
      </c>
      <c r="L293" s="41">
        <v>0</v>
      </c>
      <c r="M293" s="41">
        <v>0</v>
      </c>
      <c r="N293" s="41">
        <v>0</v>
      </c>
      <c r="O293" s="41">
        <f>-2060.93</f>
        <v>-2060.9299999999998</v>
      </c>
      <c r="P293" s="296">
        <v>-735.67</v>
      </c>
      <c r="Q293" s="43">
        <v>0</v>
      </c>
      <c r="R293" s="43">
        <v>0</v>
      </c>
      <c r="S293" s="43">
        <v>0</v>
      </c>
      <c r="T293" s="43">
        <v>0</v>
      </c>
      <c r="U293" s="19" t="s">
        <v>295</v>
      </c>
      <c r="V293" s="13">
        <f t="shared" si="47"/>
        <v>70770.196547701969</v>
      </c>
      <c r="W293" s="13"/>
      <c r="X293" s="13"/>
      <c r="Y293" s="13"/>
      <c r="Z293" s="13"/>
      <c r="AA293" s="22">
        <v>45778</v>
      </c>
      <c r="AB293" s="22" cm="1">
        <f t="array" ref="AB2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93" s="4">
        <v>10441.726110856365</v>
      </c>
      <c r="AD293" s="4">
        <v>10441.726110856365</v>
      </c>
      <c r="AE293" s="2"/>
      <c r="AF293" s="3"/>
      <c r="AG293" s="3"/>
      <c r="AH293" s="3"/>
      <c r="AI293" s="3"/>
      <c r="AJ293" s="2">
        <f t="shared" si="46"/>
        <v>0</v>
      </c>
      <c r="AK293" s="2">
        <f t="shared" si="45"/>
        <v>0</v>
      </c>
      <c r="AL293" s="2">
        <f t="shared" si="41"/>
        <v>2796.5999999999913</v>
      </c>
      <c r="AM293" s="88"/>
      <c r="AN293" s="157" t="s">
        <v>774</v>
      </c>
    </row>
    <row r="294" spans="2:40" ht="23.15" customHeight="1" thickBot="1">
      <c r="B294" s="87"/>
      <c r="C294" s="2" t="s">
        <v>292</v>
      </c>
      <c r="D294" s="15" t="s">
        <v>13</v>
      </c>
      <c r="E294" s="20" t="s">
        <v>28</v>
      </c>
      <c r="F294" s="20" t="s">
        <v>65</v>
      </c>
      <c r="G294" s="11">
        <v>8</v>
      </c>
      <c r="H294" s="18">
        <v>8</v>
      </c>
      <c r="I294" s="18">
        <v>0</v>
      </c>
      <c r="J294" s="18">
        <v>0</v>
      </c>
      <c r="K294" s="13">
        <v>71950.429999999993</v>
      </c>
      <c r="L294" s="41">
        <v>0</v>
      </c>
      <c r="M294" s="41">
        <v>0</v>
      </c>
      <c r="N294" s="41">
        <v>0</v>
      </c>
      <c r="O294" s="43">
        <v>0</v>
      </c>
      <c r="P294" s="41">
        <v>0</v>
      </c>
      <c r="Q294" s="43">
        <v>0</v>
      </c>
      <c r="R294" s="43">
        <v>0</v>
      </c>
      <c r="S294" s="43">
        <v>0</v>
      </c>
      <c r="T294" s="43">
        <v>0</v>
      </c>
      <c r="U294" s="19" t="s">
        <v>295</v>
      </c>
      <c r="V294" s="13">
        <f t="shared" si="47"/>
        <v>71950.429999999993</v>
      </c>
      <c r="W294" s="13"/>
      <c r="X294" s="13"/>
      <c r="Y294" s="13"/>
      <c r="Z294" s="13"/>
      <c r="AA294" s="22">
        <v>45658</v>
      </c>
      <c r="AB294" s="22" cm="1">
        <f t="array" ref="AB2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294" s="4"/>
      <c r="AD294" s="4"/>
      <c r="AE294" s="2"/>
      <c r="AF294" s="3"/>
      <c r="AG294" s="3"/>
      <c r="AH294" s="3"/>
      <c r="AI294" s="3"/>
      <c r="AJ294" s="2">
        <f t="shared" si="46"/>
        <v>0</v>
      </c>
      <c r="AK294" s="2">
        <f t="shared" si="45"/>
        <v>0</v>
      </c>
      <c r="AL294" s="2">
        <f t="shared" si="41"/>
        <v>0</v>
      </c>
      <c r="AM294" s="88"/>
      <c r="AN294" s="157" t="s">
        <v>774</v>
      </c>
    </row>
    <row r="295" spans="2:40" ht="23.15" customHeight="1" thickBot="1">
      <c r="B295" s="87">
        <v>45840</v>
      </c>
      <c r="C295" s="2" t="s">
        <v>295</v>
      </c>
      <c r="D295" s="15" t="s">
        <v>13</v>
      </c>
      <c r="E295" s="20" t="s">
        <v>31</v>
      </c>
      <c r="F295" s="20" t="s">
        <v>39</v>
      </c>
      <c r="G295" s="11">
        <v>13</v>
      </c>
      <c r="H295" s="18">
        <v>13</v>
      </c>
      <c r="I295" s="295">
        <v>5</v>
      </c>
      <c r="J295" s="295">
        <v>5.87</v>
      </c>
      <c r="K295" s="19">
        <v>73566.796547701961</v>
      </c>
      <c r="L295" s="41">
        <v>0</v>
      </c>
      <c r="M295" s="41">
        <v>-915.98</v>
      </c>
      <c r="N295" s="41">
        <v>0</v>
      </c>
      <c r="O295" s="41">
        <v>-147.261333333333</v>
      </c>
      <c r="P295" s="296">
        <v>-1471.34</v>
      </c>
      <c r="Q295" s="41">
        <v>0</v>
      </c>
      <c r="R295" s="41">
        <v>0</v>
      </c>
      <c r="S295" s="41">
        <v>0</v>
      </c>
      <c r="T295" s="41">
        <v>0</v>
      </c>
      <c r="U295" s="19" t="s">
        <v>295</v>
      </c>
      <c r="V295" s="13">
        <f t="shared" si="47"/>
        <v>71032.21521436864</v>
      </c>
      <c r="W295" s="13"/>
      <c r="X295" s="13"/>
      <c r="Y295" s="13"/>
      <c r="Z295" s="13"/>
      <c r="AA295" s="22">
        <v>45809</v>
      </c>
      <c r="AB295" s="22" cm="1">
        <f t="array" ref="AB2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95" s="4"/>
      <c r="AD295" s="4"/>
      <c r="AE295" s="2"/>
      <c r="AF295" s="3"/>
      <c r="AG295" s="3"/>
      <c r="AH295" s="3"/>
      <c r="AI295" s="3"/>
      <c r="AJ295" s="2">
        <f t="shared" si="46"/>
        <v>915.98</v>
      </c>
      <c r="AK295" s="2">
        <f t="shared" si="45"/>
        <v>0</v>
      </c>
      <c r="AL295" s="2">
        <f t="shared" si="41"/>
        <v>2534.5813333333208</v>
      </c>
      <c r="AM295" s="88"/>
      <c r="AN295" s="157" t="s">
        <v>774</v>
      </c>
    </row>
    <row r="296" spans="2:40" ht="23.15" customHeight="1" thickBot="1">
      <c r="B296" s="87">
        <v>45887</v>
      </c>
      <c r="C296" s="2" t="s">
        <v>295</v>
      </c>
      <c r="D296" s="15" t="s">
        <v>13</v>
      </c>
      <c r="E296" s="20" t="s">
        <v>31</v>
      </c>
      <c r="F296" s="20" t="s">
        <v>39</v>
      </c>
      <c r="G296" s="11">
        <v>13</v>
      </c>
      <c r="H296" s="18">
        <v>13</v>
      </c>
      <c r="I296" s="295">
        <v>9</v>
      </c>
      <c r="J296" s="295">
        <v>0</v>
      </c>
      <c r="K296" s="19">
        <v>73566.796547701961</v>
      </c>
      <c r="L296" s="41">
        <v>0</v>
      </c>
      <c r="M296" s="41">
        <v>-1557.18</v>
      </c>
      <c r="N296" s="41">
        <v>0</v>
      </c>
      <c r="O296" s="41">
        <v>0</v>
      </c>
      <c r="P296" s="296">
        <v>-1471.336</v>
      </c>
      <c r="Q296" s="41">
        <v>0</v>
      </c>
      <c r="R296" s="41">
        <v>0</v>
      </c>
      <c r="S296" s="41">
        <v>0</v>
      </c>
      <c r="T296" s="41">
        <v>0</v>
      </c>
      <c r="U296" s="19" t="s">
        <v>295</v>
      </c>
      <c r="V296" s="13">
        <f t="shared" si="47"/>
        <v>70538.280547701972</v>
      </c>
      <c r="W296" s="13"/>
      <c r="X296" s="13"/>
      <c r="Y296" s="13"/>
      <c r="Z296" s="13"/>
      <c r="AA296" s="22">
        <v>45839</v>
      </c>
      <c r="AB296" s="22" cm="1">
        <f t="array" ref="AB2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96" s="4"/>
      <c r="AD296" s="4"/>
      <c r="AE296" s="2"/>
      <c r="AF296" s="3"/>
      <c r="AG296" s="3"/>
      <c r="AH296" s="3"/>
      <c r="AI296" s="3"/>
      <c r="AJ296" s="2">
        <f t="shared" si="46"/>
        <v>1557.18</v>
      </c>
      <c r="AK296" s="2">
        <f t="shared" si="45"/>
        <v>0</v>
      </c>
      <c r="AL296" s="2">
        <f t="shared" si="41"/>
        <v>3028.5159999999887</v>
      </c>
      <c r="AM296" s="88"/>
      <c r="AN296" s="157" t="s">
        <v>774</v>
      </c>
    </row>
    <row r="297" spans="2:40" ht="23.15" customHeight="1" thickBot="1">
      <c r="B297" s="87"/>
      <c r="C297" s="2" t="s">
        <v>292</v>
      </c>
      <c r="D297" s="15" t="s">
        <v>13</v>
      </c>
      <c r="E297" s="20" t="s">
        <v>28</v>
      </c>
      <c r="F297" s="20" t="s">
        <v>65</v>
      </c>
      <c r="G297" s="11">
        <v>8</v>
      </c>
      <c r="H297" s="18">
        <v>8</v>
      </c>
      <c r="I297" s="18">
        <v>0</v>
      </c>
      <c r="J297" s="18">
        <v>0</v>
      </c>
      <c r="K297" s="13">
        <v>75172.25</v>
      </c>
      <c r="L297" s="41">
        <v>0</v>
      </c>
      <c r="M297" s="41">
        <v>0</v>
      </c>
      <c r="N297" s="41">
        <v>0</v>
      </c>
      <c r="O297" s="43">
        <v>0</v>
      </c>
      <c r="P297" s="41">
        <v>0</v>
      </c>
      <c r="Q297" s="43">
        <v>0</v>
      </c>
      <c r="R297" s="43">
        <v>0</v>
      </c>
      <c r="S297" s="43">
        <v>0</v>
      </c>
      <c r="T297" s="43">
        <v>0</v>
      </c>
      <c r="U297" s="19" t="s">
        <v>295</v>
      </c>
      <c r="V297" s="13">
        <f t="shared" si="47"/>
        <v>75172.25</v>
      </c>
      <c r="W297" s="13"/>
      <c r="X297" s="13"/>
      <c r="Y297" s="13"/>
      <c r="Z297" s="13"/>
      <c r="AA297" s="22">
        <v>45901</v>
      </c>
      <c r="AB297" s="22" cm="1">
        <f t="array" ref="AB2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97" s="4"/>
      <c r="AD297" s="4"/>
      <c r="AE297" s="2"/>
      <c r="AF297" s="3"/>
      <c r="AG297" s="3"/>
      <c r="AH297" s="3"/>
      <c r="AI297" s="3"/>
      <c r="AJ297" s="2">
        <f t="shared" si="46"/>
        <v>0</v>
      </c>
      <c r="AK297" s="2">
        <f t="shared" si="45"/>
        <v>0</v>
      </c>
      <c r="AL297" s="2">
        <f t="shared" si="41"/>
        <v>0</v>
      </c>
      <c r="AM297" s="88"/>
      <c r="AN297" s="157" t="s">
        <v>774</v>
      </c>
    </row>
    <row r="298" spans="2:40" ht="23.15" customHeight="1" thickBot="1">
      <c r="B298" s="87">
        <v>45937</v>
      </c>
      <c r="C298" s="2" t="s">
        <v>295</v>
      </c>
      <c r="D298" s="15" t="s">
        <v>13</v>
      </c>
      <c r="E298" s="20" t="s">
        <v>28</v>
      </c>
      <c r="F298" s="20" t="s">
        <v>65</v>
      </c>
      <c r="G298" s="11">
        <v>8</v>
      </c>
      <c r="H298" s="11">
        <v>8</v>
      </c>
      <c r="I298" s="18">
        <v>0</v>
      </c>
      <c r="J298" s="18">
        <v>0</v>
      </c>
      <c r="K298" s="13">
        <v>75172.25</v>
      </c>
      <c r="L298" s="41">
        <v>0</v>
      </c>
      <c r="M298" s="41">
        <v>0</v>
      </c>
      <c r="N298" s="41">
        <v>0</v>
      </c>
      <c r="O298" s="41">
        <v>0</v>
      </c>
      <c r="P298" s="41">
        <v>0</v>
      </c>
      <c r="Q298" s="43">
        <v>0</v>
      </c>
      <c r="R298" s="43">
        <v>0</v>
      </c>
      <c r="S298" s="43">
        <v>0</v>
      </c>
      <c r="T298" s="43">
        <v>0</v>
      </c>
      <c r="U298" s="19" t="s">
        <v>295</v>
      </c>
      <c r="V298" s="13">
        <f t="shared" si="47"/>
        <v>75172.25</v>
      </c>
      <c r="W298" s="13"/>
      <c r="X298" s="13"/>
      <c r="Y298" s="13"/>
      <c r="Z298" s="13"/>
      <c r="AA298" s="22">
        <v>45931</v>
      </c>
      <c r="AB298" s="22" cm="1">
        <f t="array" ref="AB2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98" s="4"/>
      <c r="AD298" s="4"/>
      <c r="AE298" s="2"/>
      <c r="AF298" s="3"/>
      <c r="AG298" s="3"/>
      <c r="AH298" s="3"/>
      <c r="AI298" s="3"/>
      <c r="AJ298" s="2">
        <f t="shared" si="46"/>
        <v>0</v>
      </c>
      <c r="AK298" s="2">
        <f t="shared" si="45"/>
        <v>0</v>
      </c>
      <c r="AL298" s="2">
        <f t="shared" si="41"/>
        <v>0</v>
      </c>
      <c r="AM298" s="88"/>
      <c r="AN298" s="157" t="s">
        <v>774</v>
      </c>
    </row>
    <row r="299" spans="2:40" ht="23.15" customHeight="1" thickBot="1">
      <c r="B299" s="87">
        <v>45791</v>
      </c>
      <c r="C299" s="2" t="s">
        <v>295</v>
      </c>
      <c r="D299" s="15" t="s">
        <v>13</v>
      </c>
      <c r="E299" s="20" t="s">
        <v>32</v>
      </c>
      <c r="F299" s="20" t="s">
        <v>39</v>
      </c>
      <c r="G299" s="11">
        <v>4</v>
      </c>
      <c r="H299" s="11">
        <v>4</v>
      </c>
      <c r="I299" s="11">
        <v>0</v>
      </c>
      <c r="J299" s="11">
        <v>0</v>
      </c>
      <c r="K299" s="19">
        <v>31842.633089965886</v>
      </c>
      <c r="L299" s="41">
        <v>0</v>
      </c>
      <c r="M299" s="41">
        <v>0</v>
      </c>
      <c r="N299" s="41">
        <v>0</v>
      </c>
      <c r="O299" s="41">
        <v>0</v>
      </c>
      <c r="P299" s="41">
        <v>0</v>
      </c>
      <c r="Q299" s="41">
        <v>0</v>
      </c>
      <c r="R299" s="41">
        <v>0</v>
      </c>
      <c r="S299" s="41">
        <v>0</v>
      </c>
      <c r="T299" s="41">
        <v>0</v>
      </c>
      <c r="U299" s="19"/>
      <c r="V299" s="13">
        <f t="shared" si="47"/>
        <v>31842.633089965886</v>
      </c>
      <c r="W299" s="13"/>
      <c r="X299" s="13"/>
      <c r="Y299" s="13"/>
      <c r="Z299" s="13"/>
      <c r="AA299" s="22">
        <v>45748</v>
      </c>
      <c r="AB299" s="22" cm="1">
        <f t="array" ref="AB2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99" s="4"/>
      <c r="AD299" s="4"/>
      <c r="AE299" s="2"/>
      <c r="AF299" s="3"/>
      <c r="AG299" s="3"/>
      <c r="AH299" s="3"/>
      <c r="AI299" s="3"/>
      <c r="AJ299" s="2">
        <f t="shared" si="46"/>
        <v>0</v>
      </c>
      <c r="AK299" s="2">
        <f t="shared" si="45"/>
        <v>0</v>
      </c>
      <c r="AL299" s="2">
        <f t="shared" si="41"/>
        <v>0</v>
      </c>
      <c r="AM299" s="88"/>
      <c r="AN299" s="157" t="s">
        <v>774</v>
      </c>
    </row>
    <row r="300" spans="2:40" ht="23.15" customHeight="1" thickBot="1">
      <c r="B300" s="87"/>
      <c r="C300" s="2" t="s">
        <v>292</v>
      </c>
      <c r="D300" s="15" t="s">
        <v>13</v>
      </c>
      <c r="E300" s="20" t="s">
        <v>32</v>
      </c>
      <c r="F300" s="20" t="s">
        <v>39</v>
      </c>
      <c r="G300" s="11">
        <v>4</v>
      </c>
      <c r="H300" s="11">
        <v>4</v>
      </c>
      <c r="I300" s="11">
        <v>0</v>
      </c>
      <c r="J300" s="11">
        <v>0</v>
      </c>
      <c r="K300" s="19">
        <v>31842.633089965886</v>
      </c>
      <c r="L300" s="41">
        <v>0</v>
      </c>
      <c r="M300" s="41">
        <v>0</v>
      </c>
      <c r="N300" s="41">
        <v>0</v>
      </c>
      <c r="O300" s="41">
        <v>0</v>
      </c>
      <c r="P300" s="41">
        <v>0</v>
      </c>
      <c r="Q300" s="41">
        <v>0</v>
      </c>
      <c r="R300" s="41">
        <v>0</v>
      </c>
      <c r="S300" s="41">
        <v>0</v>
      </c>
      <c r="T300" s="41">
        <v>0</v>
      </c>
      <c r="U300" s="19" t="s">
        <v>292</v>
      </c>
      <c r="V300" s="13">
        <f t="shared" si="47"/>
        <v>31842.633089965886</v>
      </c>
      <c r="W300" s="13"/>
      <c r="X300" s="13"/>
      <c r="Y300" s="13"/>
      <c r="Z300" s="13"/>
      <c r="AA300" s="22">
        <v>45778</v>
      </c>
      <c r="AB300" s="22" cm="1">
        <f t="array" ref="AB3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00" s="4"/>
      <c r="AD300" s="4"/>
      <c r="AE300" s="2"/>
      <c r="AF300" s="3"/>
      <c r="AG300" s="3"/>
      <c r="AH300" s="3"/>
      <c r="AI300" s="3"/>
      <c r="AJ300" s="2">
        <f t="shared" si="46"/>
        <v>0</v>
      </c>
      <c r="AK300" s="2">
        <f t="shared" si="45"/>
        <v>0</v>
      </c>
      <c r="AL300" s="2">
        <f t="shared" si="41"/>
        <v>0</v>
      </c>
      <c r="AM300" s="88"/>
      <c r="AN300" s="157" t="s">
        <v>774</v>
      </c>
    </row>
    <row r="301" spans="2:40" ht="23.15" customHeight="1" thickBot="1">
      <c r="B301" s="87">
        <v>45840</v>
      </c>
      <c r="C301" s="2" t="s">
        <v>295</v>
      </c>
      <c r="D301" s="15" t="s">
        <v>13</v>
      </c>
      <c r="E301" s="20" t="s">
        <v>32</v>
      </c>
      <c r="F301" s="20" t="s">
        <v>39</v>
      </c>
      <c r="G301" s="11">
        <v>4</v>
      </c>
      <c r="H301" s="11">
        <v>4</v>
      </c>
      <c r="I301" s="11">
        <v>1</v>
      </c>
      <c r="J301" s="11">
        <v>0</v>
      </c>
      <c r="K301" s="19">
        <v>31842.633089965886</v>
      </c>
      <c r="L301" s="41">
        <v>0</v>
      </c>
      <c r="M301" s="41">
        <f>-255.01</f>
        <v>-255.01</v>
      </c>
      <c r="N301" s="41">
        <v>0</v>
      </c>
      <c r="O301" s="41">
        <v>0</v>
      </c>
      <c r="P301" s="41">
        <v>-159.21</v>
      </c>
      <c r="Q301" s="43">
        <v>0</v>
      </c>
      <c r="R301" s="43">
        <v>0</v>
      </c>
      <c r="S301" s="43">
        <v>0</v>
      </c>
      <c r="T301" s="43">
        <v>0</v>
      </c>
      <c r="U301" s="19" t="s">
        <v>295</v>
      </c>
      <c r="V301" s="13">
        <f t="shared" si="47"/>
        <v>31428.413089965889</v>
      </c>
      <c r="W301" s="13"/>
      <c r="X301" s="13"/>
      <c r="Y301" s="13"/>
      <c r="Z301" s="13"/>
      <c r="AA301" s="22">
        <v>45809</v>
      </c>
      <c r="AB301" s="22" cm="1">
        <f t="array" ref="AB3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01" s="4"/>
      <c r="AD301" s="4"/>
      <c r="AE301" s="2"/>
      <c r="AF301" s="3"/>
      <c r="AG301" s="3"/>
      <c r="AH301" s="3"/>
      <c r="AI301" s="3"/>
      <c r="AJ301" s="2">
        <f t="shared" si="46"/>
        <v>255.01</v>
      </c>
      <c r="AK301" s="2">
        <f t="shared" si="45"/>
        <v>0</v>
      </c>
      <c r="AL301" s="2">
        <f t="shared" si="41"/>
        <v>414.21999999999753</v>
      </c>
      <c r="AM301" s="88"/>
      <c r="AN301" s="157" t="s">
        <v>774</v>
      </c>
    </row>
    <row r="302" spans="2:40" ht="23.15" customHeight="1" thickBot="1">
      <c r="B302" s="87">
        <v>45887</v>
      </c>
      <c r="C302" s="2" t="s">
        <v>295</v>
      </c>
      <c r="D302" s="15" t="s">
        <v>13</v>
      </c>
      <c r="E302" s="20" t="s">
        <v>32</v>
      </c>
      <c r="F302" s="20" t="s">
        <v>39</v>
      </c>
      <c r="G302" s="11">
        <v>4</v>
      </c>
      <c r="H302" s="18">
        <v>4</v>
      </c>
      <c r="I302" s="18">
        <v>0</v>
      </c>
      <c r="J302" s="18">
        <v>0</v>
      </c>
      <c r="K302" s="19">
        <v>31842.633089965886</v>
      </c>
      <c r="L302" s="41">
        <v>0</v>
      </c>
      <c r="M302" s="41">
        <v>0</v>
      </c>
      <c r="N302" s="41">
        <v>0</v>
      </c>
      <c r="O302" s="41">
        <v>0</v>
      </c>
      <c r="P302" s="41">
        <v>-159.21</v>
      </c>
      <c r="Q302" s="41">
        <v>0</v>
      </c>
      <c r="R302" s="41">
        <v>0</v>
      </c>
      <c r="S302" s="41">
        <v>0</v>
      </c>
      <c r="T302" s="41">
        <v>0</v>
      </c>
      <c r="U302" s="19" t="s">
        <v>295</v>
      </c>
      <c r="V302" s="13">
        <f t="shared" si="47"/>
        <v>31683.423089965887</v>
      </c>
      <c r="W302" s="13"/>
      <c r="X302" s="13"/>
      <c r="Y302" s="13"/>
      <c r="Z302" s="13"/>
      <c r="AA302" s="22">
        <v>45839</v>
      </c>
      <c r="AB302" s="22" cm="1">
        <f t="array" ref="AB3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02" s="4"/>
      <c r="AD302" s="4"/>
      <c r="AE302" s="2"/>
      <c r="AF302" s="3"/>
      <c r="AG302" s="3"/>
      <c r="AH302" s="3"/>
      <c r="AI302" s="3"/>
      <c r="AJ302" s="2">
        <f t="shared" si="46"/>
        <v>0</v>
      </c>
      <c r="AK302" s="2">
        <f t="shared" si="45"/>
        <v>0</v>
      </c>
      <c r="AL302" s="2">
        <f t="shared" si="41"/>
        <v>159.20999999999913</v>
      </c>
      <c r="AM302" s="88"/>
      <c r="AN302" s="157" t="s">
        <v>774</v>
      </c>
    </row>
    <row r="303" spans="2:40" ht="23.15" customHeight="1" thickBot="1">
      <c r="B303" s="87"/>
      <c r="C303" s="2" t="s">
        <v>292</v>
      </c>
      <c r="D303" s="15" t="s">
        <v>13</v>
      </c>
      <c r="E303" s="20" t="s">
        <v>28</v>
      </c>
      <c r="F303" s="20" t="s">
        <v>65</v>
      </c>
      <c r="G303" s="11">
        <v>8</v>
      </c>
      <c r="H303" s="18">
        <v>8</v>
      </c>
      <c r="I303" s="11">
        <v>0</v>
      </c>
      <c r="J303" s="18">
        <v>0</v>
      </c>
      <c r="K303" s="13">
        <v>75172.25</v>
      </c>
      <c r="L303" s="41">
        <v>0</v>
      </c>
      <c r="M303" s="41">
        <v>0</v>
      </c>
      <c r="N303" s="41">
        <v>0</v>
      </c>
      <c r="O303" s="41">
        <v>0</v>
      </c>
      <c r="P303" s="41">
        <v>0</v>
      </c>
      <c r="Q303" s="41">
        <v>0</v>
      </c>
      <c r="R303" s="41">
        <v>0</v>
      </c>
      <c r="S303" s="41">
        <v>0</v>
      </c>
      <c r="T303" s="41">
        <v>0</v>
      </c>
      <c r="U303" s="19" t="s">
        <v>295</v>
      </c>
      <c r="V303" s="13">
        <f t="shared" si="47"/>
        <v>75172.25</v>
      </c>
      <c r="W303" s="13"/>
      <c r="X303" s="4"/>
      <c r="Y303" s="13">
        <f>3221.82000000001*2</f>
        <v>6443.6400000000203</v>
      </c>
      <c r="Z303" s="13" t="s">
        <v>302</v>
      </c>
      <c r="AA303" s="22">
        <v>45689</v>
      </c>
      <c r="AB303" s="22" cm="1">
        <f t="array" ref="AB3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03" s="4"/>
      <c r="AD303" s="4"/>
      <c r="AE303" s="2"/>
      <c r="AF303" s="3"/>
      <c r="AG303" s="3"/>
      <c r="AH303" s="3"/>
      <c r="AI303" s="3"/>
      <c r="AJ303" s="2">
        <f t="shared" si="46"/>
        <v>0</v>
      </c>
      <c r="AK303" s="2">
        <f t="shared" si="45"/>
        <v>0</v>
      </c>
      <c r="AL303" s="2">
        <f t="shared" si="41"/>
        <v>0</v>
      </c>
      <c r="AM303" s="88"/>
      <c r="AN303" s="157" t="s">
        <v>774</v>
      </c>
    </row>
    <row r="304" spans="2:40" ht="23.15" customHeight="1" thickBot="1">
      <c r="B304" s="87"/>
      <c r="C304" s="2" t="s">
        <v>292</v>
      </c>
      <c r="D304" s="15" t="s">
        <v>13</v>
      </c>
      <c r="E304" s="20" t="s">
        <v>28</v>
      </c>
      <c r="F304" s="20" t="s">
        <v>65</v>
      </c>
      <c r="G304" s="11">
        <v>8</v>
      </c>
      <c r="H304" s="18">
        <v>8</v>
      </c>
      <c r="I304" s="18" t="s">
        <v>294</v>
      </c>
      <c r="J304" s="18" t="s">
        <v>294</v>
      </c>
      <c r="K304" s="4">
        <v>75172.25</v>
      </c>
      <c r="L304" s="41">
        <v>0</v>
      </c>
      <c r="M304" s="41" t="s">
        <v>294</v>
      </c>
      <c r="N304" s="41">
        <v>0</v>
      </c>
      <c r="O304" s="43" t="s">
        <v>294</v>
      </c>
      <c r="P304" s="41" t="s">
        <v>301</v>
      </c>
      <c r="Q304" s="41">
        <v>0</v>
      </c>
      <c r="R304" s="41">
        <v>0</v>
      </c>
      <c r="S304" s="41">
        <v>0</v>
      </c>
      <c r="T304" s="41">
        <v>0</v>
      </c>
      <c r="U304" s="19"/>
      <c r="V304" s="13">
        <f t="shared" si="47"/>
        <v>75172.25</v>
      </c>
      <c r="W304" s="13"/>
      <c r="X304" s="4"/>
      <c r="Y304" s="13"/>
      <c r="Z304" s="13"/>
      <c r="AA304" s="22">
        <v>45717</v>
      </c>
      <c r="AB304" s="22" cm="1">
        <f t="array" ref="AB3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04" s="4"/>
      <c r="AD304" s="4"/>
      <c r="AE304" s="2"/>
      <c r="AF304" s="3"/>
      <c r="AG304" s="3"/>
      <c r="AH304" s="3"/>
      <c r="AI304" s="3"/>
      <c r="AJ304" s="2">
        <f t="shared" si="46"/>
        <v>0</v>
      </c>
      <c r="AK304" s="2">
        <f t="shared" si="45"/>
        <v>0</v>
      </c>
      <c r="AL304" s="2">
        <f t="shared" si="41"/>
        <v>0</v>
      </c>
      <c r="AM304" s="88"/>
      <c r="AN304" s="157" t="s">
        <v>774</v>
      </c>
    </row>
    <row r="305" spans="2:40" ht="23.15" customHeight="1" thickBot="1">
      <c r="B305" s="87"/>
      <c r="C305" s="2" t="s">
        <v>292</v>
      </c>
      <c r="D305" s="15" t="s">
        <v>13</v>
      </c>
      <c r="E305" s="20" t="s">
        <v>28</v>
      </c>
      <c r="F305" s="20" t="s">
        <v>65</v>
      </c>
      <c r="G305" s="11">
        <v>8</v>
      </c>
      <c r="H305" s="18">
        <v>8</v>
      </c>
      <c r="I305" s="18">
        <v>0</v>
      </c>
      <c r="J305" s="18">
        <v>0</v>
      </c>
      <c r="K305" s="13">
        <v>75172.25</v>
      </c>
      <c r="L305" s="41">
        <v>0</v>
      </c>
      <c r="M305" s="41">
        <v>0</v>
      </c>
      <c r="N305" s="41">
        <v>0</v>
      </c>
      <c r="O305" s="41">
        <v>0</v>
      </c>
      <c r="P305" s="41">
        <v>0</v>
      </c>
      <c r="Q305" s="43">
        <v>0</v>
      </c>
      <c r="R305" s="43">
        <v>0</v>
      </c>
      <c r="S305" s="43">
        <v>0</v>
      </c>
      <c r="T305" s="43">
        <v>0</v>
      </c>
      <c r="U305" s="19"/>
      <c r="V305" s="13">
        <f t="shared" si="47"/>
        <v>75172.25</v>
      </c>
      <c r="W305" s="13"/>
      <c r="X305" s="13"/>
      <c r="Y305" s="13"/>
      <c r="Z305" s="13"/>
      <c r="AA305" s="22">
        <v>45748</v>
      </c>
      <c r="AB305" s="22" cm="1">
        <f t="array" ref="AB3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05" s="4"/>
      <c r="AD305" s="4"/>
      <c r="AE305" s="2"/>
      <c r="AF305" s="3"/>
      <c r="AG305" s="3"/>
      <c r="AH305" s="3"/>
      <c r="AI305" s="3"/>
      <c r="AJ305" s="2">
        <f t="shared" si="46"/>
        <v>0</v>
      </c>
      <c r="AK305" s="2">
        <f t="shared" si="45"/>
        <v>0</v>
      </c>
      <c r="AL305" s="2">
        <f t="shared" si="41"/>
        <v>0</v>
      </c>
      <c r="AM305" s="88"/>
      <c r="AN305" s="157" t="s">
        <v>774</v>
      </c>
    </row>
    <row r="306" spans="2:40" ht="23.15" customHeight="1" thickBot="1">
      <c r="B306" s="87"/>
      <c r="C306" s="2" t="s">
        <v>292</v>
      </c>
      <c r="D306" s="15" t="s">
        <v>13</v>
      </c>
      <c r="E306" s="20" t="s">
        <v>28</v>
      </c>
      <c r="F306" s="20" t="s">
        <v>65</v>
      </c>
      <c r="G306" s="11">
        <v>8</v>
      </c>
      <c r="H306" s="18">
        <v>8</v>
      </c>
      <c r="I306" s="18">
        <v>0</v>
      </c>
      <c r="J306" s="18">
        <v>0</v>
      </c>
      <c r="K306" s="13">
        <v>75172.25</v>
      </c>
      <c r="L306" s="41">
        <v>0</v>
      </c>
      <c r="M306" s="41">
        <v>0</v>
      </c>
      <c r="N306" s="41">
        <v>0</v>
      </c>
      <c r="O306" s="41">
        <v>0</v>
      </c>
      <c r="P306" s="41">
        <v>0</v>
      </c>
      <c r="Q306" s="43">
        <v>0</v>
      </c>
      <c r="R306" s="43">
        <v>0</v>
      </c>
      <c r="S306" s="43">
        <v>0</v>
      </c>
      <c r="T306" s="43">
        <v>0</v>
      </c>
      <c r="U306" s="19" t="s">
        <v>292</v>
      </c>
      <c r="V306" s="13">
        <f t="shared" si="47"/>
        <v>75172.25</v>
      </c>
      <c r="W306" s="13"/>
      <c r="X306" s="13"/>
      <c r="Y306" s="13"/>
      <c r="Z306" s="13"/>
      <c r="AA306" s="22">
        <v>45778</v>
      </c>
      <c r="AB306" s="22" cm="1">
        <f t="array" ref="AB3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06" s="4"/>
      <c r="AD306" s="4"/>
      <c r="AE306" s="2"/>
      <c r="AF306" s="3"/>
      <c r="AG306" s="3"/>
      <c r="AH306" s="3"/>
      <c r="AI306" s="3"/>
      <c r="AJ306" s="2">
        <f t="shared" si="46"/>
        <v>0</v>
      </c>
      <c r="AK306" s="2">
        <f t="shared" si="45"/>
        <v>0</v>
      </c>
      <c r="AL306" s="2">
        <f t="shared" si="41"/>
        <v>0</v>
      </c>
      <c r="AM306" s="88"/>
      <c r="AN306" s="157" t="s">
        <v>774</v>
      </c>
    </row>
    <row r="307" spans="2:40" ht="23.15" customHeight="1" thickBot="1">
      <c r="B307" s="87">
        <v>45840</v>
      </c>
      <c r="C307" s="2" t="s">
        <v>295</v>
      </c>
      <c r="D307" s="15" t="s">
        <v>13</v>
      </c>
      <c r="E307" s="20" t="s">
        <v>28</v>
      </c>
      <c r="F307" s="20" t="s">
        <v>65</v>
      </c>
      <c r="G307" s="11">
        <v>8</v>
      </c>
      <c r="H307" s="18">
        <v>8</v>
      </c>
      <c r="I307" s="18">
        <v>0</v>
      </c>
      <c r="J307" s="18">
        <v>0</v>
      </c>
      <c r="K307" s="13">
        <v>75172.25</v>
      </c>
      <c r="L307" s="41">
        <v>0</v>
      </c>
      <c r="M307" s="41">
        <v>0</v>
      </c>
      <c r="N307" s="41">
        <v>0</v>
      </c>
      <c r="O307" s="41">
        <v>0</v>
      </c>
      <c r="P307" s="41">
        <v>0</v>
      </c>
      <c r="Q307" s="41">
        <v>0</v>
      </c>
      <c r="R307" s="41">
        <v>0</v>
      </c>
      <c r="S307" s="41">
        <v>0</v>
      </c>
      <c r="T307" s="41">
        <v>0</v>
      </c>
      <c r="U307" s="19" t="s">
        <v>295</v>
      </c>
      <c r="V307" s="13">
        <f t="shared" si="47"/>
        <v>75172.25</v>
      </c>
      <c r="W307" s="13"/>
      <c r="X307" s="13"/>
      <c r="Y307" s="13"/>
      <c r="Z307" s="13"/>
      <c r="AA307" s="22">
        <v>45809</v>
      </c>
      <c r="AB307" s="22" cm="1">
        <f t="array" ref="AB3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07" s="4"/>
      <c r="AD307" s="4"/>
      <c r="AE307" s="2"/>
      <c r="AF307" s="3"/>
      <c r="AG307" s="3"/>
      <c r="AH307" s="3"/>
      <c r="AI307" s="3"/>
      <c r="AJ307" s="2">
        <f t="shared" si="46"/>
        <v>0</v>
      </c>
      <c r="AK307" s="2">
        <f t="shared" si="45"/>
        <v>0</v>
      </c>
      <c r="AL307" s="2">
        <f t="shared" si="41"/>
        <v>0</v>
      </c>
      <c r="AM307" s="88"/>
      <c r="AN307" s="157" t="s">
        <v>774</v>
      </c>
    </row>
    <row r="308" spans="2:40" ht="23.15" customHeight="1" thickBot="1">
      <c r="B308" s="87">
        <v>45887</v>
      </c>
      <c r="C308" s="2" t="s">
        <v>295</v>
      </c>
      <c r="D308" s="15" t="s">
        <v>13</v>
      </c>
      <c r="E308" s="20" t="s">
        <v>28</v>
      </c>
      <c r="F308" s="20" t="s">
        <v>65</v>
      </c>
      <c r="G308" s="11">
        <v>8</v>
      </c>
      <c r="H308" s="11">
        <v>8</v>
      </c>
      <c r="I308" s="18">
        <v>0</v>
      </c>
      <c r="J308" s="18">
        <v>0</v>
      </c>
      <c r="K308" s="13">
        <v>75172.25</v>
      </c>
      <c r="L308" s="41">
        <v>0</v>
      </c>
      <c r="M308" s="41">
        <v>0</v>
      </c>
      <c r="N308" s="41">
        <v>0</v>
      </c>
      <c r="O308" s="41">
        <v>0</v>
      </c>
      <c r="P308" s="41">
        <v>0</v>
      </c>
      <c r="Q308" s="43">
        <v>0</v>
      </c>
      <c r="R308" s="43">
        <v>0</v>
      </c>
      <c r="S308" s="43">
        <v>0</v>
      </c>
      <c r="T308" s="43">
        <v>0</v>
      </c>
      <c r="U308" s="19" t="s">
        <v>295</v>
      </c>
      <c r="V308" s="13">
        <f t="shared" si="47"/>
        <v>75172.25</v>
      </c>
      <c r="W308" s="13"/>
      <c r="X308" s="13"/>
      <c r="Y308" s="13"/>
      <c r="Z308" s="13"/>
      <c r="AA308" s="22">
        <v>45839</v>
      </c>
      <c r="AB308" s="22" cm="1">
        <f t="array" ref="AB3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08" s="4"/>
      <c r="AD308" s="4"/>
      <c r="AE308" s="2"/>
      <c r="AF308" s="3"/>
      <c r="AG308" s="3"/>
      <c r="AH308" s="3"/>
      <c r="AI308" s="3"/>
      <c r="AJ308" s="2">
        <f t="shared" si="46"/>
        <v>0</v>
      </c>
      <c r="AK308" s="2">
        <f t="shared" si="45"/>
        <v>0</v>
      </c>
      <c r="AL308" s="2">
        <f t="shared" si="41"/>
        <v>0</v>
      </c>
      <c r="AM308" s="88"/>
      <c r="AN308" s="157" t="s">
        <v>774</v>
      </c>
    </row>
    <row r="309" spans="2:40" ht="23.15" customHeight="1" thickBot="1">
      <c r="B309" s="87">
        <v>45909</v>
      </c>
      <c r="C309" s="2" t="s">
        <v>299</v>
      </c>
      <c r="D309" s="15" t="s">
        <v>13</v>
      </c>
      <c r="E309" s="20" t="s">
        <v>30</v>
      </c>
      <c r="F309" s="20" t="s">
        <v>55</v>
      </c>
      <c r="G309" s="11">
        <v>24</v>
      </c>
      <c r="H309" s="11">
        <v>24</v>
      </c>
      <c r="I309" s="18">
        <v>1</v>
      </c>
      <c r="J309" s="18">
        <v>0</v>
      </c>
      <c r="K309" s="19">
        <v>146128.9</v>
      </c>
      <c r="L309" s="41">
        <v>0</v>
      </c>
      <c r="M309" s="41">
        <v>-142.76</v>
      </c>
      <c r="N309" s="41">
        <v>0</v>
      </c>
      <c r="O309" s="41">
        <v>0</v>
      </c>
      <c r="P309" s="41">
        <v>0</v>
      </c>
      <c r="Q309" s="43">
        <v>0</v>
      </c>
      <c r="R309" s="43">
        <v>0</v>
      </c>
      <c r="S309" s="43">
        <v>0</v>
      </c>
      <c r="T309" s="43">
        <v>-2500</v>
      </c>
      <c r="U309" s="19" t="s">
        <v>299</v>
      </c>
      <c r="V309" s="13">
        <f>IFERROR((K309+M309+R309+S309+T309+O309)+IF(U309="Sim",P310+Q309,0),(K309+R309+S309+T309)+IF(U309="Sim",P310+Q309,0))</f>
        <v>143486.13999999998</v>
      </c>
      <c r="W309" s="145"/>
      <c r="X309" s="13"/>
      <c r="Y309" s="13"/>
      <c r="Z309" s="13"/>
      <c r="AA309" s="22">
        <v>45870</v>
      </c>
      <c r="AB309" s="22" cm="1">
        <f t="array" ref="AB3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09" s="4"/>
      <c r="AD309" s="4">
        <v>5761.7192606716972</v>
      </c>
      <c r="AE309" s="2"/>
      <c r="AF309" s="3"/>
      <c r="AG309" s="3"/>
      <c r="AH309" s="3"/>
      <c r="AI309" s="3"/>
      <c r="AJ309" s="2">
        <f t="shared" si="46"/>
        <v>142.76</v>
      </c>
      <c r="AK309" s="2">
        <f t="shared" si="45"/>
        <v>-5761.7192606716972</v>
      </c>
      <c r="AL309" s="2">
        <f t="shared" ref="AL309:AL372" si="48">K309-V309</f>
        <v>2642.7600000000093</v>
      </c>
      <c r="AM309" s="88"/>
      <c r="AN309" s="157" t="s">
        <v>774</v>
      </c>
    </row>
    <row r="310" spans="2:40" ht="23.15" customHeight="1" thickBot="1">
      <c r="B310" s="87"/>
      <c r="C310" s="2" t="s">
        <v>292</v>
      </c>
      <c r="D310" s="15" t="s">
        <v>13</v>
      </c>
      <c r="E310" s="20" t="s">
        <v>25</v>
      </c>
      <c r="F310" s="20" t="s">
        <v>41</v>
      </c>
      <c r="G310" s="11">
        <v>18</v>
      </c>
      <c r="H310" s="11">
        <v>10</v>
      </c>
      <c r="I310" s="18" t="s">
        <v>294</v>
      </c>
      <c r="J310" s="18" t="s">
        <v>294</v>
      </c>
      <c r="K310" s="19">
        <v>76239.98958347096</v>
      </c>
      <c r="L310" s="41">
        <v>0</v>
      </c>
      <c r="M310" s="41" t="s">
        <v>294</v>
      </c>
      <c r="N310" s="41">
        <v>0</v>
      </c>
      <c r="O310" s="41" t="s">
        <v>294</v>
      </c>
      <c r="P310" s="41" t="s">
        <v>301</v>
      </c>
      <c r="Q310" s="41">
        <v>0</v>
      </c>
      <c r="R310" s="41">
        <v>0</v>
      </c>
      <c r="S310" s="41">
        <v>0</v>
      </c>
      <c r="T310" s="41">
        <v>0</v>
      </c>
      <c r="U310" s="19"/>
      <c r="V310" s="13">
        <f>IFERROR((K310+M310+R310+S310+T310+O310)+IF(U310="Sim",P310+Q310,0),(K310+R310+S310+T310)+IF(U310="Sim",P310+Q310,0))</f>
        <v>76239.98958347096</v>
      </c>
      <c r="W310" s="13"/>
      <c r="X310" s="13"/>
      <c r="Y310" s="13"/>
      <c r="Z310" s="13"/>
      <c r="AA310" s="22">
        <v>45658</v>
      </c>
      <c r="AB310" s="22" cm="1">
        <f t="array" ref="AB3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10" s="4"/>
      <c r="AD310" s="4"/>
      <c r="AE310" s="2"/>
      <c r="AF310" s="3"/>
      <c r="AG310" s="3"/>
      <c r="AH310" s="3"/>
      <c r="AI310" s="3"/>
      <c r="AJ310" s="2">
        <f t="shared" si="46"/>
        <v>0</v>
      </c>
      <c r="AK310" s="2">
        <f t="shared" si="45"/>
        <v>0</v>
      </c>
      <c r="AL310" s="2">
        <f t="shared" si="48"/>
        <v>0</v>
      </c>
      <c r="AM310" s="88"/>
      <c r="AN310" s="157" t="s">
        <v>774</v>
      </c>
    </row>
    <row r="311" spans="2:40" ht="23.15" customHeight="1" thickBot="1">
      <c r="B311" s="87"/>
      <c r="C311" s="2" t="s">
        <v>292</v>
      </c>
      <c r="D311" s="15" t="s">
        <v>13</v>
      </c>
      <c r="E311" s="20" t="s">
        <v>25</v>
      </c>
      <c r="F311" s="20" t="s">
        <v>41</v>
      </c>
      <c r="G311" s="11">
        <v>18</v>
      </c>
      <c r="H311" s="18">
        <v>10</v>
      </c>
      <c r="I311" s="18" t="s">
        <v>294</v>
      </c>
      <c r="J311" s="18" t="s">
        <v>294</v>
      </c>
      <c r="K311" s="19">
        <v>76239.98958347096</v>
      </c>
      <c r="L311" s="41">
        <v>0</v>
      </c>
      <c r="M311" s="41" t="s">
        <v>294</v>
      </c>
      <c r="N311" s="41">
        <v>0</v>
      </c>
      <c r="O311" s="41" t="s">
        <v>294</v>
      </c>
      <c r="P311" s="41" t="s">
        <v>301</v>
      </c>
      <c r="Q311" s="43">
        <v>0</v>
      </c>
      <c r="R311" s="43">
        <v>0</v>
      </c>
      <c r="S311" s="43">
        <v>0</v>
      </c>
      <c r="T311" s="43">
        <v>0</v>
      </c>
      <c r="U311" s="19"/>
      <c r="V311" s="13">
        <f>IFERROR((K311+M311+R311+S311+T311+O311)+IF(U311="Sim",P311+Q311,0),(K311+R311+S311+T311)+IF(U311="Sim",P311+Q311,0))</f>
        <v>76239.98958347096</v>
      </c>
      <c r="W311" s="13"/>
      <c r="X311" s="13"/>
      <c r="Y311" s="13"/>
      <c r="Z311" s="13"/>
      <c r="AA311" s="22">
        <v>45689</v>
      </c>
      <c r="AB311" s="22" cm="1">
        <f t="array" ref="AB3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11" s="4"/>
      <c r="AD311" s="4"/>
      <c r="AE311" s="2"/>
      <c r="AF311" s="3"/>
      <c r="AG311" s="3"/>
      <c r="AH311" s="3"/>
      <c r="AI311" s="3"/>
      <c r="AJ311" s="2">
        <f t="shared" si="46"/>
        <v>0</v>
      </c>
      <c r="AK311" s="2">
        <f t="shared" si="45"/>
        <v>0</v>
      </c>
      <c r="AL311" s="2">
        <f t="shared" si="48"/>
        <v>0</v>
      </c>
      <c r="AM311" s="88"/>
      <c r="AN311" s="157" t="s">
        <v>774</v>
      </c>
    </row>
    <row r="312" spans="2:40" ht="23.15" customHeight="1" thickBot="1">
      <c r="B312" s="87">
        <v>45894</v>
      </c>
      <c r="C312" s="2" t="s">
        <v>295</v>
      </c>
      <c r="D312" s="15" t="s">
        <v>13</v>
      </c>
      <c r="E312" s="20" t="s">
        <v>25</v>
      </c>
      <c r="F312" s="20" t="s">
        <v>41</v>
      </c>
      <c r="G312" s="11">
        <v>18</v>
      </c>
      <c r="H312" s="18">
        <v>10</v>
      </c>
      <c r="I312" s="18">
        <v>31</v>
      </c>
      <c r="J312" s="18">
        <v>0</v>
      </c>
      <c r="K312" s="19">
        <v>83877.665596322418</v>
      </c>
      <c r="L312" s="41">
        <v>-6295.8</v>
      </c>
      <c r="M312" s="41">
        <v>-6534.78</v>
      </c>
      <c r="N312" s="41">
        <v>0</v>
      </c>
      <c r="O312" s="41">
        <v>0</v>
      </c>
      <c r="P312" s="41">
        <v>-838.78</v>
      </c>
      <c r="Q312" s="43">
        <v>0</v>
      </c>
      <c r="R312" s="43">
        <v>0</v>
      </c>
      <c r="S312" s="43">
        <v>0</v>
      </c>
      <c r="T312" s="43">
        <v>0</v>
      </c>
      <c r="U312" s="19" t="s">
        <v>295</v>
      </c>
      <c r="V312" s="13">
        <f>IFERROR((K312+M312+R312+S312+T312+O312)+IF(U312="Sim",P312+Q312,0),(K312+R312+S312+T312)+IF(U312="Sim",P312+Q312,0))</f>
        <v>76504.105596322421</v>
      </c>
      <c r="W312" s="13"/>
      <c r="X312" s="13"/>
      <c r="Y312" s="50"/>
      <c r="Z312" s="13"/>
      <c r="AA312" s="22">
        <v>45839</v>
      </c>
      <c r="AB312" s="22" cm="1">
        <f t="array" ref="AB3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12" s="4">
        <v>2268.0500000000002</v>
      </c>
      <c r="AD312" s="4">
        <v>2009.142828078614</v>
      </c>
      <c r="AE312" s="2"/>
      <c r="AF312" s="3"/>
      <c r="AG312" s="3"/>
      <c r="AH312" s="3"/>
      <c r="AI312" s="3"/>
      <c r="AJ312" s="2">
        <f t="shared" si="46"/>
        <v>238.97999999999956</v>
      </c>
      <c r="AK312" s="2" t="e">
        <f>#REF!-#REF!</f>
        <v>#REF!</v>
      </c>
      <c r="AL312" s="2">
        <f t="shared" si="48"/>
        <v>7373.5599999999977</v>
      </c>
      <c r="AM312" s="88"/>
      <c r="AN312" s="157" t="s">
        <v>774</v>
      </c>
    </row>
    <row r="313" spans="2:40" ht="23.15" customHeight="1" thickBot="1">
      <c r="B313" s="87">
        <v>45944</v>
      </c>
      <c r="C313" s="2" t="s">
        <v>295</v>
      </c>
      <c r="D313" s="15" t="s">
        <v>13</v>
      </c>
      <c r="E313" s="20" t="s">
        <v>30</v>
      </c>
      <c r="F313" s="20" t="s">
        <v>55</v>
      </c>
      <c r="G313" s="11">
        <v>24</v>
      </c>
      <c r="H313" s="18">
        <v>24</v>
      </c>
      <c r="I313" s="18">
        <v>0</v>
      </c>
      <c r="J313" s="18">
        <v>0</v>
      </c>
      <c r="K313" s="19">
        <v>146128.9</v>
      </c>
      <c r="L313" s="41">
        <v>0</v>
      </c>
      <c r="M313" s="18">
        <v>0</v>
      </c>
      <c r="N313" s="41">
        <v>0</v>
      </c>
      <c r="O313" s="41">
        <v>0</v>
      </c>
      <c r="P313" s="41" t="s">
        <v>293</v>
      </c>
      <c r="Q313" s="43">
        <v>0</v>
      </c>
      <c r="R313" s="43">
        <v>0</v>
      </c>
      <c r="S313" s="43">
        <v>0</v>
      </c>
      <c r="T313" s="43">
        <v>-2500</v>
      </c>
      <c r="U313" s="19"/>
      <c r="V313" s="13">
        <f>IFERROR((K313+M313+R313+S313+T313+O313)+IF(U313="Sim",P314+Q313,0),(K313+R313+S313+T313)+IF(U313="Sim",P314+Q313,0))</f>
        <v>143628.9</v>
      </c>
      <c r="W313" s="145"/>
      <c r="X313" s="13"/>
      <c r="Y313" s="13"/>
      <c r="Z313" s="13"/>
      <c r="AA313" s="22">
        <v>45901</v>
      </c>
      <c r="AB313" s="22" cm="1">
        <f t="array" ref="AB3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13" s="4"/>
      <c r="AD313" s="4">
        <f>SUM([1]Setembro!AA27:AA43)</f>
        <v>4156.3869835607957</v>
      </c>
      <c r="AE313" s="2"/>
      <c r="AF313" s="3"/>
      <c r="AG313" s="3"/>
      <c r="AH313" s="3"/>
      <c r="AI313" s="3"/>
      <c r="AJ313" s="2">
        <f t="shared" si="46"/>
        <v>0</v>
      </c>
      <c r="AK313" s="2" t="e">
        <f>AC313-#REF!</f>
        <v>#REF!</v>
      </c>
      <c r="AL313" s="2">
        <f t="shared" si="48"/>
        <v>2500</v>
      </c>
      <c r="AM313" s="88"/>
      <c r="AN313" s="157" t="s">
        <v>774</v>
      </c>
    </row>
    <row r="314" spans="2:40" ht="23.15" customHeight="1" thickBot="1">
      <c r="B314" s="87">
        <v>45702</v>
      </c>
      <c r="C314" s="2" t="s">
        <v>295</v>
      </c>
      <c r="D314" s="15" t="s">
        <v>13</v>
      </c>
      <c r="E314" s="20" t="s">
        <v>30</v>
      </c>
      <c r="F314" s="20" t="s">
        <v>55</v>
      </c>
      <c r="G314" s="11">
        <v>24</v>
      </c>
      <c r="H314" s="18">
        <v>24</v>
      </c>
      <c r="I314" s="18">
        <v>10</v>
      </c>
      <c r="J314" s="18">
        <v>0</v>
      </c>
      <c r="K314" s="19">
        <v>138103.66</v>
      </c>
      <c r="L314" s="41">
        <v>0</v>
      </c>
      <c r="M314" s="41">
        <v>-1475.74</v>
      </c>
      <c r="N314" s="41">
        <v>0</v>
      </c>
      <c r="O314" s="41">
        <v>0</v>
      </c>
      <c r="P314" s="41">
        <v>-3912.94</v>
      </c>
      <c r="Q314" s="41">
        <v>0</v>
      </c>
      <c r="R314" s="41">
        <v>0</v>
      </c>
      <c r="S314" s="41">
        <v>0</v>
      </c>
      <c r="T314" s="41">
        <v>0</v>
      </c>
      <c r="U314" s="19" t="s">
        <v>295</v>
      </c>
      <c r="V314" s="13">
        <f t="shared" ref="V314:V331" si="49">IFERROR((K314+M314+R314+S314+T314+O314)+IF(U314="Sim",P314+Q314,0),(K314+R314+S314+T314)+IF(U314="Sim",P314+Q314,0))</f>
        <v>132714.98000000001</v>
      </c>
      <c r="W314" s="145">
        <v>0.2</v>
      </c>
      <c r="X314" s="46">
        <f>K314*1.02</f>
        <v>140865.73320000002</v>
      </c>
      <c r="Y314" s="13"/>
      <c r="Z314" s="13"/>
      <c r="AA314" s="22">
        <v>45658</v>
      </c>
      <c r="AB314" s="22" cm="1">
        <f t="array" ref="AB3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14" s="4">
        <f>12998.03+7241.26745283565</f>
        <v>20239.29745283565</v>
      </c>
      <c r="AD314" s="4">
        <f>6608.85+7241.26745283565</f>
        <v>13850.11745283565</v>
      </c>
      <c r="AE314" s="2"/>
      <c r="AF314" s="3"/>
      <c r="AG314" s="3"/>
      <c r="AH314" s="3"/>
      <c r="AI314" s="3"/>
      <c r="AJ314" s="2">
        <f t="shared" ref="AJ314:AJ345" si="50">IFERROR(L314-M314,0)</f>
        <v>1475.74</v>
      </c>
      <c r="AK314" s="2">
        <f t="shared" ref="AK314:AK321" si="51">AC314-AD314</f>
        <v>6389.18</v>
      </c>
      <c r="AL314" s="2">
        <f t="shared" si="48"/>
        <v>5388.679999999993</v>
      </c>
      <c r="AM314" s="88"/>
      <c r="AN314" s="157" t="s">
        <v>774</v>
      </c>
    </row>
    <row r="315" spans="2:40" ht="23.15" customHeight="1" thickBot="1">
      <c r="B315" s="87">
        <v>45723</v>
      </c>
      <c r="C315" s="2" t="s">
        <v>295</v>
      </c>
      <c r="D315" s="15" t="s">
        <v>13</v>
      </c>
      <c r="E315" s="20" t="s">
        <v>30</v>
      </c>
      <c r="F315" s="20" t="s">
        <v>55</v>
      </c>
      <c r="G315" s="11">
        <v>24</v>
      </c>
      <c r="H315" s="11">
        <v>24</v>
      </c>
      <c r="I315" s="18">
        <v>6</v>
      </c>
      <c r="J315" s="18">
        <v>0</v>
      </c>
      <c r="K315" s="19">
        <v>146128.9</v>
      </c>
      <c r="L315" s="41">
        <v>0</v>
      </c>
      <c r="M315" s="41">
        <v>-856.56</v>
      </c>
      <c r="N315" s="41">
        <v>0</v>
      </c>
      <c r="O315" s="41">
        <v>0</v>
      </c>
      <c r="P315" s="41">
        <v>-3896.77</v>
      </c>
      <c r="Q315" s="43">
        <v>0</v>
      </c>
      <c r="R315" s="43">
        <v>0</v>
      </c>
      <c r="S315" s="43">
        <v>0</v>
      </c>
      <c r="T315" s="43">
        <v>0</v>
      </c>
      <c r="U315" s="19" t="s">
        <v>295</v>
      </c>
      <c r="V315" s="13">
        <f t="shared" si="49"/>
        <v>141375.57</v>
      </c>
      <c r="W315" s="145"/>
      <c r="X315" s="13"/>
      <c r="Y315" s="13"/>
      <c r="Z315" s="13"/>
      <c r="AA315" s="22">
        <v>45689</v>
      </c>
      <c r="AB315" s="22" cm="1">
        <f t="array" ref="AB3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15" s="4"/>
      <c r="AD315" s="4"/>
      <c r="AE315" s="2"/>
      <c r="AF315" s="3"/>
      <c r="AG315" s="3"/>
      <c r="AH315" s="3"/>
      <c r="AI315" s="3"/>
      <c r="AJ315" s="2">
        <f t="shared" si="50"/>
        <v>856.56</v>
      </c>
      <c r="AK315" s="2">
        <f t="shared" si="51"/>
        <v>0</v>
      </c>
      <c r="AL315" s="2">
        <f t="shared" si="48"/>
        <v>4753.3299999999872</v>
      </c>
      <c r="AM315" s="88"/>
      <c r="AN315" s="157" t="s">
        <v>774</v>
      </c>
    </row>
    <row r="316" spans="2:40" ht="23.15" customHeight="1" thickBot="1">
      <c r="B316" s="87">
        <v>45762</v>
      </c>
      <c r="C316" s="2" t="s">
        <v>295</v>
      </c>
      <c r="D316" s="15" t="s">
        <v>13</v>
      </c>
      <c r="E316" s="20" t="s">
        <v>30</v>
      </c>
      <c r="F316" s="20" t="s">
        <v>55</v>
      </c>
      <c r="G316" s="11">
        <v>24</v>
      </c>
      <c r="H316" s="11">
        <v>24</v>
      </c>
      <c r="I316" s="18">
        <v>3</v>
      </c>
      <c r="J316" s="18">
        <v>0</v>
      </c>
      <c r="K316" s="19">
        <v>146128.9</v>
      </c>
      <c r="L316" s="41">
        <v>0</v>
      </c>
      <c r="M316" s="41">
        <v>-428.28</v>
      </c>
      <c r="N316" s="41">
        <v>0</v>
      </c>
      <c r="O316" s="41">
        <v>0</v>
      </c>
      <c r="P316" s="41">
        <v>-3896.77</v>
      </c>
      <c r="Q316" s="43">
        <v>0</v>
      </c>
      <c r="R316" s="43">
        <v>0</v>
      </c>
      <c r="S316" s="43">
        <v>0</v>
      </c>
      <c r="T316" s="43">
        <v>0</v>
      </c>
      <c r="U316" s="19" t="s">
        <v>295</v>
      </c>
      <c r="V316" s="13">
        <f t="shared" si="49"/>
        <v>141803.85</v>
      </c>
      <c r="W316" s="145"/>
      <c r="X316" s="13"/>
      <c r="Y316" s="13"/>
      <c r="Z316" s="13"/>
      <c r="AA316" s="22">
        <v>45717</v>
      </c>
      <c r="AB316" s="22" cm="1">
        <f t="array" ref="AB3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16" s="4">
        <v>6812.0601691147303</v>
      </c>
      <c r="AD316" s="4">
        <v>6812.0601691147303</v>
      </c>
      <c r="AE316" s="2"/>
      <c r="AF316" s="3"/>
      <c r="AG316" s="3"/>
      <c r="AH316" s="3"/>
      <c r="AI316" s="3"/>
      <c r="AJ316" s="2">
        <f t="shared" si="50"/>
        <v>428.28</v>
      </c>
      <c r="AK316" s="2">
        <f t="shared" si="51"/>
        <v>0</v>
      </c>
      <c r="AL316" s="2">
        <f t="shared" si="48"/>
        <v>4325.0499999999884</v>
      </c>
      <c r="AM316" s="88"/>
      <c r="AN316" s="157" t="s">
        <v>774</v>
      </c>
    </row>
    <row r="317" spans="2:40" ht="23.15" customHeight="1" thickBot="1">
      <c r="B317" s="87">
        <v>45790</v>
      </c>
      <c r="C317" s="2" t="s">
        <v>295</v>
      </c>
      <c r="D317" s="15" t="s">
        <v>13</v>
      </c>
      <c r="E317" s="20" t="s">
        <v>30</v>
      </c>
      <c r="F317" s="20" t="s">
        <v>55</v>
      </c>
      <c r="G317" s="11">
        <v>24</v>
      </c>
      <c r="H317" s="18">
        <v>24</v>
      </c>
      <c r="I317" s="18">
        <v>1</v>
      </c>
      <c r="J317" s="18">
        <v>0</v>
      </c>
      <c r="K317" s="19">
        <v>146128.9</v>
      </c>
      <c r="L317" s="41">
        <v>0</v>
      </c>
      <c r="M317" s="41">
        <v>-142.76</v>
      </c>
      <c r="N317" s="41">
        <v>0</v>
      </c>
      <c r="O317" s="41">
        <v>0</v>
      </c>
      <c r="P317" s="41">
        <v>0</v>
      </c>
      <c r="Q317" s="43">
        <v>0</v>
      </c>
      <c r="R317" s="43">
        <v>0</v>
      </c>
      <c r="S317" s="43">
        <v>0</v>
      </c>
      <c r="T317" s="43">
        <v>0</v>
      </c>
      <c r="U317" s="19" t="s">
        <v>295</v>
      </c>
      <c r="V317" s="13">
        <f t="shared" si="49"/>
        <v>145986.13999999998</v>
      </c>
      <c r="W317" s="145"/>
      <c r="X317" s="13"/>
      <c r="Y317" s="13"/>
      <c r="Z317" s="13"/>
      <c r="AA317" s="22">
        <v>45748</v>
      </c>
      <c r="AB317" s="22" cm="1">
        <f t="array" ref="AB3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17" s="4">
        <f>8456.03333333333+5550.57</f>
        <v>14006.603333333329</v>
      </c>
      <c r="AD317" s="4">
        <f>8456.03333333333+5550.57</f>
        <v>14006.603333333329</v>
      </c>
      <c r="AE317" s="2"/>
      <c r="AF317" s="3"/>
      <c r="AG317" s="3"/>
      <c r="AH317" s="3"/>
      <c r="AI317" s="3"/>
      <c r="AJ317" s="2">
        <f t="shared" si="50"/>
        <v>142.76</v>
      </c>
      <c r="AK317" s="2">
        <f t="shared" si="51"/>
        <v>0</v>
      </c>
      <c r="AL317" s="2">
        <f t="shared" si="48"/>
        <v>142.76000000000931</v>
      </c>
      <c r="AM317" s="88"/>
      <c r="AN317" s="157" t="s">
        <v>774</v>
      </c>
    </row>
    <row r="318" spans="2:40" ht="23.15" customHeight="1" thickBot="1">
      <c r="B318" s="87">
        <v>45813</v>
      </c>
      <c r="C318" s="2" t="s">
        <v>295</v>
      </c>
      <c r="D318" s="15" t="s">
        <v>13</v>
      </c>
      <c r="E318" s="20" t="s">
        <v>30</v>
      </c>
      <c r="F318" s="20" t="s">
        <v>55</v>
      </c>
      <c r="G318" s="11">
        <v>24</v>
      </c>
      <c r="H318" s="18">
        <v>24</v>
      </c>
      <c r="I318" s="18">
        <v>1</v>
      </c>
      <c r="J318" s="18">
        <v>0</v>
      </c>
      <c r="K318" s="19">
        <v>146128.9</v>
      </c>
      <c r="L318" s="41">
        <v>0</v>
      </c>
      <c r="M318" s="41">
        <v>-208.78</v>
      </c>
      <c r="N318" s="41">
        <v>0</v>
      </c>
      <c r="O318" s="41">
        <v>0</v>
      </c>
      <c r="P318" s="41">
        <v>0</v>
      </c>
      <c r="Q318" s="43">
        <v>0</v>
      </c>
      <c r="R318" s="43">
        <v>0</v>
      </c>
      <c r="S318" s="43">
        <v>0</v>
      </c>
      <c r="T318" s="43">
        <v>0</v>
      </c>
      <c r="U318" s="19" t="s">
        <v>295</v>
      </c>
      <c r="V318" s="13">
        <f t="shared" si="49"/>
        <v>145920.12</v>
      </c>
      <c r="W318" s="145"/>
      <c r="X318" s="13"/>
      <c r="Y318" s="13"/>
      <c r="Z318" s="13"/>
      <c r="AA318" s="22">
        <v>45778</v>
      </c>
      <c r="AB318" s="22" cm="1">
        <f t="array" ref="AB3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18" s="4">
        <v>7447.4606286356511</v>
      </c>
      <c r="AD318" s="4">
        <v>7447.4606286356511</v>
      </c>
      <c r="AE318" s="2"/>
      <c r="AF318" s="3"/>
      <c r="AG318" s="3"/>
      <c r="AH318" s="3"/>
      <c r="AI318" s="3"/>
      <c r="AJ318" s="2">
        <f t="shared" si="50"/>
        <v>208.78</v>
      </c>
      <c r="AK318" s="2">
        <f t="shared" si="51"/>
        <v>0</v>
      </c>
      <c r="AL318" s="2">
        <f t="shared" si="48"/>
        <v>208.77999999999884</v>
      </c>
      <c r="AM318" s="88"/>
      <c r="AN318" s="157" t="s">
        <v>774</v>
      </c>
    </row>
    <row r="319" spans="2:40" ht="23.15" customHeight="1" thickBot="1">
      <c r="B319" s="87">
        <v>45849</v>
      </c>
      <c r="C319" s="2" t="s">
        <v>295</v>
      </c>
      <c r="D319" s="15" t="s">
        <v>13</v>
      </c>
      <c r="E319" s="20" t="s">
        <v>30</v>
      </c>
      <c r="F319" s="20" t="s">
        <v>55</v>
      </c>
      <c r="G319" s="11">
        <v>24</v>
      </c>
      <c r="H319" s="11">
        <v>24</v>
      </c>
      <c r="I319" s="11">
        <v>0</v>
      </c>
      <c r="J319" s="11">
        <v>0</v>
      </c>
      <c r="K319" s="19">
        <v>146128.9</v>
      </c>
      <c r="L319" s="41">
        <v>0</v>
      </c>
      <c r="M319" s="41">
        <v>0</v>
      </c>
      <c r="N319" s="41">
        <v>0</v>
      </c>
      <c r="O319" s="41">
        <v>0</v>
      </c>
      <c r="P319" s="41">
        <v>0</v>
      </c>
      <c r="Q319" s="43">
        <v>0</v>
      </c>
      <c r="R319" s="43">
        <v>0</v>
      </c>
      <c r="S319" s="43">
        <v>0</v>
      </c>
      <c r="T319" s="43">
        <v>0</v>
      </c>
      <c r="U319" s="19" t="s">
        <v>295</v>
      </c>
      <c r="V319" s="13">
        <f t="shared" si="49"/>
        <v>146128.9</v>
      </c>
      <c r="W319" s="145"/>
      <c r="X319" s="13"/>
      <c r="Y319" s="13"/>
      <c r="Z319" s="13"/>
      <c r="AA319" s="22">
        <v>45809</v>
      </c>
      <c r="AB319" s="22" cm="1">
        <f t="array" ref="AB3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19" s="4">
        <f>38872.9-8456.03</f>
        <v>30416.870000000003</v>
      </c>
      <c r="AD319" s="4">
        <f>38872.9-8456.03+6794.61</f>
        <v>37211.480000000003</v>
      </c>
      <c r="AE319" s="2"/>
      <c r="AF319" s="3"/>
      <c r="AG319" s="3"/>
      <c r="AH319" s="3"/>
      <c r="AI319" s="3"/>
      <c r="AJ319" s="2">
        <f t="shared" si="50"/>
        <v>0</v>
      </c>
      <c r="AK319" s="2">
        <f t="shared" si="51"/>
        <v>-6794.6100000000006</v>
      </c>
      <c r="AL319" s="2">
        <f t="shared" si="48"/>
        <v>0</v>
      </c>
      <c r="AM319" s="88"/>
      <c r="AN319" s="157" t="s">
        <v>774</v>
      </c>
    </row>
    <row r="320" spans="2:40" ht="23.15" customHeight="1" thickBot="1">
      <c r="B320" s="87">
        <v>45876</v>
      </c>
      <c r="C320" s="2" t="s">
        <v>295</v>
      </c>
      <c r="D320" s="15" t="s">
        <v>13</v>
      </c>
      <c r="E320" s="20" t="s">
        <v>30</v>
      </c>
      <c r="F320" s="20" t="s">
        <v>55</v>
      </c>
      <c r="G320" s="11">
        <v>24</v>
      </c>
      <c r="H320" s="18">
        <v>24</v>
      </c>
      <c r="I320" s="11">
        <v>0</v>
      </c>
      <c r="J320" s="11">
        <v>0</v>
      </c>
      <c r="K320" s="19">
        <v>146128.9</v>
      </c>
      <c r="L320" s="41">
        <v>0</v>
      </c>
      <c r="M320" s="41">
        <v>0</v>
      </c>
      <c r="N320" s="41">
        <v>0</v>
      </c>
      <c r="O320" s="41">
        <v>0</v>
      </c>
      <c r="P320" s="41">
        <v>0</v>
      </c>
      <c r="Q320" s="43">
        <v>0</v>
      </c>
      <c r="R320" s="43">
        <v>0</v>
      </c>
      <c r="S320" s="43">
        <v>0</v>
      </c>
      <c r="T320" s="43">
        <v>0</v>
      </c>
      <c r="U320" s="19"/>
      <c r="V320" s="13">
        <f t="shared" si="49"/>
        <v>146128.9</v>
      </c>
      <c r="W320" s="145"/>
      <c r="X320" s="13"/>
      <c r="Y320" s="13"/>
      <c r="Z320" s="13"/>
      <c r="AA320" s="22">
        <v>45839</v>
      </c>
      <c r="AB320" s="22" cm="1">
        <f t="array" ref="AB3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20" s="4">
        <v>7789.35</v>
      </c>
      <c r="AD320" s="4">
        <v>7789.35</v>
      </c>
      <c r="AE320" s="2"/>
      <c r="AF320" s="3"/>
      <c r="AG320" s="3"/>
      <c r="AH320" s="3"/>
      <c r="AI320" s="3"/>
      <c r="AJ320" s="2">
        <f t="shared" si="50"/>
        <v>0</v>
      </c>
      <c r="AK320" s="2">
        <f t="shared" si="51"/>
        <v>0</v>
      </c>
      <c r="AL320" s="2">
        <f t="shared" si="48"/>
        <v>0</v>
      </c>
      <c r="AM320" s="88"/>
      <c r="AN320" s="157" t="s">
        <v>774</v>
      </c>
    </row>
    <row r="321" spans="2:40" ht="23.15" customHeight="1" thickBot="1">
      <c r="B321" s="87"/>
      <c r="C321" s="2" t="s">
        <v>292</v>
      </c>
      <c r="D321" s="15" t="s">
        <v>13</v>
      </c>
      <c r="E321" s="20" t="s">
        <v>30</v>
      </c>
      <c r="F321" s="20" t="s">
        <v>55</v>
      </c>
      <c r="G321" s="11">
        <v>24</v>
      </c>
      <c r="H321" s="18"/>
      <c r="I321" s="11" t="s">
        <v>294</v>
      </c>
      <c r="J321" s="11" t="s">
        <v>294</v>
      </c>
      <c r="K321" s="19">
        <v>146128.9</v>
      </c>
      <c r="L321" s="41"/>
      <c r="M321" s="41" t="s">
        <v>294</v>
      </c>
      <c r="N321" s="41"/>
      <c r="O321" s="41" t="s">
        <v>294</v>
      </c>
      <c r="P321" s="41" t="s">
        <v>293</v>
      </c>
      <c r="Q321" s="43"/>
      <c r="R321" s="43"/>
      <c r="S321" s="43"/>
      <c r="T321" s="43"/>
      <c r="U321" s="19"/>
      <c r="V321" s="13">
        <f t="shared" si="49"/>
        <v>146128.9</v>
      </c>
      <c r="W321" s="145"/>
      <c r="X321" s="13"/>
      <c r="Y321" s="13"/>
      <c r="Z321" s="13"/>
      <c r="AA321" s="22">
        <v>45931</v>
      </c>
      <c r="AB321" s="22" cm="1">
        <f t="array" ref="AB3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21" s="4"/>
      <c r="AD321" s="4"/>
      <c r="AE321" s="2"/>
      <c r="AF321" s="3"/>
      <c r="AG321" s="3"/>
      <c r="AH321" s="3"/>
      <c r="AI321" s="3"/>
      <c r="AJ321" s="2">
        <f t="shared" si="50"/>
        <v>0</v>
      </c>
      <c r="AK321" s="2">
        <f t="shared" si="51"/>
        <v>0</v>
      </c>
      <c r="AL321" s="2">
        <f t="shared" si="48"/>
        <v>0</v>
      </c>
      <c r="AM321" s="88"/>
      <c r="AN321" s="157" t="s">
        <v>774</v>
      </c>
    </row>
    <row r="322" spans="2:40" ht="23.15" customHeight="1" thickBot="1">
      <c r="B322" s="87">
        <v>45918</v>
      </c>
      <c r="C322" s="2" t="s">
        <v>295</v>
      </c>
      <c r="D322" s="15" t="s">
        <v>13</v>
      </c>
      <c r="E322" s="20" t="s">
        <v>25</v>
      </c>
      <c r="F322" s="20" t="s">
        <v>41</v>
      </c>
      <c r="G322" s="11">
        <v>18</v>
      </c>
      <c r="H322" s="11">
        <v>10</v>
      </c>
      <c r="I322" s="18">
        <v>45</v>
      </c>
      <c r="J322" s="18">
        <v>1.28</v>
      </c>
      <c r="K322" s="19">
        <v>83877.665596322418</v>
      </c>
      <c r="L322" s="41">
        <v>-10275.86</v>
      </c>
      <c r="M322" s="41">
        <v>-10306.23</v>
      </c>
      <c r="N322" s="41">
        <v>0</v>
      </c>
      <c r="O322" s="41">
        <v>-48.58</v>
      </c>
      <c r="P322" s="41">
        <v>-838.78</v>
      </c>
      <c r="Q322" s="43">
        <v>0</v>
      </c>
      <c r="R322" s="43">
        <v>0</v>
      </c>
      <c r="S322" s="43">
        <v>0</v>
      </c>
      <c r="T322" s="43">
        <v>0</v>
      </c>
      <c r="U322" s="19" t="s">
        <v>299</v>
      </c>
      <c r="V322" s="13">
        <f t="shared" si="49"/>
        <v>73522.855596322421</v>
      </c>
      <c r="W322" s="13"/>
      <c r="X322" s="13"/>
      <c r="Y322" s="13"/>
      <c r="Z322" s="13"/>
      <c r="AA322" s="22">
        <v>45870</v>
      </c>
      <c r="AB322" s="22" cm="1">
        <f t="array" ref="AB3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22" s="4"/>
      <c r="AD322" s="4">
        <v>179.43999158273826</v>
      </c>
      <c r="AE322" s="2"/>
      <c r="AF322" s="3"/>
      <c r="AG322" s="3"/>
      <c r="AH322" s="3"/>
      <c r="AI322" s="3"/>
      <c r="AJ322" s="2">
        <f t="shared" si="50"/>
        <v>30.369999999998981</v>
      </c>
      <c r="AK322" s="2" t="e">
        <f>#REF!-#REF!</f>
        <v>#REF!</v>
      </c>
      <c r="AL322" s="2">
        <f t="shared" si="48"/>
        <v>10354.809999999998</v>
      </c>
      <c r="AM322" s="88"/>
      <c r="AN322" s="157" t="s">
        <v>774</v>
      </c>
    </row>
    <row r="323" spans="2:40" ht="23.15" customHeight="1" thickBot="1">
      <c r="B323" s="87">
        <v>45938</v>
      </c>
      <c r="C323" s="2" t="s">
        <v>295</v>
      </c>
      <c r="D323" s="15" t="s">
        <v>13</v>
      </c>
      <c r="E323" s="20" t="s">
        <v>25</v>
      </c>
      <c r="F323" s="20" t="s">
        <v>41</v>
      </c>
      <c r="G323" s="11">
        <v>18</v>
      </c>
      <c r="H323" s="11">
        <v>10</v>
      </c>
      <c r="I323" s="11">
        <v>39</v>
      </c>
      <c r="J323" s="11">
        <v>1.1499999999999999</v>
      </c>
      <c r="K323" s="19">
        <v>83877.665596322418</v>
      </c>
      <c r="L323" s="41">
        <v>0</v>
      </c>
      <c r="M323" s="41">
        <v>-8935.9500000000007</v>
      </c>
      <c r="N323" s="41">
        <v>0</v>
      </c>
      <c r="O323" s="41">
        <v>-43.665500000000002</v>
      </c>
      <c r="P323" s="41">
        <v>-838.78</v>
      </c>
      <c r="Q323" s="41">
        <v>0</v>
      </c>
      <c r="R323" s="41">
        <f>-8*34</f>
        <v>-272</v>
      </c>
      <c r="S323" s="43">
        <v>0</v>
      </c>
      <c r="T323" s="41">
        <v>0</v>
      </c>
      <c r="U323" s="19" t="s">
        <v>295</v>
      </c>
      <c r="V323" s="13">
        <f t="shared" si="49"/>
        <v>73787.27009632242</v>
      </c>
      <c r="W323" s="13"/>
      <c r="X323" s="13"/>
      <c r="Y323" s="13"/>
      <c r="Z323" s="13"/>
      <c r="AA323" s="22">
        <v>45901</v>
      </c>
      <c r="AB323" s="22" cm="1">
        <f t="array" ref="AB3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23" s="4">
        <v>326.51</v>
      </c>
      <c r="AD323" s="4">
        <v>462</v>
      </c>
      <c r="AE323" s="2"/>
      <c r="AF323" s="3"/>
      <c r="AG323" s="3"/>
      <c r="AH323" s="3"/>
      <c r="AI323" s="3"/>
      <c r="AJ323" s="2">
        <f t="shared" si="50"/>
        <v>8935.9500000000007</v>
      </c>
      <c r="AK323" s="2">
        <f t="shared" ref="AK323:AK386" si="52">AC323-AD323</f>
        <v>-135.49</v>
      </c>
      <c r="AL323" s="2">
        <f t="shared" si="48"/>
        <v>10090.395499999999</v>
      </c>
      <c r="AM323" s="88"/>
      <c r="AN323" s="157" t="s">
        <v>774</v>
      </c>
    </row>
    <row r="324" spans="2:40" ht="23.15" customHeight="1" thickBot="1">
      <c r="B324" s="87"/>
      <c r="C324" s="2" t="s">
        <v>292</v>
      </c>
      <c r="D324" s="15" t="s">
        <v>13</v>
      </c>
      <c r="E324" s="20" t="s">
        <v>25</v>
      </c>
      <c r="F324" s="20" t="s">
        <v>41</v>
      </c>
      <c r="G324" s="11">
        <v>18</v>
      </c>
      <c r="H324" s="11"/>
      <c r="I324" s="18" t="s">
        <v>294</v>
      </c>
      <c r="J324" s="11" t="s">
        <v>294</v>
      </c>
      <c r="K324" s="19">
        <v>83877.665596322418</v>
      </c>
      <c r="L324" s="41"/>
      <c r="M324" s="41" t="s">
        <v>294</v>
      </c>
      <c r="N324" s="41"/>
      <c r="O324" s="41" t="s">
        <v>294</v>
      </c>
      <c r="P324" s="41" t="s">
        <v>293</v>
      </c>
      <c r="Q324" s="41"/>
      <c r="R324" s="41"/>
      <c r="S324" s="41"/>
      <c r="T324" s="41"/>
      <c r="U324" s="19"/>
      <c r="V324" s="13">
        <f t="shared" si="49"/>
        <v>83877.665596322418</v>
      </c>
      <c r="W324" s="13"/>
      <c r="X324" s="13"/>
      <c r="Y324" s="13"/>
      <c r="Z324" s="13"/>
      <c r="AA324" s="22">
        <v>45931</v>
      </c>
      <c r="AB324" s="22" cm="1">
        <f t="array" ref="AB3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24" s="4"/>
      <c r="AD324" s="4"/>
      <c r="AE324" s="2"/>
      <c r="AF324" s="3"/>
      <c r="AG324" s="3"/>
      <c r="AH324" s="3"/>
      <c r="AI324" s="3"/>
      <c r="AJ324" s="2">
        <f t="shared" si="50"/>
        <v>0</v>
      </c>
      <c r="AK324" s="2">
        <f t="shared" si="52"/>
        <v>0</v>
      </c>
      <c r="AL324" s="2">
        <f t="shared" si="48"/>
        <v>0</v>
      </c>
      <c r="AM324" s="88"/>
      <c r="AN324" s="157" t="s">
        <v>774</v>
      </c>
    </row>
    <row r="325" spans="2:40" ht="23.15" customHeight="1" thickBot="1">
      <c r="B325" s="87">
        <v>45918</v>
      </c>
      <c r="C325" s="2" t="s">
        <v>295</v>
      </c>
      <c r="D325" s="15" t="s">
        <v>13</v>
      </c>
      <c r="E325" s="20" t="s">
        <v>26</v>
      </c>
      <c r="F325" s="20" t="s">
        <v>41</v>
      </c>
      <c r="G325" s="11">
        <v>2</v>
      </c>
      <c r="H325" s="11">
        <v>2</v>
      </c>
      <c r="I325" s="18">
        <v>0</v>
      </c>
      <c r="J325" s="18">
        <v>0</v>
      </c>
      <c r="K325" s="19">
        <v>20366.435842043415</v>
      </c>
      <c r="L325" s="41">
        <v>0</v>
      </c>
      <c r="M325" s="41">
        <v>0</v>
      </c>
      <c r="N325" s="41">
        <v>0</v>
      </c>
      <c r="O325" s="41">
        <v>0</v>
      </c>
      <c r="P325" s="41">
        <v>0</v>
      </c>
      <c r="Q325" s="41">
        <v>0</v>
      </c>
      <c r="R325" s="41">
        <v>0</v>
      </c>
      <c r="S325" s="41">
        <v>0</v>
      </c>
      <c r="T325" s="41">
        <v>0</v>
      </c>
      <c r="U325" s="19" t="s">
        <v>295</v>
      </c>
      <c r="V325" s="13">
        <f t="shared" si="49"/>
        <v>20366.435842043415</v>
      </c>
      <c r="W325" s="13"/>
      <c r="X325" s="13"/>
      <c r="Y325" s="13"/>
      <c r="Z325" s="13"/>
      <c r="AA325" s="22">
        <v>45870</v>
      </c>
      <c r="AB325" s="22" cm="1">
        <f t="array" ref="AB3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25" s="4"/>
      <c r="AD325" s="4"/>
      <c r="AE325" s="2"/>
      <c r="AF325" s="3"/>
      <c r="AG325" s="3"/>
      <c r="AH325" s="3"/>
      <c r="AI325" s="3"/>
      <c r="AJ325" s="2">
        <f t="shared" si="50"/>
        <v>0</v>
      </c>
      <c r="AK325" s="2">
        <f t="shared" si="52"/>
        <v>0</v>
      </c>
      <c r="AL325" s="2">
        <f t="shared" si="48"/>
        <v>0</v>
      </c>
      <c r="AM325" s="88"/>
      <c r="AN325" s="157" t="s">
        <v>774</v>
      </c>
    </row>
    <row r="326" spans="2:40" ht="23.15" customHeight="1" thickBot="1">
      <c r="B326" s="87">
        <v>45938</v>
      </c>
      <c r="C326" s="2" t="s">
        <v>295</v>
      </c>
      <c r="D326" s="15" t="s">
        <v>13</v>
      </c>
      <c r="E326" s="20" t="s">
        <v>26</v>
      </c>
      <c r="F326" s="20" t="s">
        <v>41</v>
      </c>
      <c r="G326" s="11">
        <v>2</v>
      </c>
      <c r="H326" s="11">
        <v>2</v>
      </c>
      <c r="I326" s="18">
        <v>0</v>
      </c>
      <c r="J326" s="18">
        <v>0</v>
      </c>
      <c r="K326" s="19">
        <v>20366.435842043415</v>
      </c>
      <c r="L326" s="41">
        <v>0</v>
      </c>
      <c r="M326" s="18">
        <v>0</v>
      </c>
      <c r="N326" s="41">
        <v>0</v>
      </c>
      <c r="O326" s="41">
        <v>0</v>
      </c>
      <c r="P326" s="41">
        <v>0</v>
      </c>
      <c r="Q326" s="41">
        <v>0</v>
      </c>
      <c r="R326" s="41">
        <f>-2*34</f>
        <v>-68</v>
      </c>
      <c r="S326" s="41">
        <v>0</v>
      </c>
      <c r="T326" s="41">
        <v>0</v>
      </c>
      <c r="U326" s="19" t="s">
        <v>295</v>
      </c>
      <c r="V326" s="13">
        <f t="shared" si="49"/>
        <v>20298.435842043415</v>
      </c>
      <c r="W326" s="13"/>
      <c r="X326" s="13"/>
      <c r="Y326" s="13"/>
      <c r="Z326" s="13"/>
      <c r="AA326" s="22">
        <v>45901</v>
      </c>
      <c r="AB326" s="22" cm="1">
        <f t="array" ref="AB3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26" s="4"/>
      <c r="AD326" s="4"/>
      <c r="AE326" s="2"/>
      <c r="AF326" s="3"/>
      <c r="AG326" s="3"/>
      <c r="AH326" s="3"/>
      <c r="AI326" s="3"/>
      <c r="AJ326" s="2">
        <f t="shared" si="50"/>
        <v>0</v>
      </c>
      <c r="AK326" s="2">
        <f t="shared" si="52"/>
        <v>0</v>
      </c>
      <c r="AL326" s="2">
        <f t="shared" si="48"/>
        <v>68</v>
      </c>
      <c r="AM326" s="88"/>
      <c r="AN326" s="157" t="s">
        <v>774</v>
      </c>
    </row>
    <row r="327" spans="2:40" ht="23.15" customHeight="1" thickBot="1">
      <c r="B327" s="87"/>
      <c r="C327" s="2" t="s">
        <v>292</v>
      </c>
      <c r="D327" s="15" t="s">
        <v>13</v>
      </c>
      <c r="E327" s="20" t="s">
        <v>26</v>
      </c>
      <c r="F327" s="20" t="s">
        <v>41</v>
      </c>
      <c r="G327" s="11">
        <v>2</v>
      </c>
      <c r="H327" s="18"/>
      <c r="I327" s="18" t="s">
        <v>294</v>
      </c>
      <c r="J327" s="18" t="s">
        <v>294</v>
      </c>
      <c r="K327" s="19">
        <v>20366.435842043415</v>
      </c>
      <c r="L327" s="41"/>
      <c r="M327" s="41" t="s">
        <v>294</v>
      </c>
      <c r="N327" s="41"/>
      <c r="O327" s="41" t="s">
        <v>294</v>
      </c>
      <c r="P327" s="41" t="s">
        <v>293</v>
      </c>
      <c r="Q327" s="41"/>
      <c r="R327" s="43"/>
      <c r="S327" s="43"/>
      <c r="T327" s="43"/>
      <c r="U327" s="19"/>
      <c r="V327" s="13">
        <f t="shared" si="49"/>
        <v>20366.435842043415</v>
      </c>
      <c r="W327" s="13"/>
      <c r="X327" s="13"/>
      <c r="Y327" s="13"/>
      <c r="Z327" s="13"/>
      <c r="AA327" s="22">
        <v>45931</v>
      </c>
      <c r="AB327" s="22" cm="1">
        <f t="array" ref="AB3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27" s="4"/>
      <c r="AD327" s="4"/>
      <c r="AE327" s="2"/>
      <c r="AF327" s="3"/>
      <c r="AG327" s="3"/>
      <c r="AH327" s="3"/>
      <c r="AI327" s="3"/>
      <c r="AJ327" s="2">
        <f t="shared" si="50"/>
        <v>0</v>
      </c>
      <c r="AK327" s="2">
        <f t="shared" si="52"/>
        <v>0</v>
      </c>
      <c r="AL327" s="2">
        <f t="shared" si="48"/>
        <v>0</v>
      </c>
      <c r="AM327" s="88"/>
      <c r="AN327" s="157" t="s">
        <v>774</v>
      </c>
    </row>
    <row r="328" spans="2:40" ht="23.15" customHeight="1" thickBot="1">
      <c r="B328" s="87">
        <v>45904</v>
      </c>
      <c r="C328" s="2" t="s">
        <v>295</v>
      </c>
      <c r="D328" s="15" t="s">
        <v>13</v>
      </c>
      <c r="E328" s="20" t="s">
        <v>31</v>
      </c>
      <c r="F328" s="20" t="s">
        <v>39</v>
      </c>
      <c r="G328" s="11">
        <v>13</v>
      </c>
      <c r="H328" s="18">
        <v>13</v>
      </c>
      <c r="I328" s="295">
        <v>5</v>
      </c>
      <c r="J328" s="295">
        <v>0</v>
      </c>
      <c r="K328" s="19">
        <v>73566.796547701961</v>
      </c>
      <c r="L328" s="41">
        <v>0</v>
      </c>
      <c r="M328" s="41">
        <v>-1557.18</v>
      </c>
      <c r="N328" s="41">
        <v>0</v>
      </c>
      <c r="O328" s="41">
        <v>0</v>
      </c>
      <c r="P328" s="296">
        <v>-735.67</v>
      </c>
      <c r="Q328" s="43">
        <v>0</v>
      </c>
      <c r="R328" s="43">
        <v>0</v>
      </c>
      <c r="S328" s="43">
        <v>0</v>
      </c>
      <c r="T328" s="43">
        <v>0</v>
      </c>
      <c r="U328" s="19" t="s">
        <v>299</v>
      </c>
      <c r="V328" s="13">
        <f t="shared" si="49"/>
        <v>72009.616547701968</v>
      </c>
      <c r="W328" s="13"/>
      <c r="X328" s="13"/>
      <c r="Y328" s="13"/>
      <c r="Z328" s="13"/>
      <c r="AA328" s="22">
        <v>45870</v>
      </c>
      <c r="AB328" s="22" cm="1">
        <f t="array" ref="AB3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28" s="4"/>
      <c r="AD328" s="4"/>
      <c r="AE328" s="2"/>
      <c r="AF328" s="3"/>
      <c r="AG328" s="3"/>
      <c r="AH328" s="3"/>
      <c r="AI328" s="3"/>
      <c r="AJ328" s="2">
        <f t="shared" si="50"/>
        <v>1557.18</v>
      </c>
      <c r="AK328" s="2">
        <f t="shared" si="52"/>
        <v>0</v>
      </c>
      <c r="AL328" s="2">
        <f t="shared" si="48"/>
        <v>1557.179999999993</v>
      </c>
      <c r="AM328" s="88"/>
      <c r="AN328" s="157" t="s">
        <v>774</v>
      </c>
    </row>
    <row r="329" spans="2:40" ht="23.15" customHeight="1" thickBot="1">
      <c r="B329" s="87">
        <v>45937</v>
      </c>
      <c r="C329" s="2" t="s">
        <v>295</v>
      </c>
      <c r="D329" s="15" t="s">
        <v>13</v>
      </c>
      <c r="E329" s="20" t="s">
        <v>31</v>
      </c>
      <c r="F329" s="20" t="s">
        <v>39</v>
      </c>
      <c r="G329" s="11">
        <v>13</v>
      </c>
      <c r="H329" s="18">
        <v>13</v>
      </c>
      <c r="I329" s="18">
        <v>6</v>
      </c>
      <c r="J329" s="18">
        <v>0</v>
      </c>
      <c r="K329" s="19">
        <v>73566.796547701961</v>
      </c>
      <c r="L329" s="41">
        <v>0</v>
      </c>
      <c r="M329" s="41">
        <v>-1076.5999999999999</v>
      </c>
      <c r="N329" s="41">
        <v>0</v>
      </c>
      <c r="O329" s="41">
        <v>0</v>
      </c>
      <c r="P329" s="41">
        <v>-735.67</v>
      </c>
      <c r="Q329" s="43">
        <v>0</v>
      </c>
      <c r="R329" s="43">
        <v>0</v>
      </c>
      <c r="S329" s="43">
        <v>0</v>
      </c>
      <c r="T329" s="43">
        <v>0</v>
      </c>
      <c r="U329" s="19" t="s">
        <v>295</v>
      </c>
      <c r="V329" s="13">
        <f t="shared" si="49"/>
        <v>71754.526547701957</v>
      </c>
      <c r="W329" s="13"/>
      <c r="X329" s="13"/>
      <c r="Y329" s="13"/>
      <c r="Z329" s="13"/>
      <c r="AA329" s="22">
        <v>45901</v>
      </c>
      <c r="AB329" s="22" cm="1">
        <f t="array" ref="AB3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29" s="4"/>
      <c r="AD329" s="4"/>
      <c r="AE329" s="2"/>
      <c r="AF329" s="3"/>
      <c r="AG329" s="3"/>
      <c r="AH329" s="3"/>
      <c r="AI329" s="3"/>
      <c r="AJ329" s="2">
        <f t="shared" si="50"/>
        <v>1076.5999999999999</v>
      </c>
      <c r="AK329" s="2">
        <f t="shared" si="52"/>
        <v>0</v>
      </c>
      <c r="AL329" s="2">
        <f t="shared" si="48"/>
        <v>1812.2700000000041</v>
      </c>
      <c r="AM329" s="88"/>
      <c r="AN329" s="157" t="s">
        <v>774</v>
      </c>
    </row>
    <row r="330" spans="2:40" ht="23.15" customHeight="1" thickBot="1">
      <c r="B330" s="87"/>
      <c r="C330" s="2" t="s">
        <v>292</v>
      </c>
      <c r="D330" s="15" t="s">
        <v>13</v>
      </c>
      <c r="E330" s="20" t="s">
        <v>31</v>
      </c>
      <c r="F330" s="20" t="s">
        <v>39</v>
      </c>
      <c r="G330" s="11">
        <v>13</v>
      </c>
      <c r="H330" s="18"/>
      <c r="I330" s="18" t="s">
        <v>294</v>
      </c>
      <c r="J330" s="18" t="s">
        <v>294</v>
      </c>
      <c r="K330" s="19">
        <v>73566.796547701961</v>
      </c>
      <c r="L330" s="41"/>
      <c r="M330" s="41" t="s">
        <v>294</v>
      </c>
      <c r="N330" s="41"/>
      <c r="O330" s="41" t="s">
        <v>294</v>
      </c>
      <c r="P330" s="41" t="s">
        <v>301</v>
      </c>
      <c r="Q330" s="43"/>
      <c r="R330" s="43"/>
      <c r="S330" s="43"/>
      <c r="T330" s="43"/>
      <c r="U330" s="19"/>
      <c r="V330" s="13">
        <f t="shared" si="49"/>
        <v>73566.796547701961</v>
      </c>
      <c r="W330" s="13"/>
      <c r="X330" s="13"/>
      <c r="Y330" s="13"/>
      <c r="Z330" s="13"/>
      <c r="AA330" s="22">
        <v>45931</v>
      </c>
      <c r="AB330" s="22" cm="1">
        <f t="array" ref="AB3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30" s="4"/>
      <c r="AD330" s="4"/>
      <c r="AE330" s="2"/>
      <c r="AF330" s="3"/>
      <c r="AG330" s="3"/>
      <c r="AH330" s="3"/>
      <c r="AI330" s="3"/>
      <c r="AJ330" s="2">
        <f t="shared" si="50"/>
        <v>0</v>
      </c>
      <c r="AK330" s="2">
        <f t="shared" si="52"/>
        <v>0</v>
      </c>
      <c r="AL330" s="2">
        <f t="shared" si="48"/>
        <v>0</v>
      </c>
      <c r="AM330" s="88"/>
      <c r="AN330" s="157" t="s">
        <v>774</v>
      </c>
    </row>
    <row r="331" spans="2:40" ht="23.15" customHeight="1" thickBot="1">
      <c r="B331" s="87">
        <v>45904</v>
      </c>
      <c r="C331" s="2" t="s">
        <v>295</v>
      </c>
      <c r="D331" s="15" t="s">
        <v>13</v>
      </c>
      <c r="E331" s="20" t="s">
        <v>32</v>
      </c>
      <c r="F331" s="20" t="s">
        <v>39</v>
      </c>
      <c r="G331" s="11">
        <v>4</v>
      </c>
      <c r="H331" s="11">
        <v>4</v>
      </c>
      <c r="I331" s="18">
        <v>0</v>
      </c>
      <c r="J331" s="18">
        <v>0</v>
      </c>
      <c r="K331" s="19">
        <v>31842.633089965886</v>
      </c>
      <c r="L331" s="41">
        <v>0</v>
      </c>
      <c r="M331" s="41">
        <v>0</v>
      </c>
      <c r="N331" s="41">
        <v>0</v>
      </c>
      <c r="O331" s="41">
        <v>0</v>
      </c>
      <c r="P331" s="41">
        <v>0</v>
      </c>
      <c r="Q331" s="43">
        <v>0</v>
      </c>
      <c r="R331" s="43">
        <v>0</v>
      </c>
      <c r="S331" s="43">
        <v>0</v>
      </c>
      <c r="T331" s="43">
        <v>0</v>
      </c>
      <c r="U331" s="19" t="s">
        <v>295</v>
      </c>
      <c r="V331" s="13">
        <f t="shared" si="49"/>
        <v>31842.633089965886</v>
      </c>
      <c r="W331" s="13"/>
      <c r="X331" s="13"/>
      <c r="Y331" s="13"/>
      <c r="Z331" s="13"/>
      <c r="AA331" s="22">
        <v>45870</v>
      </c>
      <c r="AB331" s="22" cm="1">
        <f t="array" ref="AB3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31" s="4"/>
      <c r="AD331" s="4"/>
      <c r="AE331" s="2"/>
      <c r="AF331" s="3"/>
      <c r="AG331" s="3"/>
      <c r="AH331" s="3"/>
      <c r="AI331" s="3"/>
      <c r="AJ331" s="2">
        <f t="shared" si="50"/>
        <v>0</v>
      </c>
      <c r="AK331" s="2">
        <f t="shared" si="52"/>
        <v>0</v>
      </c>
      <c r="AL331" s="2">
        <f t="shared" si="48"/>
        <v>0</v>
      </c>
      <c r="AM331" s="88"/>
      <c r="AN331" s="157" t="s">
        <v>774</v>
      </c>
    </row>
    <row r="332" spans="2:40" ht="23.15" customHeight="1" thickBot="1">
      <c r="B332" s="87">
        <v>45937</v>
      </c>
      <c r="C332" s="2" t="s">
        <v>295</v>
      </c>
      <c r="D332" s="15" t="s">
        <v>13</v>
      </c>
      <c r="E332" s="20" t="s">
        <v>32</v>
      </c>
      <c r="F332" s="20" t="s">
        <v>39</v>
      </c>
      <c r="G332" s="11">
        <v>4</v>
      </c>
      <c r="H332" s="18">
        <v>4</v>
      </c>
      <c r="I332" s="18">
        <v>0</v>
      </c>
      <c r="J332" s="18">
        <v>0</v>
      </c>
      <c r="K332" s="19">
        <v>31842.633089965886</v>
      </c>
      <c r="L332" s="41">
        <v>0</v>
      </c>
      <c r="M332" s="41">
        <v>0</v>
      </c>
      <c r="N332" s="41">
        <v>0</v>
      </c>
      <c r="O332" s="41">
        <v>0</v>
      </c>
      <c r="P332" s="41">
        <v>0</v>
      </c>
      <c r="Q332" s="43">
        <v>0</v>
      </c>
      <c r="R332" s="43">
        <v>0</v>
      </c>
      <c r="S332" s="43">
        <v>0</v>
      </c>
      <c r="T332" s="43">
        <v>0</v>
      </c>
      <c r="U332" s="19" t="s">
        <v>295</v>
      </c>
      <c r="V332" s="13">
        <f>IFERROR((K332+M332+R332+S328+T332+O332)+IF(U332="Sim",P332+Q332,0),(K332+R332+S328+T332)+IF(U332="Sim",P332+Q332,0))</f>
        <v>31842.633089965886</v>
      </c>
      <c r="W332" s="13"/>
      <c r="X332" s="13"/>
      <c r="Y332" s="13"/>
      <c r="Z332" s="13"/>
      <c r="AA332" s="22">
        <v>45901</v>
      </c>
      <c r="AB332" s="22" cm="1">
        <f t="array" ref="AB3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32" s="4"/>
      <c r="AD332" s="4"/>
      <c r="AE332" s="2"/>
      <c r="AF332" s="3"/>
      <c r="AG332" s="3"/>
      <c r="AH332" s="3"/>
      <c r="AI332" s="3"/>
      <c r="AJ332" s="2">
        <f t="shared" si="50"/>
        <v>0</v>
      </c>
      <c r="AK332" s="2">
        <f t="shared" si="52"/>
        <v>0</v>
      </c>
      <c r="AL332" s="2">
        <f t="shared" si="48"/>
        <v>0</v>
      </c>
      <c r="AM332" s="88"/>
      <c r="AN332" s="157" t="s">
        <v>774</v>
      </c>
    </row>
    <row r="333" spans="2:40" ht="23.15" customHeight="1" thickBot="1">
      <c r="B333" s="87"/>
      <c r="C333" s="2" t="s">
        <v>292</v>
      </c>
      <c r="D333" s="15" t="s">
        <v>13</v>
      </c>
      <c r="E333" s="20" t="s">
        <v>32</v>
      </c>
      <c r="F333" s="20" t="s">
        <v>39</v>
      </c>
      <c r="G333" s="11">
        <v>4</v>
      </c>
      <c r="H333" s="18"/>
      <c r="I333" s="18" t="s">
        <v>294</v>
      </c>
      <c r="J333" s="18" t="s">
        <v>294</v>
      </c>
      <c r="K333" s="19">
        <v>31842.633089965886</v>
      </c>
      <c r="L333" s="41"/>
      <c r="M333" s="41" t="s">
        <v>294</v>
      </c>
      <c r="N333" s="41"/>
      <c r="O333" s="41" t="s">
        <v>294</v>
      </c>
      <c r="P333" s="41" t="s">
        <v>301</v>
      </c>
      <c r="Q333" s="43"/>
      <c r="R333" s="43"/>
      <c r="S333" s="43"/>
      <c r="T333" s="43"/>
      <c r="U333" s="19"/>
      <c r="V333" s="13">
        <f t="shared" ref="V333:V364" si="53">IFERROR((K333+M333+R333+S333+T333+O333)+IF(U333="Sim",P333+Q333,0),(K333+R333+S333+T333)+IF(U333="Sim",P333+Q333,0))</f>
        <v>31842.633089965886</v>
      </c>
      <c r="W333" s="13"/>
      <c r="X333" s="13"/>
      <c r="Y333" s="13"/>
      <c r="Z333" s="13"/>
      <c r="AA333" s="22">
        <v>45931</v>
      </c>
      <c r="AB333" s="22" cm="1">
        <f t="array" ref="AB3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33" s="4"/>
      <c r="AD333" s="4"/>
      <c r="AE333" s="2"/>
      <c r="AF333" s="3"/>
      <c r="AG333" s="3"/>
      <c r="AH333" s="3"/>
      <c r="AI333" s="3"/>
      <c r="AJ333" s="2">
        <f t="shared" si="50"/>
        <v>0</v>
      </c>
      <c r="AK333" s="2">
        <f t="shared" si="52"/>
        <v>0</v>
      </c>
      <c r="AL333" s="2">
        <f t="shared" si="48"/>
        <v>0</v>
      </c>
      <c r="AM333" s="88"/>
      <c r="AN333" s="157" t="s">
        <v>774</v>
      </c>
    </row>
    <row r="334" spans="2:40" ht="23.15" customHeight="1" thickBot="1">
      <c r="B334" s="87"/>
      <c r="C334" s="2"/>
      <c r="D334" s="15" t="s">
        <v>13</v>
      </c>
      <c r="E334" s="20" t="s">
        <v>28</v>
      </c>
      <c r="F334" s="20" t="s">
        <v>65</v>
      </c>
      <c r="G334" s="11">
        <v>8</v>
      </c>
      <c r="H334" s="18"/>
      <c r="I334" s="18"/>
      <c r="J334" s="11"/>
      <c r="K334" s="19"/>
      <c r="L334" s="41"/>
      <c r="M334" s="41"/>
      <c r="N334" s="41"/>
      <c r="O334" s="41"/>
      <c r="P334" s="41"/>
      <c r="Q334" s="41"/>
      <c r="R334" s="41"/>
      <c r="S334" s="41"/>
      <c r="T334" s="41"/>
      <c r="U334" s="19"/>
      <c r="V334" s="13">
        <f t="shared" si="53"/>
        <v>0</v>
      </c>
      <c r="W334" s="13"/>
      <c r="X334" s="13"/>
      <c r="Y334" s="13"/>
      <c r="Z334" s="13"/>
      <c r="AA334" s="22">
        <v>45962</v>
      </c>
      <c r="AB334" s="22" cm="1">
        <f t="array" ref="AB3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34" s="4"/>
      <c r="AD334" s="4"/>
      <c r="AE334" s="2"/>
      <c r="AF334" s="3"/>
      <c r="AG334" s="3"/>
      <c r="AH334" s="3"/>
      <c r="AI334" s="3"/>
      <c r="AJ334" s="2">
        <f t="shared" si="50"/>
        <v>0</v>
      </c>
      <c r="AK334" s="2">
        <f t="shared" si="52"/>
        <v>0</v>
      </c>
      <c r="AL334" s="2">
        <f t="shared" si="48"/>
        <v>0</v>
      </c>
      <c r="AM334" s="88"/>
      <c r="AN334" s="157" t="s">
        <v>774</v>
      </c>
    </row>
    <row r="335" spans="2:40" ht="23.15" customHeight="1" thickBot="1">
      <c r="B335" s="87"/>
      <c r="C335" s="2"/>
      <c r="D335" s="15" t="s">
        <v>13</v>
      </c>
      <c r="E335" s="20" t="s">
        <v>30</v>
      </c>
      <c r="F335" s="20" t="s">
        <v>55</v>
      </c>
      <c r="G335" s="11">
        <v>24</v>
      </c>
      <c r="H335" s="18"/>
      <c r="I335" s="18"/>
      <c r="J335" s="18"/>
      <c r="K335" s="19"/>
      <c r="L335" s="41"/>
      <c r="M335" s="41"/>
      <c r="N335" s="41"/>
      <c r="O335" s="41"/>
      <c r="P335" s="41"/>
      <c r="Q335" s="41"/>
      <c r="R335" s="41"/>
      <c r="S335" s="41"/>
      <c r="T335" s="41"/>
      <c r="U335" s="19"/>
      <c r="V335" s="13">
        <f t="shared" si="53"/>
        <v>0</v>
      </c>
      <c r="W335" s="145"/>
      <c r="X335" s="13"/>
      <c r="Y335" s="13"/>
      <c r="Z335" s="13"/>
      <c r="AA335" s="22">
        <v>45962</v>
      </c>
      <c r="AB335" s="22" cm="1">
        <f t="array" ref="AB3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35" s="4"/>
      <c r="AD335" s="4"/>
      <c r="AE335" s="2"/>
      <c r="AF335" s="3"/>
      <c r="AG335" s="3"/>
      <c r="AH335" s="3"/>
      <c r="AI335" s="3"/>
      <c r="AJ335" s="2">
        <f t="shared" si="50"/>
        <v>0</v>
      </c>
      <c r="AK335" s="2">
        <f t="shared" si="52"/>
        <v>0</v>
      </c>
      <c r="AL335" s="2">
        <f t="shared" si="48"/>
        <v>0</v>
      </c>
      <c r="AM335" s="88"/>
      <c r="AN335" s="157" t="s">
        <v>774</v>
      </c>
    </row>
    <row r="336" spans="2:40" ht="23.15" customHeight="1" thickBot="1">
      <c r="B336" s="87"/>
      <c r="C336" s="2"/>
      <c r="D336" s="15" t="s">
        <v>13</v>
      </c>
      <c r="E336" s="20" t="s">
        <v>25</v>
      </c>
      <c r="F336" s="20" t="s">
        <v>41</v>
      </c>
      <c r="G336" s="11">
        <v>18</v>
      </c>
      <c r="H336" s="18"/>
      <c r="I336" s="18"/>
      <c r="J336" s="18"/>
      <c r="K336" s="19"/>
      <c r="L336" s="41"/>
      <c r="M336" s="41"/>
      <c r="N336" s="41"/>
      <c r="O336" s="41"/>
      <c r="P336" s="41"/>
      <c r="Q336" s="41"/>
      <c r="R336" s="41"/>
      <c r="S336" s="41"/>
      <c r="T336" s="41"/>
      <c r="U336" s="19"/>
      <c r="V336" s="13">
        <f t="shared" si="53"/>
        <v>0</v>
      </c>
      <c r="W336" s="13"/>
      <c r="X336" s="13"/>
      <c r="Y336" s="13"/>
      <c r="Z336" s="13"/>
      <c r="AA336" s="22">
        <v>45962</v>
      </c>
      <c r="AB336" s="22" cm="1">
        <f t="array" ref="AB3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36" s="4"/>
      <c r="AD336" s="4"/>
      <c r="AE336" s="2"/>
      <c r="AF336" s="3"/>
      <c r="AG336" s="3"/>
      <c r="AH336" s="3"/>
      <c r="AI336" s="3"/>
      <c r="AJ336" s="2">
        <f t="shared" si="50"/>
        <v>0</v>
      </c>
      <c r="AK336" s="2">
        <f t="shared" si="52"/>
        <v>0</v>
      </c>
      <c r="AL336" s="2">
        <f t="shared" si="48"/>
        <v>0</v>
      </c>
      <c r="AM336" s="88"/>
      <c r="AN336" s="157" t="s">
        <v>774</v>
      </c>
    </row>
    <row r="337" spans="2:40" ht="23.15" customHeight="1" thickBot="1">
      <c r="B337" s="87"/>
      <c r="C337" s="2"/>
      <c r="D337" s="15" t="s">
        <v>13</v>
      </c>
      <c r="E337" s="20" t="s">
        <v>26</v>
      </c>
      <c r="F337" s="20" t="s">
        <v>41</v>
      </c>
      <c r="G337" s="11">
        <v>2</v>
      </c>
      <c r="H337" s="11"/>
      <c r="I337" s="18"/>
      <c r="J337" s="18"/>
      <c r="K337" s="19"/>
      <c r="L337" s="41"/>
      <c r="M337" s="41"/>
      <c r="N337" s="41"/>
      <c r="O337" s="41"/>
      <c r="P337" s="41"/>
      <c r="Q337" s="43"/>
      <c r="R337" s="43"/>
      <c r="S337" s="43"/>
      <c r="T337" s="43"/>
      <c r="U337" s="19"/>
      <c r="V337" s="13">
        <f t="shared" si="53"/>
        <v>0</v>
      </c>
      <c r="W337" s="13"/>
      <c r="X337" s="13"/>
      <c r="Y337" s="13"/>
      <c r="Z337" s="13"/>
      <c r="AA337" s="22">
        <v>45962</v>
      </c>
      <c r="AB337" s="22" cm="1">
        <f t="array" ref="AB3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37" s="4"/>
      <c r="AD337" s="4"/>
      <c r="AE337" s="2"/>
      <c r="AF337" s="3"/>
      <c r="AG337" s="3"/>
      <c r="AH337" s="3"/>
      <c r="AI337" s="3"/>
      <c r="AJ337" s="2">
        <f t="shared" si="50"/>
        <v>0</v>
      </c>
      <c r="AK337" s="2">
        <f t="shared" si="52"/>
        <v>0</v>
      </c>
      <c r="AL337" s="2">
        <f t="shared" si="48"/>
        <v>0</v>
      </c>
      <c r="AM337" s="88"/>
      <c r="AN337" s="157" t="s">
        <v>774</v>
      </c>
    </row>
    <row r="338" spans="2:40" ht="23.15" customHeight="1" thickBot="1">
      <c r="B338" s="87"/>
      <c r="C338" s="2"/>
      <c r="D338" s="15" t="s">
        <v>13</v>
      </c>
      <c r="E338" s="20" t="s">
        <v>31</v>
      </c>
      <c r="F338" s="20" t="s">
        <v>39</v>
      </c>
      <c r="G338" s="11">
        <v>13</v>
      </c>
      <c r="H338" s="18"/>
      <c r="I338" s="18"/>
      <c r="J338" s="18"/>
      <c r="K338" s="19"/>
      <c r="L338" s="41"/>
      <c r="M338" s="41"/>
      <c r="N338" s="41"/>
      <c r="O338" s="41"/>
      <c r="P338" s="41"/>
      <c r="Q338" s="43"/>
      <c r="R338" s="43"/>
      <c r="S338" s="43"/>
      <c r="T338" s="43"/>
      <c r="U338" s="19"/>
      <c r="V338" s="13">
        <f t="shared" si="53"/>
        <v>0</v>
      </c>
      <c r="W338" s="13"/>
      <c r="X338" s="13"/>
      <c r="Y338" s="13"/>
      <c r="Z338" s="13"/>
      <c r="AA338" s="22">
        <v>45962</v>
      </c>
      <c r="AB338" s="22" cm="1">
        <f t="array" ref="AB3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38" s="4"/>
      <c r="AD338" s="4"/>
      <c r="AE338" s="2"/>
      <c r="AF338" s="3"/>
      <c r="AG338" s="3"/>
      <c r="AH338" s="3"/>
      <c r="AI338" s="3"/>
      <c r="AJ338" s="2">
        <f t="shared" si="50"/>
        <v>0</v>
      </c>
      <c r="AK338" s="2">
        <f t="shared" si="52"/>
        <v>0</v>
      </c>
      <c r="AL338" s="2">
        <f t="shared" si="48"/>
        <v>0</v>
      </c>
      <c r="AM338" s="88"/>
      <c r="AN338" s="157" t="s">
        <v>774</v>
      </c>
    </row>
    <row r="339" spans="2:40" ht="23.15" customHeight="1" thickBot="1">
      <c r="B339" s="87"/>
      <c r="C339" s="2"/>
      <c r="D339" s="15" t="s">
        <v>13</v>
      </c>
      <c r="E339" s="20" t="s">
        <v>32</v>
      </c>
      <c r="F339" s="20" t="s">
        <v>39</v>
      </c>
      <c r="G339" s="11">
        <v>4</v>
      </c>
      <c r="H339" s="11"/>
      <c r="I339" s="18"/>
      <c r="J339" s="18"/>
      <c r="K339" s="19"/>
      <c r="L339" s="41"/>
      <c r="M339" s="41"/>
      <c r="N339" s="41"/>
      <c r="O339" s="41"/>
      <c r="P339" s="41"/>
      <c r="Q339" s="43"/>
      <c r="R339" s="43"/>
      <c r="S339" s="43"/>
      <c r="T339" s="43"/>
      <c r="U339" s="19"/>
      <c r="V339" s="13">
        <f t="shared" si="53"/>
        <v>0</v>
      </c>
      <c r="W339" s="13"/>
      <c r="X339" s="13"/>
      <c r="Y339" s="13"/>
      <c r="Z339" s="13"/>
      <c r="AA339" s="22">
        <v>45962</v>
      </c>
      <c r="AB339" s="22" cm="1">
        <f t="array" ref="AB3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39" s="4"/>
      <c r="AD339" s="4"/>
      <c r="AE339" s="2"/>
      <c r="AF339" s="3"/>
      <c r="AG339" s="3"/>
      <c r="AH339" s="3"/>
      <c r="AI339" s="3"/>
      <c r="AJ339" s="2">
        <f t="shared" si="50"/>
        <v>0</v>
      </c>
      <c r="AK339" s="2">
        <f t="shared" si="52"/>
        <v>0</v>
      </c>
      <c r="AL339" s="2">
        <f t="shared" si="48"/>
        <v>0</v>
      </c>
      <c r="AM339" s="88"/>
      <c r="AN339" s="157" t="s">
        <v>774</v>
      </c>
    </row>
    <row r="340" spans="2:40" ht="23.15" customHeight="1" thickBot="1">
      <c r="B340" s="87"/>
      <c r="C340" s="2"/>
      <c r="D340" s="15" t="s">
        <v>13</v>
      </c>
      <c r="E340" s="20" t="s">
        <v>28</v>
      </c>
      <c r="F340" s="20" t="s">
        <v>65</v>
      </c>
      <c r="G340" s="11">
        <v>8</v>
      </c>
      <c r="H340" s="18"/>
      <c r="I340" s="18"/>
      <c r="J340" s="18"/>
      <c r="K340" s="19"/>
      <c r="L340" s="41"/>
      <c r="M340" s="41"/>
      <c r="N340" s="41"/>
      <c r="O340" s="41"/>
      <c r="P340" s="41"/>
      <c r="Q340" s="43"/>
      <c r="R340" s="43"/>
      <c r="S340" s="43"/>
      <c r="T340" s="43"/>
      <c r="U340" s="19"/>
      <c r="V340" s="13">
        <f t="shared" si="53"/>
        <v>0</v>
      </c>
      <c r="W340" s="13"/>
      <c r="X340" s="13"/>
      <c r="Y340" s="13"/>
      <c r="Z340" s="13"/>
      <c r="AA340" s="22">
        <v>45992</v>
      </c>
      <c r="AB340" s="22" cm="1">
        <f t="array" ref="AB3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40" s="4"/>
      <c r="AD340" s="4"/>
      <c r="AE340" s="2"/>
      <c r="AF340" s="3"/>
      <c r="AG340" s="3"/>
      <c r="AH340" s="3"/>
      <c r="AI340" s="3"/>
      <c r="AJ340" s="2">
        <f t="shared" si="50"/>
        <v>0</v>
      </c>
      <c r="AK340" s="2">
        <f t="shared" si="52"/>
        <v>0</v>
      </c>
      <c r="AL340" s="2">
        <f t="shared" si="48"/>
        <v>0</v>
      </c>
      <c r="AM340" s="88"/>
      <c r="AN340" s="157" t="s">
        <v>774</v>
      </c>
    </row>
    <row r="341" spans="2:40" ht="23.15" customHeight="1" thickBot="1">
      <c r="B341" s="87"/>
      <c r="C341" s="2"/>
      <c r="D341" s="15" t="s">
        <v>13</v>
      </c>
      <c r="E341" s="20" t="s">
        <v>30</v>
      </c>
      <c r="F341" s="20" t="s">
        <v>55</v>
      </c>
      <c r="G341" s="11">
        <v>24</v>
      </c>
      <c r="H341" s="18"/>
      <c r="I341" s="18"/>
      <c r="J341" s="18"/>
      <c r="K341" s="19"/>
      <c r="L341" s="41"/>
      <c r="M341" s="41"/>
      <c r="N341" s="41"/>
      <c r="O341" s="41"/>
      <c r="P341" s="41"/>
      <c r="Q341" s="43"/>
      <c r="R341" s="43"/>
      <c r="S341" s="43"/>
      <c r="T341" s="43"/>
      <c r="U341" s="19"/>
      <c r="V341" s="13">
        <f t="shared" si="53"/>
        <v>0</v>
      </c>
      <c r="W341" s="145"/>
      <c r="X341" s="13"/>
      <c r="Y341" s="13"/>
      <c r="Z341" s="13"/>
      <c r="AA341" s="22">
        <v>45992</v>
      </c>
      <c r="AB341" s="22" cm="1">
        <f t="array" ref="AB3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341" s="4"/>
      <c r="AD341" s="4"/>
      <c r="AE341" s="2"/>
      <c r="AF341" s="3"/>
      <c r="AG341" s="3"/>
      <c r="AH341" s="3"/>
      <c r="AI341" s="3"/>
      <c r="AJ341" s="2">
        <f t="shared" si="50"/>
        <v>0</v>
      </c>
      <c r="AK341" s="2">
        <f t="shared" si="52"/>
        <v>0</v>
      </c>
      <c r="AL341" s="2">
        <f t="shared" si="48"/>
        <v>0</v>
      </c>
      <c r="AM341" s="88"/>
      <c r="AN341" s="157" t="s">
        <v>774</v>
      </c>
    </row>
    <row r="342" spans="2:40" ht="23.15" customHeight="1" thickBot="1">
      <c r="B342" s="87"/>
      <c r="C342" s="2"/>
      <c r="D342" s="15" t="s">
        <v>13</v>
      </c>
      <c r="E342" s="20" t="s">
        <v>25</v>
      </c>
      <c r="F342" s="20" t="s">
        <v>41</v>
      </c>
      <c r="G342" s="11">
        <v>18</v>
      </c>
      <c r="H342" s="11"/>
      <c r="I342" s="18"/>
      <c r="J342" s="18"/>
      <c r="K342" s="19"/>
      <c r="L342" s="41"/>
      <c r="M342" s="41"/>
      <c r="N342" s="41"/>
      <c r="O342" s="41"/>
      <c r="P342" s="41"/>
      <c r="Q342" s="43"/>
      <c r="R342" s="43"/>
      <c r="S342" s="43"/>
      <c r="T342" s="43"/>
      <c r="U342" s="19"/>
      <c r="V342" s="13">
        <f t="shared" si="53"/>
        <v>0</v>
      </c>
      <c r="W342" s="13"/>
      <c r="X342" s="13"/>
      <c r="Y342" s="13"/>
      <c r="Z342" s="13"/>
      <c r="AA342" s="22">
        <v>45992</v>
      </c>
      <c r="AB342" s="22" cm="1">
        <f t="array" ref="AB3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342" s="4"/>
      <c r="AD342" s="4"/>
      <c r="AE342" s="2"/>
      <c r="AF342" s="3"/>
      <c r="AG342" s="3"/>
      <c r="AH342" s="3"/>
      <c r="AI342" s="3"/>
      <c r="AJ342" s="2">
        <f t="shared" si="50"/>
        <v>0</v>
      </c>
      <c r="AK342" s="2">
        <f t="shared" si="52"/>
        <v>0</v>
      </c>
      <c r="AL342" s="2">
        <f t="shared" si="48"/>
        <v>0</v>
      </c>
      <c r="AM342" s="88"/>
      <c r="AN342" s="157" t="s">
        <v>774</v>
      </c>
    </row>
    <row r="343" spans="2:40" ht="23.15" customHeight="1" thickBot="1">
      <c r="B343" s="87"/>
      <c r="C343" s="2"/>
      <c r="D343" s="15" t="s">
        <v>13</v>
      </c>
      <c r="E343" s="20" t="s">
        <v>26</v>
      </c>
      <c r="F343" s="20" t="s">
        <v>41</v>
      </c>
      <c r="G343" s="11">
        <v>2</v>
      </c>
      <c r="H343" s="11"/>
      <c r="I343" s="18"/>
      <c r="J343" s="18"/>
      <c r="K343" s="19"/>
      <c r="L343" s="41"/>
      <c r="M343" s="41"/>
      <c r="N343" s="41"/>
      <c r="O343" s="41"/>
      <c r="P343" s="41"/>
      <c r="Q343" s="43"/>
      <c r="R343" s="43"/>
      <c r="S343" s="43"/>
      <c r="T343" s="43"/>
      <c r="U343" s="19"/>
      <c r="V343" s="13">
        <f t="shared" si="53"/>
        <v>0</v>
      </c>
      <c r="W343" s="13"/>
      <c r="X343" s="13"/>
      <c r="Y343" s="13"/>
      <c r="Z343" s="13"/>
      <c r="AA343" s="22">
        <v>45992</v>
      </c>
      <c r="AB343" s="22" cm="1">
        <f t="array" ref="AB3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343" s="4"/>
      <c r="AD343" s="4"/>
      <c r="AE343" s="2"/>
      <c r="AF343" s="3"/>
      <c r="AG343" s="3"/>
      <c r="AH343" s="3"/>
      <c r="AI343" s="3"/>
      <c r="AJ343" s="2">
        <f t="shared" si="50"/>
        <v>0</v>
      </c>
      <c r="AK343" s="2">
        <f t="shared" si="52"/>
        <v>0</v>
      </c>
      <c r="AL343" s="2">
        <f t="shared" si="48"/>
        <v>0</v>
      </c>
      <c r="AM343" s="88"/>
      <c r="AN343" s="157" t="s">
        <v>774</v>
      </c>
    </row>
    <row r="344" spans="2:40" ht="23.15" customHeight="1" thickBot="1">
      <c r="B344" s="87"/>
      <c r="C344" s="2"/>
      <c r="D344" s="15" t="s">
        <v>13</v>
      </c>
      <c r="E344" s="20" t="s">
        <v>31</v>
      </c>
      <c r="F344" s="20" t="s">
        <v>39</v>
      </c>
      <c r="G344" s="11">
        <v>13</v>
      </c>
      <c r="H344" s="18"/>
      <c r="I344" s="18"/>
      <c r="J344" s="18"/>
      <c r="K344" s="19"/>
      <c r="L344" s="41"/>
      <c r="M344" s="41"/>
      <c r="N344" s="41"/>
      <c r="O344" s="41"/>
      <c r="P344" s="41"/>
      <c r="Q344" s="43"/>
      <c r="R344" s="43"/>
      <c r="S344" s="43"/>
      <c r="T344" s="43"/>
      <c r="U344" s="19"/>
      <c r="V344" s="13">
        <f t="shared" si="53"/>
        <v>0</v>
      </c>
      <c r="W344" s="13"/>
      <c r="X344" s="13"/>
      <c r="Y344" s="13"/>
      <c r="Z344" s="13"/>
      <c r="AA344" s="22">
        <v>45992</v>
      </c>
      <c r="AB344" s="22" cm="1">
        <f t="array" ref="AB3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344" s="4"/>
      <c r="AD344" s="4"/>
      <c r="AE344" s="2"/>
      <c r="AF344" s="3"/>
      <c r="AG344" s="3"/>
      <c r="AH344" s="3"/>
      <c r="AI344" s="3"/>
      <c r="AJ344" s="2">
        <f t="shared" si="50"/>
        <v>0</v>
      </c>
      <c r="AK344" s="2">
        <f t="shared" si="52"/>
        <v>0</v>
      </c>
      <c r="AL344" s="2">
        <f t="shared" si="48"/>
        <v>0</v>
      </c>
      <c r="AM344" s="88"/>
      <c r="AN344" s="157" t="s">
        <v>774</v>
      </c>
    </row>
    <row r="345" spans="2:40" ht="23.15" customHeight="1" thickBot="1">
      <c r="B345" s="87"/>
      <c r="C345" s="2"/>
      <c r="D345" s="15" t="s">
        <v>13</v>
      </c>
      <c r="E345" s="20" t="s">
        <v>32</v>
      </c>
      <c r="F345" s="20" t="s">
        <v>39</v>
      </c>
      <c r="G345" s="11">
        <v>4</v>
      </c>
      <c r="H345" s="11"/>
      <c r="I345" s="18"/>
      <c r="J345" s="18"/>
      <c r="K345" s="19"/>
      <c r="L345" s="41"/>
      <c r="M345" s="41"/>
      <c r="N345" s="41"/>
      <c r="O345" s="41"/>
      <c r="P345" s="41"/>
      <c r="Q345" s="43"/>
      <c r="R345" s="43"/>
      <c r="S345" s="43"/>
      <c r="T345" s="43"/>
      <c r="U345" s="19"/>
      <c r="V345" s="13">
        <f t="shared" si="53"/>
        <v>0</v>
      </c>
      <c r="W345" s="13"/>
      <c r="X345" s="13"/>
      <c r="Y345" s="13"/>
      <c r="Z345" s="13"/>
      <c r="AA345" s="22">
        <v>45992</v>
      </c>
      <c r="AB345" s="22" cm="1">
        <f t="array" ref="AB3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345" s="4"/>
      <c r="AD345" s="4"/>
      <c r="AE345" s="2"/>
      <c r="AF345" s="3"/>
      <c r="AG345" s="3"/>
      <c r="AH345" s="3"/>
      <c r="AI345" s="3"/>
      <c r="AJ345" s="2">
        <f t="shared" si="50"/>
        <v>0</v>
      </c>
      <c r="AK345" s="2">
        <f t="shared" si="52"/>
        <v>0</v>
      </c>
      <c r="AL345" s="2">
        <f t="shared" si="48"/>
        <v>0</v>
      </c>
      <c r="AM345" s="88"/>
      <c r="AN345" s="157" t="s">
        <v>774</v>
      </c>
    </row>
    <row r="346" spans="2:40" ht="23.15" customHeight="1" thickBot="1">
      <c r="B346" s="87">
        <v>45727</v>
      </c>
      <c r="C346" s="2" t="s">
        <v>295</v>
      </c>
      <c r="D346" s="15" t="s">
        <v>14</v>
      </c>
      <c r="E346" s="20" t="s">
        <v>157</v>
      </c>
      <c r="F346" s="20" t="s">
        <v>40</v>
      </c>
      <c r="G346" s="11">
        <v>2</v>
      </c>
      <c r="H346" s="18">
        <v>2</v>
      </c>
      <c r="I346" s="18">
        <v>0</v>
      </c>
      <c r="J346" s="18">
        <v>0</v>
      </c>
      <c r="K346" s="19">
        <v>15261.21</v>
      </c>
      <c r="L346" s="41">
        <v>0</v>
      </c>
      <c r="M346" s="41">
        <v>0</v>
      </c>
      <c r="N346" s="41">
        <v>0</v>
      </c>
      <c r="O346" s="41">
        <v>0</v>
      </c>
      <c r="P346" s="41">
        <v>0</v>
      </c>
      <c r="Q346" s="43">
        <v>0</v>
      </c>
      <c r="R346" s="43">
        <v>0</v>
      </c>
      <c r="S346" s="43">
        <v>0</v>
      </c>
      <c r="T346" s="43">
        <v>-337.28</v>
      </c>
      <c r="U346" s="19" t="s">
        <v>295</v>
      </c>
      <c r="V346" s="13">
        <f t="shared" si="53"/>
        <v>14923.929999999998</v>
      </c>
      <c r="W346" s="13"/>
      <c r="X346" s="13"/>
      <c r="Y346" s="13"/>
      <c r="Z346" s="13"/>
      <c r="AA346" s="22">
        <v>45689</v>
      </c>
      <c r="AB346" s="22" cm="1">
        <f t="array" ref="AB3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46" s="4"/>
      <c r="AD346" s="4"/>
      <c r="AE346" s="2"/>
      <c r="AF346" s="3"/>
      <c r="AG346" s="3"/>
      <c r="AH346" s="3"/>
      <c r="AI346" s="3"/>
      <c r="AJ346" s="2">
        <f t="shared" ref="AJ346:AJ377" si="54">IFERROR(L346-M346,0)</f>
        <v>0</v>
      </c>
      <c r="AK346" s="2">
        <f t="shared" si="52"/>
        <v>0</v>
      </c>
      <c r="AL346" s="2">
        <f t="shared" si="48"/>
        <v>337.28000000000065</v>
      </c>
      <c r="AM346" s="88"/>
      <c r="AN346" s="157" t="s">
        <v>774</v>
      </c>
    </row>
    <row r="347" spans="2:40" ht="23.15" customHeight="1" thickBot="1">
      <c r="B347" s="87"/>
      <c r="C347" s="2" t="s">
        <v>292</v>
      </c>
      <c r="D347" s="15" t="s">
        <v>14</v>
      </c>
      <c r="E347" s="20" t="s">
        <v>157</v>
      </c>
      <c r="F347" s="20" t="s">
        <v>40</v>
      </c>
      <c r="G347" s="11">
        <v>2</v>
      </c>
      <c r="H347" s="11">
        <v>2</v>
      </c>
      <c r="I347" s="18">
        <v>0</v>
      </c>
      <c r="J347" s="18">
        <v>0</v>
      </c>
      <c r="K347" s="10">
        <v>15261.21</v>
      </c>
      <c r="L347" s="41">
        <v>0</v>
      </c>
      <c r="M347" s="41">
        <v>0</v>
      </c>
      <c r="N347" s="41">
        <v>0</v>
      </c>
      <c r="O347" s="41">
        <v>0</v>
      </c>
      <c r="P347" s="43">
        <v>0</v>
      </c>
      <c r="Q347" s="43">
        <v>0</v>
      </c>
      <c r="R347" s="43">
        <v>0</v>
      </c>
      <c r="S347" s="43">
        <v>0</v>
      </c>
      <c r="T347" s="43">
        <v>0</v>
      </c>
      <c r="U347" s="19"/>
      <c r="V347" s="13">
        <f t="shared" si="53"/>
        <v>15261.21</v>
      </c>
      <c r="W347" s="13"/>
      <c r="X347" s="13"/>
      <c r="Y347" s="13"/>
      <c r="Z347" s="13"/>
      <c r="AA347" s="22">
        <v>45717</v>
      </c>
      <c r="AB347" s="22" cm="1">
        <f t="array" ref="AB3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47" s="4"/>
      <c r="AD347" s="4"/>
      <c r="AE347" s="2"/>
      <c r="AF347" s="3"/>
      <c r="AG347" s="3"/>
      <c r="AH347" s="3"/>
      <c r="AI347" s="3"/>
      <c r="AJ347" s="2">
        <f t="shared" si="54"/>
        <v>0</v>
      </c>
      <c r="AK347" s="2">
        <f t="shared" si="52"/>
        <v>0</v>
      </c>
      <c r="AL347" s="2">
        <f t="shared" si="48"/>
        <v>0</v>
      </c>
      <c r="AM347" s="88"/>
      <c r="AN347" s="157" t="s">
        <v>774</v>
      </c>
    </row>
    <row r="348" spans="2:40" ht="23.15" customHeight="1" thickBot="1">
      <c r="B348" s="87">
        <v>45791</v>
      </c>
      <c r="C348" s="2" t="s">
        <v>295</v>
      </c>
      <c r="D348" s="15" t="s">
        <v>14</v>
      </c>
      <c r="E348" s="20" t="s">
        <v>157</v>
      </c>
      <c r="F348" s="20" t="s">
        <v>40</v>
      </c>
      <c r="G348" s="11">
        <v>2</v>
      </c>
      <c r="H348" s="18">
        <v>2</v>
      </c>
      <c r="I348" s="18">
        <v>0</v>
      </c>
      <c r="J348" s="18">
        <v>0</v>
      </c>
      <c r="K348" s="10">
        <v>15261.21</v>
      </c>
      <c r="L348" s="41">
        <v>0</v>
      </c>
      <c r="M348" s="41">
        <v>0</v>
      </c>
      <c r="N348" s="41">
        <v>0</v>
      </c>
      <c r="O348" s="41">
        <v>0</v>
      </c>
      <c r="P348" s="41">
        <v>0</v>
      </c>
      <c r="Q348" s="43">
        <v>0</v>
      </c>
      <c r="R348" s="43">
        <v>0</v>
      </c>
      <c r="S348" s="43">
        <v>0</v>
      </c>
      <c r="T348" s="43">
        <v>0</v>
      </c>
      <c r="U348" s="19"/>
      <c r="V348" s="13">
        <f t="shared" si="53"/>
        <v>15261.21</v>
      </c>
      <c r="W348" s="13"/>
      <c r="X348" s="13"/>
      <c r="Y348" s="13"/>
      <c r="Z348" s="13"/>
      <c r="AA348" s="22">
        <v>45748</v>
      </c>
      <c r="AB348" s="22" cm="1">
        <f t="array" ref="AB3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48" s="4"/>
      <c r="AD348" s="4"/>
      <c r="AE348" s="2"/>
      <c r="AF348" s="3"/>
      <c r="AG348" s="3"/>
      <c r="AH348" s="3"/>
      <c r="AI348" s="3"/>
      <c r="AJ348" s="2">
        <f t="shared" si="54"/>
        <v>0</v>
      </c>
      <c r="AK348" s="2">
        <f t="shared" si="52"/>
        <v>0</v>
      </c>
      <c r="AL348" s="2">
        <f t="shared" si="48"/>
        <v>0</v>
      </c>
      <c r="AM348" s="88"/>
      <c r="AN348" s="157" t="s">
        <v>774</v>
      </c>
    </row>
    <row r="349" spans="2:40" ht="23.15" customHeight="1" thickBot="1">
      <c r="B349" s="87"/>
      <c r="C349" s="2" t="s">
        <v>292</v>
      </c>
      <c r="D349" s="15" t="s">
        <v>14</v>
      </c>
      <c r="E349" s="20" t="s">
        <v>157</v>
      </c>
      <c r="F349" s="20" t="s">
        <v>40</v>
      </c>
      <c r="G349" s="11">
        <v>7</v>
      </c>
      <c r="H349" s="18">
        <v>2</v>
      </c>
      <c r="I349" s="18">
        <v>0</v>
      </c>
      <c r="J349" s="18">
        <v>0</v>
      </c>
      <c r="K349" s="19">
        <v>15261.21</v>
      </c>
      <c r="L349" s="41">
        <v>0</v>
      </c>
      <c r="M349" s="41">
        <v>0</v>
      </c>
      <c r="N349" s="41">
        <v>0</v>
      </c>
      <c r="O349" s="41">
        <v>0</v>
      </c>
      <c r="P349" s="41">
        <v>0</v>
      </c>
      <c r="Q349" s="43">
        <v>0</v>
      </c>
      <c r="R349" s="43">
        <v>0</v>
      </c>
      <c r="S349" s="43">
        <v>0</v>
      </c>
      <c r="T349" s="43">
        <v>0</v>
      </c>
      <c r="U349" s="19" t="s">
        <v>292</v>
      </c>
      <c r="V349" s="13">
        <f t="shared" si="53"/>
        <v>15261.21</v>
      </c>
      <c r="W349" s="13"/>
      <c r="X349" s="13"/>
      <c r="Y349" s="13"/>
      <c r="Z349" s="13"/>
      <c r="AA349" s="22">
        <v>45778</v>
      </c>
      <c r="AB349" s="22" cm="1">
        <f t="array" ref="AB3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49" s="4"/>
      <c r="AD349" s="4"/>
      <c r="AE349" s="2"/>
      <c r="AF349" s="3"/>
      <c r="AG349" s="3"/>
      <c r="AH349" s="3"/>
      <c r="AI349" s="3"/>
      <c r="AJ349" s="2">
        <f t="shared" si="54"/>
        <v>0</v>
      </c>
      <c r="AK349" s="2">
        <f t="shared" si="52"/>
        <v>0</v>
      </c>
      <c r="AL349" s="2">
        <f t="shared" si="48"/>
        <v>0</v>
      </c>
      <c r="AM349" s="88"/>
      <c r="AN349" s="157" t="s">
        <v>774</v>
      </c>
    </row>
    <row r="350" spans="2:40" ht="23.15" customHeight="1" thickBot="1">
      <c r="B350" s="87">
        <v>45700</v>
      </c>
      <c r="C350" s="2" t="s">
        <v>295</v>
      </c>
      <c r="D350" s="15" t="s">
        <v>14</v>
      </c>
      <c r="E350" s="20" t="s">
        <v>157</v>
      </c>
      <c r="F350" s="20" t="s">
        <v>40</v>
      </c>
      <c r="G350" s="11">
        <v>2</v>
      </c>
      <c r="H350" s="18">
        <v>2</v>
      </c>
      <c r="I350" s="18">
        <v>0</v>
      </c>
      <c r="J350" s="18">
        <v>0</v>
      </c>
      <c r="K350" s="19">
        <v>15261.213676119078</v>
      </c>
      <c r="L350" s="41">
        <v>0</v>
      </c>
      <c r="M350" s="41">
        <v>0</v>
      </c>
      <c r="N350" s="41">
        <v>0</v>
      </c>
      <c r="O350" s="41">
        <v>0</v>
      </c>
      <c r="P350" s="41">
        <v>0</v>
      </c>
      <c r="Q350" s="43">
        <v>0</v>
      </c>
      <c r="R350" s="43">
        <v>0</v>
      </c>
      <c r="S350" s="43">
        <v>0</v>
      </c>
      <c r="T350" s="43">
        <v>0</v>
      </c>
      <c r="U350" s="19" t="s">
        <v>295</v>
      </c>
      <c r="V350" s="13">
        <f t="shared" si="53"/>
        <v>15261.213676119078</v>
      </c>
      <c r="W350" s="13"/>
      <c r="X350" s="13"/>
      <c r="Y350" s="13"/>
      <c r="Z350" s="13"/>
      <c r="AA350" s="22">
        <v>45658</v>
      </c>
      <c r="AB350" s="22" cm="1">
        <f t="array" ref="AB3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50" s="4"/>
      <c r="AD350" s="4"/>
      <c r="AE350" s="2"/>
      <c r="AF350" s="3"/>
      <c r="AG350" s="3"/>
      <c r="AH350" s="3"/>
      <c r="AI350" s="3"/>
      <c r="AJ350" s="2">
        <f t="shared" si="54"/>
        <v>0</v>
      </c>
      <c r="AK350" s="2">
        <f t="shared" si="52"/>
        <v>0</v>
      </c>
      <c r="AL350" s="2">
        <f t="shared" si="48"/>
        <v>0</v>
      </c>
      <c r="AM350" s="88"/>
      <c r="AN350" s="157" t="s">
        <v>774</v>
      </c>
    </row>
    <row r="351" spans="2:40" ht="23.15" customHeight="1" thickBot="1">
      <c r="B351" s="87"/>
      <c r="C351" s="2" t="s">
        <v>292</v>
      </c>
      <c r="D351" s="15" t="s">
        <v>14</v>
      </c>
      <c r="E351" s="20" t="s">
        <v>157</v>
      </c>
      <c r="F351" s="20" t="s">
        <v>40</v>
      </c>
      <c r="G351" s="11">
        <v>2</v>
      </c>
      <c r="H351" s="18">
        <v>2</v>
      </c>
      <c r="I351" s="18" t="s">
        <v>294</v>
      </c>
      <c r="J351" s="18" t="s">
        <v>294</v>
      </c>
      <c r="K351" s="19">
        <v>16054.735101484783</v>
      </c>
      <c r="L351" s="41">
        <v>0</v>
      </c>
      <c r="M351" s="41" t="s">
        <v>294</v>
      </c>
      <c r="N351" s="41">
        <v>0</v>
      </c>
      <c r="O351" s="41" t="s">
        <v>294</v>
      </c>
      <c r="P351" s="41" t="s">
        <v>301</v>
      </c>
      <c r="Q351" s="43">
        <v>0</v>
      </c>
      <c r="R351" s="43">
        <v>0</v>
      </c>
      <c r="S351" s="43">
        <v>0</v>
      </c>
      <c r="T351" s="43">
        <v>0</v>
      </c>
      <c r="U351" s="19"/>
      <c r="V351" s="13">
        <f t="shared" si="53"/>
        <v>16054.735101484783</v>
      </c>
      <c r="W351" s="13"/>
      <c r="X351" s="13"/>
      <c r="Y351" s="13"/>
      <c r="Z351" s="13"/>
      <c r="AA351" s="22">
        <v>45809</v>
      </c>
      <c r="AB351" s="22" cm="1">
        <f t="array" ref="AB3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51" s="4"/>
      <c r="AD351" s="4"/>
      <c r="AE351" s="2"/>
      <c r="AF351" s="3"/>
      <c r="AG351" s="3"/>
      <c r="AH351" s="3"/>
      <c r="AI351" s="3"/>
      <c r="AJ351" s="2">
        <f t="shared" si="54"/>
        <v>0</v>
      </c>
      <c r="AK351" s="2">
        <f t="shared" si="52"/>
        <v>0</v>
      </c>
      <c r="AL351" s="2">
        <f t="shared" si="48"/>
        <v>0</v>
      </c>
      <c r="AM351" s="88"/>
      <c r="AN351" s="157" t="s">
        <v>774</v>
      </c>
    </row>
    <row r="352" spans="2:40" ht="23.15" customHeight="1" thickBot="1">
      <c r="B352" s="87"/>
      <c r="C352" s="2" t="s">
        <v>292</v>
      </c>
      <c r="D352" s="15" t="s">
        <v>14</v>
      </c>
      <c r="E352" s="20" t="s">
        <v>157</v>
      </c>
      <c r="F352" s="20" t="s">
        <v>40</v>
      </c>
      <c r="G352" s="11">
        <v>2</v>
      </c>
      <c r="H352" s="11">
        <v>2</v>
      </c>
      <c r="I352" s="18" t="s">
        <v>294</v>
      </c>
      <c r="J352" s="18" t="s">
        <v>294</v>
      </c>
      <c r="K352" s="19">
        <v>16054.735101484783</v>
      </c>
      <c r="L352" s="41">
        <v>0</v>
      </c>
      <c r="M352" s="41" t="s">
        <v>294</v>
      </c>
      <c r="N352" s="41">
        <v>0</v>
      </c>
      <c r="O352" s="41" t="s">
        <v>294</v>
      </c>
      <c r="P352" s="41">
        <v>0</v>
      </c>
      <c r="Q352" s="41">
        <v>0</v>
      </c>
      <c r="R352" s="41">
        <v>0</v>
      </c>
      <c r="S352" s="41">
        <v>0</v>
      </c>
      <c r="T352" s="41">
        <v>0</v>
      </c>
      <c r="U352" s="19"/>
      <c r="V352" s="13">
        <f t="shared" si="53"/>
        <v>16054.735101484783</v>
      </c>
      <c r="W352" s="13"/>
      <c r="X352" s="13"/>
      <c r="Y352" s="13"/>
      <c r="Z352" s="13"/>
      <c r="AA352" s="22">
        <v>45839</v>
      </c>
      <c r="AB352" s="22" cm="1">
        <f t="array" ref="AB3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52" s="4"/>
      <c r="AD352" s="4"/>
      <c r="AE352" s="2"/>
      <c r="AF352" s="3"/>
      <c r="AG352" s="3"/>
      <c r="AH352" s="3"/>
      <c r="AI352" s="3"/>
      <c r="AJ352" s="2">
        <f t="shared" si="54"/>
        <v>0</v>
      </c>
      <c r="AK352" s="2">
        <f t="shared" si="52"/>
        <v>0</v>
      </c>
      <c r="AL352" s="2">
        <f t="shared" si="48"/>
        <v>0</v>
      </c>
      <c r="AM352" s="88"/>
      <c r="AN352" s="157" t="s">
        <v>774</v>
      </c>
    </row>
    <row r="353" spans="2:40" ht="23.15" customHeight="1" thickBot="1">
      <c r="B353" s="87"/>
      <c r="C353" s="2" t="s">
        <v>292</v>
      </c>
      <c r="D353" s="15" t="s">
        <v>14</v>
      </c>
      <c r="E353" s="20" t="s">
        <v>28</v>
      </c>
      <c r="F353" s="20" t="s">
        <v>49</v>
      </c>
      <c r="G353" s="11">
        <v>43</v>
      </c>
      <c r="H353" s="18">
        <v>39</v>
      </c>
      <c r="I353" s="18" t="s">
        <v>294</v>
      </c>
      <c r="J353" s="41" t="s">
        <v>294</v>
      </c>
      <c r="K353" s="19">
        <v>306385.39</v>
      </c>
      <c r="L353" s="41">
        <v>0</v>
      </c>
      <c r="M353" s="18" t="s">
        <v>294</v>
      </c>
      <c r="N353" s="41">
        <v>0</v>
      </c>
      <c r="O353" s="41" t="s">
        <v>294</v>
      </c>
      <c r="P353" s="41">
        <v>0</v>
      </c>
      <c r="Q353" s="43">
        <v>0</v>
      </c>
      <c r="R353" s="43">
        <v>0</v>
      </c>
      <c r="S353" s="43">
        <v>0</v>
      </c>
      <c r="T353" s="43">
        <v>0</v>
      </c>
      <c r="U353" s="19"/>
      <c r="V353" s="13">
        <f t="shared" si="53"/>
        <v>306385.39</v>
      </c>
      <c r="W353" s="13"/>
      <c r="X353" s="13"/>
      <c r="Y353" s="13"/>
      <c r="Z353" s="13"/>
      <c r="AA353" s="22">
        <v>45870</v>
      </c>
      <c r="AB353" s="22" cm="1">
        <f t="array" ref="AB3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53" s="4"/>
      <c r="AD353" s="4"/>
      <c r="AE353" s="2"/>
      <c r="AF353" s="3"/>
      <c r="AG353" s="3"/>
      <c r="AH353" s="3"/>
      <c r="AI353" s="3"/>
      <c r="AJ353" s="2">
        <f t="shared" si="54"/>
        <v>0</v>
      </c>
      <c r="AK353" s="2">
        <f t="shared" si="52"/>
        <v>0</v>
      </c>
      <c r="AL353" s="2">
        <f t="shared" si="48"/>
        <v>0</v>
      </c>
      <c r="AM353" s="88"/>
      <c r="AN353" s="157" t="s">
        <v>774</v>
      </c>
    </row>
    <row r="354" spans="2:40" ht="23.15" customHeight="1" thickBot="1">
      <c r="B354" s="87">
        <v>45700</v>
      </c>
      <c r="C354" s="2" t="s">
        <v>295</v>
      </c>
      <c r="D354" s="15" t="s">
        <v>14</v>
      </c>
      <c r="E354" s="20" t="s">
        <v>159</v>
      </c>
      <c r="F354" s="20" t="s">
        <v>39</v>
      </c>
      <c r="G354" s="11">
        <v>4</v>
      </c>
      <c r="H354" s="18">
        <v>4</v>
      </c>
      <c r="I354" s="18" t="s">
        <v>294</v>
      </c>
      <c r="J354" s="18" t="s">
        <v>294</v>
      </c>
      <c r="K354" s="19">
        <v>16371.496370752659</v>
      </c>
      <c r="L354" s="41">
        <v>0</v>
      </c>
      <c r="M354" s="41" t="s">
        <v>294</v>
      </c>
      <c r="N354" s="41">
        <v>0</v>
      </c>
      <c r="O354" s="41" t="s">
        <v>294</v>
      </c>
      <c r="P354" s="41">
        <v>0</v>
      </c>
      <c r="Q354" s="43">
        <v>0</v>
      </c>
      <c r="R354" s="43">
        <v>0</v>
      </c>
      <c r="S354" s="43">
        <v>0</v>
      </c>
      <c r="T354" s="43">
        <v>0</v>
      </c>
      <c r="U354" s="19"/>
      <c r="V354" s="13">
        <f t="shared" si="53"/>
        <v>16371.496370752659</v>
      </c>
      <c r="W354" s="13"/>
      <c r="X354" s="13"/>
      <c r="Y354" s="13"/>
      <c r="Z354" s="13"/>
      <c r="AA354" s="22">
        <v>45658</v>
      </c>
      <c r="AB354" s="22" cm="1">
        <f t="array" ref="AB3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54" s="4"/>
      <c r="AD354" s="4"/>
      <c r="AE354" s="2"/>
      <c r="AF354" s="3"/>
      <c r="AG354" s="3"/>
      <c r="AH354" s="3"/>
      <c r="AI354" s="3"/>
      <c r="AJ354" s="2">
        <f t="shared" si="54"/>
        <v>0</v>
      </c>
      <c r="AK354" s="2">
        <f t="shared" si="52"/>
        <v>0</v>
      </c>
      <c r="AL354" s="2">
        <f t="shared" si="48"/>
        <v>0</v>
      </c>
      <c r="AM354" s="88"/>
      <c r="AN354" s="157" t="s">
        <v>774</v>
      </c>
    </row>
    <row r="355" spans="2:40" ht="23.15" customHeight="1" thickBot="1">
      <c r="B355" s="87"/>
      <c r="C355" s="2" t="s">
        <v>292</v>
      </c>
      <c r="D355" s="15" t="s">
        <v>14</v>
      </c>
      <c r="E355" s="20" t="s">
        <v>33</v>
      </c>
      <c r="F355" s="20" t="s">
        <v>44</v>
      </c>
      <c r="G355" s="11">
        <v>6</v>
      </c>
      <c r="H355" s="18">
        <v>6</v>
      </c>
      <c r="I355" s="18" t="s">
        <v>294</v>
      </c>
      <c r="J355" s="18" t="s">
        <v>294</v>
      </c>
      <c r="K355" s="19">
        <f>41678.3/30.4375*15</f>
        <v>20539.613963039013</v>
      </c>
      <c r="L355" s="41">
        <v>0</v>
      </c>
      <c r="M355" s="41" t="s">
        <v>294</v>
      </c>
      <c r="N355" s="41">
        <v>0</v>
      </c>
      <c r="O355" s="41" t="s">
        <v>294</v>
      </c>
      <c r="P355" s="41" t="s">
        <v>301</v>
      </c>
      <c r="Q355" s="43">
        <v>0</v>
      </c>
      <c r="R355" s="43">
        <v>0</v>
      </c>
      <c r="S355" s="43">
        <v>0</v>
      </c>
      <c r="T355" s="43">
        <v>0</v>
      </c>
      <c r="U355" s="19"/>
      <c r="V355" s="13">
        <f t="shared" si="53"/>
        <v>20539.613963039013</v>
      </c>
      <c r="W355" s="13"/>
      <c r="X355" s="13"/>
      <c r="Y355" s="13"/>
      <c r="Z355" s="13"/>
      <c r="AA355" s="22">
        <v>45717</v>
      </c>
      <c r="AB355" s="22" cm="1">
        <f t="array" ref="AB3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55" s="4"/>
      <c r="AD355" s="4"/>
      <c r="AE355" s="2"/>
      <c r="AF355" s="3"/>
      <c r="AG355" s="3"/>
      <c r="AH355" s="3"/>
      <c r="AI355" s="3"/>
      <c r="AJ355" s="2">
        <f t="shared" si="54"/>
        <v>0</v>
      </c>
      <c r="AK355" s="2">
        <f t="shared" si="52"/>
        <v>0</v>
      </c>
      <c r="AL355" s="2">
        <f t="shared" si="48"/>
        <v>0</v>
      </c>
      <c r="AM355" s="88"/>
      <c r="AN355" s="157" t="s">
        <v>774</v>
      </c>
    </row>
    <row r="356" spans="2:40" ht="23.15" customHeight="1" thickBot="1">
      <c r="B356" s="87"/>
      <c r="C356" s="2" t="s">
        <v>292</v>
      </c>
      <c r="D356" s="15" t="s">
        <v>14</v>
      </c>
      <c r="E356" s="20" t="s">
        <v>33</v>
      </c>
      <c r="F356" s="20" t="s">
        <v>44</v>
      </c>
      <c r="G356" s="11">
        <v>6</v>
      </c>
      <c r="H356" s="11">
        <v>6</v>
      </c>
      <c r="I356" s="18" t="s">
        <v>294</v>
      </c>
      <c r="J356" s="18" t="s">
        <v>294</v>
      </c>
      <c r="K356" s="19">
        <v>41678.300000000003</v>
      </c>
      <c r="L356" s="41"/>
      <c r="M356" s="41" t="s">
        <v>294</v>
      </c>
      <c r="N356" s="41"/>
      <c r="O356" s="41" t="s">
        <v>294</v>
      </c>
      <c r="P356" s="41">
        <v>0</v>
      </c>
      <c r="Q356" s="43">
        <v>0</v>
      </c>
      <c r="R356" s="43">
        <v>0</v>
      </c>
      <c r="S356" s="43">
        <v>0</v>
      </c>
      <c r="T356" s="43">
        <v>0</v>
      </c>
      <c r="U356" s="19"/>
      <c r="V356" s="13">
        <f t="shared" si="53"/>
        <v>41678.300000000003</v>
      </c>
      <c r="W356" s="13"/>
      <c r="X356" s="13"/>
      <c r="Y356" s="13"/>
      <c r="Z356" s="13"/>
      <c r="AA356" s="22">
        <v>45748</v>
      </c>
      <c r="AB356" s="22" cm="1">
        <f t="array" ref="AB3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56" s="4"/>
      <c r="AD356" s="4"/>
      <c r="AE356" s="2"/>
      <c r="AF356" s="3"/>
      <c r="AG356" s="3"/>
      <c r="AH356" s="3"/>
      <c r="AI356" s="3"/>
      <c r="AJ356" s="2">
        <f t="shared" si="54"/>
        <v>0</v>
      </c>
      <c r="AK356" s="2">
        <f t="shared" si="52"/>
        <v>0</v>
      </c>
      <c r="AL356" s="2">
        <f t="shared" si="48"/>
        <v>0</v>
      </c>
      <c r="AM356" s="88"/>
      <c r="AN356" s="157" t="s">
        <v>774</v>
      </c>
    </row>
    <row r="357" spans="2:40" ht="23.15" customHeight="1" thickBot="1">
      <c r="B357" s="87"/>
      <c r="C357" s="2" t="s">
        <v>292</v>
      </c>
      <c r="D357" s="15" t="s">
        <v>14</v>
      </c>
      <c r="E357" s="20" t="s">
        <v>33</v>
      </c>
      <c r="F357" s="20" t="s">
        <v>44</v>
      </c>
      <c r="G357" s="11">
        <v>6</v>
      </c>
      <c r="H357" s="11">
        <v>6</v>
      </c>
      <c r="I357" s="41" t="s">
        <v>294</v>
      </c>
      <c r="J357" s="41" t="s">
        <v>294</v>
      </c>
      <c r="K357" s="19">
        <v>41678.300000000003</v>
      </c>
      <c r="L357" s="41">
        <v>0</v>
      </c>
      <c r="M357" s="41" t="s">
        <v>294</v>
      </c>
      <c r="N357" s="41">
        <v>0</v>
      </c>
      <c r="O357" s="41" t="s">
        <v>294</v>
      </c>
      <c r="P357" s="41" t="s">
        <v>293</v>
      </c>
      <c r="Q357" s="43">
        <v>0</v>
      </c>
      <c r="R357" s="43">
        <v>0</v>
      </c>
      <c r="S357" s="43">
        <v>0</v>
      </c>
      <c r="T357" s="43">
        <v>0</v>
      </c>
      <c r="U357" s="19" t="s">
        <v>292</v>
      </c>
      <c r="V357" s="13">
        <f t="shared" si="53"/>
        <v>41678.300000000003</v>
      </c>
      <c r="W357" s="13"/>
      <c r="X357" s="13"/>
      <c r="Y357" s="13"/>
      <c r="Z357" s="13"/>
      <c r="AA357" s="22">
        <v>45778</v>
      </c>
      <c r="AB357" s="22" cm="1">
        <f t="array" ref="AB3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57" s="4"/>
      <c r="AD357" s="4"/>
      <c r="AE357" s="2"/>
      <c r="AF357" s="3"/>
      <c r="AG357" s="3"/>
      <c r="AH357" s="3"/>
      <c r="AI357" s="3"/>
      <c r="AJ357" s="2">
        <f t="shared" si="54"/>
        <v>0</v>
      </c>
      <c r="AK357" s="2">
        <f t="shared" si="52"/>
        <v>0</v>
      </c>
      <c r="AL357" s="2">
        <f t="shared" si="48"/>
        <v>0</v>
      </c>
      <c r="AM357" s="88"/>
      <c r="AN357" s="157" t="s">
        <v>774</v>
      </c>
    </row>
    <row r="358" spans="2:40" ht="23.15" customHeight="1" thickBot="1">
      <c r="B358" s="87"/>
      <c r="C358" s="2" t="s">
        <v>292</v>
      </c>
      <c r="D358" s="15" t="s">
        <v>14</v>
      </c>
      <c r="E358" s="20" t="s">
        <v>33</v>
      </c>
      <c r="F358" s="20" t="s">
        <v>44</v>
      </c>
      <c r="G358" s="11">
        <v>6</v>
      </c>
      <c r="H358" s="11">
        <v>6</v>
      </c>
      <c r="I358" s="41" t="s">
        <v>294</v>
      </c>
      <c r="J358" s="41" t="s">
        <v>294</v>
      </c>
      <c r="K358" s="19">
        <v>41678.300000000003</v>
      </c>
      <c r="L358" s="41">
        <v>0</v>
      </c>
      <c r="M358" s="41" t="s">
        <v>294</v>
      </c>
      <c r="N358" s="41">
        <v>0</v>
      </c>
      <c r="O358" s="41" t="s">
        <v>294</v>
      </c>
      <c r="P358" s="41" t="s">
        <v>301</v>
      </c>
      <c r="Q358" s="43">
        <v>0</v>
      </c>
      <c r="R358" s="43">
        <v>0</v>
      </c>
      <c r="S358" s="43">
        <v>0</v>
      </c>
      <c r="T358" s="43">
        <v>0</v>
      </c>
      <c r="U358" s="19"/>
      <c r="V358" s="13">
        <f t="shared" si="53"/>
        <v>41678.300000000003</v>
      </c>
      <c r="W358" s="13"/>
      <c r="X358" s="13"/>
      <c r="Y358" s="13"/>
      <c r="Z358" s="13"/>
      <c r="AA358" s="22">
        <v>45809</v>
      </c>
      <c r="AB358" s="22" cm="1">
        <f t="array" ref="AB3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58" s="4"/>
      <c r="AD358" s="4"/>
      <c r="AE358" s="2"/>
      <c r="AF358" s="3"/>
      <c r="AG358" s="3"/>
      <c r="AH358" s="3"/>
      <c r="AI358" s="3"/>
      <c r="AJ358" s="2">
        <f t="shared" si="54"/>
        <v>0</v>
      </c>
      <c r="AK358" s="2">
        <f t="shared" si="52"/>
        <v>0</v>
      </c>
      <c r="AL358" s="2">
        <f t="shared" si="48"/>
        <v>0</v>
      </c>
      <c r="AM358" s="88"/>
      <c r="AN358" s="157" t="s">
        <v>774</v>
      </c>
    </row>
    <row r="359" spans="2:40" ht="23.15" customHeight="1" thickBot="1">
      <c r="B359" s="87"/>
      <c r="C359" s="2" t="s">
        <v>292</v>
      </c>
      <c r="D359" s="15" t="s">
        <v>14</v>
      </c>
      <c r="E359" s="20" t="s">
        <v>33</v>
      </c>
      <c r="F359" s="20" t="s">
        <v>44</v>
      </c>
      <c r="G359" s="11">
        <v>6</v>
      </c>
      <c r="H359" s="11">
        <v>6</v>
      </c>
      <c r="I359" s="41" t="s">
        <v>294</v>
      </c>
      <c r="J359" s="18" t="s">
        <v>294</v>
      </c>
      <c r="K359" s="19">
        <v>41678.300000000003</v>
      </c>
      <c r="L359" s="41">
        <v>0</v>
      </c>
      <c r="M359" s="41" t="s">
        <v>294</v>
      </c>
      <c r="N359" s="41">
        <v>0</v>
      </c>
      <c r="O359" s="41" t="s">
        <v>294</v>
      </c>
      <c r="P359" s="41" t="s">
        <v>293</v>
      </c>
      <c r="Q359" s="43">
        <v>0</v>
      </c>
      <c r="R359" s="43">
        <v>0</v>
      </c>
      <c r="S359" s="43">
        <v>0</v>
      </c>
      <c r="T359" s="43">
        <v>0</v>
      </c>
      <c r="U359" s="19"/>
      <c r="V359" s="13">
        <f t="shared" si="53"/>
        <v>41678.300000000003</v>
      </c>
      <c r="W359" s="13"/>
      <c r="X359" s="13"/>
      <c r="Y359" s="13"/>
      <c r="Z359" s="13"/>
      <c r="AA359" s="22">
        <v>45839</v>
      </c>
      <c r="AB359" s="22" cm="1">
        <f t="array" ref="AB3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59" s="4"/>
      <c r="AD359" s="4"/>
      <c r="AE359" s="2"/>
      <c r="AF359" s="3"/>
      <c r="AG359" s="3"/>
      <c r="AH359" s="3"/>
      <c r="AI359" s="3"/>
      <c r="AJ359" s="2">
        <f t="shared" si="54"/>
        <v>0</v>
      </c>
      <c r="AK359" s="2">
        <f t="shared" si="52"/>
        <v>0</v>
      </c>
      <c r="AL359" s="2">
        <f t="shared" si="48"/>
        <v>0</v>
      </c>
      <c r="AM359" s="88"/>
      <c r="AN359" s="157" t="s">
        <v>774</v>
      </c>
    </row>
    <row r="360" spans="2:40" ht="23.15" customHeight="1" thickBot="1">
      <c r="B360" s="87"/>
      <c r="C360" s="2" t="s">
        <v>292</v>
      </c>
      <c r="D360" s="15" t="s">
        <v>14</v>
      </c>
      <c r="E360" s="20" t="s">
        <v>28</v>
      </c>
      <c r="F360" s="20" t="s">
        <v>49</v>
      </c>
      <c r="G360" s="11">
        <v>43</v>
      </c>
      <c r="H360" s="18">
        <v>39</v>
      </c>
      <c r="I360" s="18" t="s">
        <v>294</v>
      </c>
      <c r="J360" s="18" t="s">
        <v>294</v>
      </c>
      <c r="K360" s="19">
        <v>306385.39</v>
      </c>
      <c r="L360" s="41">
        <v>0</v>
      </c>
      <c r="M360" s="18" t="s">
        <v>294</v>
      </c>
      <c r="N360" s="18" t="s">
        <v>294</v>
      </c>
      <c r="O360" s="41" t="s">
        <v>294</v>
      </c>
      <c r="P360" s="41">
        <v>0</v>
      </c>
      <c r="Q360" s="43">
        <v>0</v>
      </c>
      <c r="R360" s="43">
        <v>0</v>
      </c>
      <c r="S360" s="43">
        <v>0</v>
      </c>
      <c r="T360" s="43">
        <v>0</v>
      </c>
      <c r="U360" s="19"/>
      <c r="V360" s="13">
        <f t="shared" si="53"/>
        <v>306385.39</v>
      </c>
      <c r="W360" s="13"/>
      <c r="X360" s="13"/>
      <c r="Y360" s="13">
        <v>56169.960000000196</v>
      </c>
      <c r="Z360" s="13" t="s">
        <v>302</v>
      </c>
      <c r="AA360" s="22">
        <v>45901</v>
      </c>
      <c r="AB360" s="22" cm="1">
        <f t="array" ref="AB3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60" s="4"/>
      <c r="AD360" s="4"/>
      <c r="AE360" s="2"/>
      <c r="AF360" s="3"/>
      <c r="AG360" s="3"/>
      <c r="AH360" s="3"/>
      <c r="AI360" s="3"/>
      <c r="AJ360" s="2">
        <f t="shared" si="54"/>
        <v>0</v>
      </c>
      <c r="AK360" s="2">
        <f t="shared" si="52"/>
        <v>0</v>
      </c>
      <c r="AL360" s="2">
        <f t="shared" si="48"/>
        <v>0</v>
      </c>
      <c r="AM360" s="88"/>
      <c r="AN360" s="157" t="s">
        <v>774</v>
      </c>
    </row>
    <row r="361" spans="2:40" ht="23.15" customHeight="1" thickBot="1">
      <c r="B361" s="87"/>
      <c r="C361" s="2" t="s">
        <v>292</v>
      </c>
      <c r="D361" s="15" t="s">
        <v>14</v>
      </c>
      <c r="E361" s="20" t="s">
        <v>35</v>
      </c>
      <c r="F361" s="20" t="s">
        <v>39</v>
      </c>
      <c r="G361" s="11">
        <v>12</v>
      </c>
      <c r="H361" s="18">
        <v>9</v>
      </c>
      <c r="I361" s="18" t="s">
        <v>294</v>
      </c>
      <c r="J361" s="18" t="s">
        <v>294</v>
      </c>
      <c r="K361" s="19">
        <v>45900.419648349191</v>
      </c>
      <c r="L361" s="41">
        <v>0</v>
      </c>
      <c r="M361" s="18" t="s">
        <v>294</v>
      </c>
      <c r="N361" s="41">
        <v>0</v>
      </c>
      <c r="O361" s="41" t="s">
        <v>294</v>
      </c>
      <c r="P361" s="41">
        <v>0</v>
      </c>
      <c r="Q361" s="43">
        <v>0</v>
      </c>
      <c r="R361" s="43">
        <v>0</v>
      </c>
      <c r="S361" s="43">
        <v>0</v>
      </c>
      <c r="T361" s="43">
        <v>0</v>
      </c>
      <c r="U361" s="19"/>
      <c r="V361" s="13">
        <f t="shared" si="53"/>
        <v>45900.419648349191</v>
      </c>
      <c r="W361" s="13"/>
      <c r="X361" s="13"/>
      <c r="Y361" s="13"/>
      <c r="Z361" s="13"/>
      <c r="AA361" s="22">
        <v>45717</v>
      </c>
      <c r="AB361" s="22" cm="1">
        <f t="array" ref="AB3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61" s="4"/>
      <c r="AD361" s="4"/>
      <c r="AE361" s="2"/>
      <c r="AF361" s="3"/>
      <c r="AG361" s="3"/>
      <c r="AH361" s="3"/>
      <c r="AI361" s="3"/>
      <c r="AJ361" s="2">
        <f t="shared" si="54"/>
        <v>0</v>
      </c>
      <c r="AK361" s="2">
        <f t="shared" si="52"/>
        <v>0</v>
      </c>
      <c r="AL361" s="2">
        <f t="shared" si="48"/>
        <v>0</v>
      </c>
      <c r="AM361" s="88"/>
      <c r="AN361" s="157" t="s">
        <v>774</v>
      </c>
    </row>
    <row r="362" spans="2:40" ht="23.15" customHeight="1" thickBot="1">
      <c r="B362" s="87"/>
      <c r="C362" s="2" t="s">
        <v>292</v>
      </c>
      <c r="D362" s="15" t="s">
        <v>14</v>
      </c>
      <c r="E362" s="20" t="s">
        <v>35</v>
      </c>
      <c r="F362" s="20" t="s">
        <v>39</v>
      </c>
      <c r="G362" s="11">
        <v>12</v>
      </c>
      <c r="H362" s="18">
        <v>9</v>
      </c>
      <c r="I362" s="18" t="s">
        <v>294</v>
      </c>
      <c r="J362" s="18" t="s">
        <v>294</v>
      </c>
      <c r="K362" s="19">
        <v>45900.419648349191</v>
      </c>
      <c r="L362" s="41"/>
      <c r="M362" s="18" t="s">
        <v>294</v>
      </c>
      <c r="N362" s="41"/>
      <c r="O362" s="41" t="s">
        <v>294</v>
      </c>
      <c r="P362" s="41">
        <v>0</v>
      </c>
      <c r="Q362" s="43">
        <v>0</v>
      </c>
      <c r="R362" s="43">
        <v>0</v>
      </c>
      <c r="S362" s="43">
        <v>0</v>
      </c>
      <c r="T362" s="43">
        <v>0</v>
      </c>
      <c r="U362" s="19"/>
      <c r="V362" s="13">
        <f t="shared" si="53"/>
        <v>45900.419648349191</v>
      </c>
      <c r="W362" s="13"/>
      <c r="X362" s="13"/>
      <c r="Y362" s="13"/>
      <c r="Z362" s="13"/>
      <c r="AA362" s="22">
        <v>45748</v>
      </c>
      <c r="AB362" s="22" cm="1">
        <f t="array" ref="AB3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62" s="4"/>
      <c r="AD362" s="4"/>
      <c r="AE362" s="2"/>
      <c r="AF362" s="3"/>
      <c r="AG362" s="3"/>
      <c r="AH362" s="3"/>
      <c r="AI362" s="3"/>
      <c r="AJ362" s="2">
        <f t="shared" si="54"/>
        <v>0</v>
      </c>
      <c r="AK362" s="2">
        <f t="shared" si="52"/>
        <v>0</v>
      </c>
      <c r="AL362" s="2">
        <f t="shared" si="48"/>
        <v>0</v>
      </c>
      <c r="AM362" s="88"/>
      <c r="AN362" s="157" t="s">
        <v>774</v>
      </c>
    </row>
    <row r="363" spans="2:40" ht="23.15" customHeight="1" thickBot="1">
      <c r="B363" s="87"/>
      <c r="C363" s="2" t="s">
        <v>292</v>
      </c>
      <c r="D363" s="15" t="s">
        <v>14</v>
      </c>
      <c r="E363" s="20" t="s">
        <v>35</v>
      </c>
      <c r="F363" s="20" t="s">
        <v>39</v>
      </c>
      <c r="G363" s="11">
        <v>12</v>
      </c>
      <c r="H363" s="18">
        <v>9</v>
      </c>
      <c r="I363" s="41" t="s">
        <v>294</v>
      </c>
      <c r="J363" s="41" t="s">
        <v>294</v>
      </c>
      <c r="K363" s="19">
        <v>48586.990001000479</v>
      </c>
      <c r="L363" s="41">
        <v>0</v>
      </c>
      <c r="M363" s="18" t="s">
        <v>294</v>
      </c>
      <c r="N363" s="41">
        <v>0</v>
      </c>
      <c r="O363" s="41" t="s">
        <v>294</v>
      </c>
      <c r="P363" s="41">
        <v>0</v>
      </c>
      <c r="Q363" s="43">
        <v>0</v>
      </c>
      <c r="R363" s="43">
        <v>0</v>
      </c>
      <c r="S363" s="43">
        <v>0</v>
      </c>
      <c r="T363" s="43">
        <v>0</v>
      </c>
      <c r="U363" s="19" t="s">
        <v>292</v>
      </c>
      <c r="V363" s="13">
        <f t="shared" si="53"/>
        <v>48586.990001000479</v>
      </c>
      <c r="W363" s="13"/>
      <c r="X363" s="13"/>
      <c r="Y363" s="13">
        <f>5331.01524022938/3</f>
        <v>1777.00508007646</v>
      </c>
      <c r="Z363" s="13" t="s">
        <v>304</v>
      </c>
      <c r="AA363" s="22">
        <v>45778</v>
      </c>
      <c r="AB363" s="22" cm="1">
        <f t="array" ref="AB3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63" s="4"/>
      <c r="AD363" s="4"/>
      <c r="AE363" s="2"/>
      <c r="AF363" s="3"/>
      <c r="AG363" s="3"/>
      <c r="AH363" s="3"/>
      <c r="AI363" s="3"/>
      <c r="AJ363" s="2">
        <f t="shared" si="54"/>
        <v>0</v>
      </c>
      <c r="AK363" s="2">
        <f t="shared" si="52"/>
        <v>0</v>
      </c>
      <c r="AL363" s="2">
        <f t="shared" si="48"/>
        <v>0</v>
      </c>
      <c r="AM363" s="88"/>
      <c r="AN363" s="157" t="s">
        <v>774</v>
      </c>
    </row>
    <row r="364" spans="2:40" ht="23.15" customHeight="1" thickBot="1">
      <c r="B364" s="87"/>
      <c r="C364" s="2" t="s">
        <v>292</v>
      </c>
      <c r="D364" s="15" t="s">
        <v>14</v>
      </c>
      <c r="E364" s="20" t="s">
        <v>35</v>
      </c>
      <c r="F364" s="20" t="s">
        <v>39</v>
      </c>
      <c r="G364" s="11">
        <v>12</v>
      </c>
      <c r="H364" s="18">
        <v>9</v>
      </c>
      <c r="I364" s="41" t="s">
        <v>294</v>
      </c>
      <c r="J364" s="41" t="s">
        <v>294</v>
      </c>
      <c r="K364" s="10">
        <v>49793.94</v>
      </c>
      <c r="L364" s="41">
        <v>0</v>
      </c>
      <c r="M364" s="18" t="s">
        <v>294</v>
      </c>
      <c r="N364" s="41">
        <v>0</v>
      </c>
      <c r="O364" s="41" t="s">
        <v>294</v>
      </c>
      <c r="P364" s="41" t="s">
        <v>301</v>
      </c>
      <c r="Q364" s="41">
        <v>0</v>
      </c>
      <c r="R364" s="41">
        <v>0</v>
      </c>
      <c r="S364" s="41">
        <v>0</v>
      </c>
      <c r="T364" s="41">
        <v>0</v>
      </c>
      <c r="U364" s="19"/>
      <c r="V364" s="13">
        <f t="shared" si="53"/>
        <v>49793.94</v>
      </c>
      <c r="W364" s="13"/>
      <c r="X364" s="13"/>
      <c r="Y364" s="13">
        <f>5331.01524022938/3</f>
        <v>1777.00508007646</v>
      </c>
      <c r="Z364" s="13" t="s">
        <v>307</v>
      </c>
      <c r="AA364" s="22">
        <v>45809</v>
      </c>
      <c r="AB364" s="22" cm="1">
        <f t="array" ref="AB3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64" s="4"/>
      <c r="AD364" s="4"/>
      <c r="AE364" s="2"/>
      <c r="AF364" s="3"/>
      <c r="AG364" s="3"/>
      <c r="AH364" s="3"/>
      <c r="AI364" s="3"/>
      <c r="AJ364" s="2">
        <f t="shared" si="54"/>
        <v>0</v>
      </c>
      <c r="AK364" s="2">
        <f t="shared" si="52"/>
        <v>0</v>
      </c>
      <c r="AL364" s="2">
        <f t="shared" si="48"/>
        <v>0</v>
      </c>
      <c r="AM364" s="88"/>
      <c r="AN364" s="157" t="s">
        <v>774</v>
      </c>
    </row>
    <row r="365" spans="2:40" ht="23.15" customHeight="1" thickBot="1">
      <c r="B365" s="87"/>
      <c r="C365" s="2" t="s">
        <v>292</v>
      </c>
      <c r="D365" s="15" t="s">
        <v>14</v>
      </c>
      <c r="E365" s="20" t="s">
        <v>28</v>
      </c>
      <c r="F365" s="20" t="s">
        <v>49</v>
      </c>
      <c r="G365" s="11">
        <v>43</v>
      </c>
      <c r="H365" s="11"/>
      <c r="I365" s="18" t="s">
        <v>294</v>
      </c>
      <c r="J365" s="18" t="s">
        <v>294</v>
      </c>
      <c r="K365" s="19">
        <v>306385.39</v>
      </c>
      <c r="L365" s="41"/>
      <c r="M365" s="18" t="s">
        <v>294</v>
      </c>
      <c r="N365" s="41"/>
      <c r="O365" s="41" t="s">
        <v>294</v>
      </c>
      <c r="P365" s="41" t="s">
        <v>293</v>
      </c>
      <c r="Q365" s="43"/>
      <c r="R365" s="43"/>
      <c r="S365" s="43"/>
      <c r="T365" s="43"/>
      <c r="U365" s="19"/>
      <c r="V365" s="13">
        <f t="shared" ref="V365:V396" si="55">IFERROR((K365+M365+R365+S365+T365+O365)+IF(U365="Sim",P365+Q365,0),(K365+R365+S365+T365)+IF(U365="Sim",P365+Q365,0))</f>
        <v>306385.39</v>
      </c>
      <c r="W365" s="13"/>
      <c r="X365" s="13"/>
      <c r="Y365" s="13"/>
      <c r="Z365" s="13"/>
      <c r="AA365" s="22">
        <v>45931</v>
      </c>
      <c r="AB365" s="22" cm="1">
        <f t="array" ref="AB3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65" s="4"/>
      <c r="AD365" s="4"/>
      <c r="AE365" s="2"/>
      <c r="AF365" s="3"/>
      <c r="AG365" s="3"/>
      <c r="AH365" s="3"/>
      <c r="AI365" s="3"/>
      <c r="AJ365" s="2">
        <f t="shared" si="54"/>
        <v>0</v>
      </c>
      <c r="AK365" s="2">
        <f t="shared" si="52"/>
        <v>0</v>
      </c>
      <c r="AL365" s="2">
        <f t="shared" si="48"/>
        <v>0</v>
      </c>
      <c r="AM365" s="88"/>
      <c r="AN365" s="157" t="s">
        <v>774</v>
      </c>
    </row>
    <row r="366" spans="2:40" ht="23.15" customHeight="1" thickBot="1">
      <c r="B366" s="87"/>
      <c r="C366" s="2" t="s">
        <v>292</v>
      </c>
      <c r="D366" s="15" t="s">
        <v>14</v>
      </c>
      <c r="E366" s="20" t="s">
        <v>35</v>
      </c>
      <c r="F366" s="20" t="s">
        <v>39</v>
      </c>
      <c r="G366" s="11">
        <v>12</v>
      </c>
      <c r="H366" s="18">
        <v>9</v>
      </c>
      <c r="I366" s="41" t="s">
        <v>294</v>
      </c>
      <c r="J366" s="18" t="s">
        <v>294</v>
      </c>
      <c r="K366" s="19">
        <v>49793.94</v>
      </c>
      <c r="L366" s="41">
        <v>0</v>
      </c>
      <c r="M366" s="18" t="s">
        <v>294</v>
      </c>
      <c r="N366" s="41">
        <v>0</v>
      </c>
      <c r="O366" s="41" t="s">
        <v>294</v>
      </c>
      <c r="P366" s="41" t="s">
        <v>293</v>
      </c>
      <c r="Q366" s="43">
        <v>0</v>
      </c>
      <c r="R366" s="43">
        <v>0</v>
      </c>
      <c r="S366" s="43">
        <v>0</v>
      </c>
      <c r="T366" s="43">
        <v>0</v>
      </c>
      <c r="U366" s="19"/>
      <c r="V366" s="13">
        <f t="shared" si="55"/>
        <v>49793.94</v>
      </c>
      <c r="W366" s="13"/>
      <c r="X366" s="13"/>
      <c r="Y366" s="13">
        <f>5331.01524022938/3</f>
        <v>1777.00508007646</v>
      </c>
      <c r="Z366" s="13" t="s">
        <v>308</v>
      </c>
      <c r="AA366" s="22">
        <v>45839</v>
      </c>
      <c r="AB366" s="22" cm="1">
        <f t="array" ref="AB3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66" s="4"/>
      <c r="AD366" s="4"/>
      <c r="AE366" s="2"/>
      <c r="AF366" s="3"/>
      <c r="AG366" s="3"/>
      <c r="AH366" s="3"/>
      <c r="AI366" s="3"/>
      <c r="AJ366" s="2">
        <f t="shared" si="54"/>
        <v>0</v>
      </c>
      <c r="AK366" s="2">
        <f t="shared" si="52"/>
        <v>0</v>
      </c>
      <c r="AL366" s="2">
        <f t="shared" si="48"/>
        <v>0</v>
      </c>
      <c r="AM366" s="88"/>
      <c r="AN366" s="157" t="s">
        <v>774</v>
      </c>
    </row>
    <row r="367" spans="2:40" ht="23.15" customHeight="1" thickBot="1">
      <c r="B367" s="87">
        <v>45700</v>
      </c>
      <c r="C367" s="2" t="s">
        <v>295</v>
      </c>
      <c r="D367" s="15" t="s">
        <v>14</v>
      </c>
      <c r="E367" s="20" t="s">
        <v>35</v>
      </c>
      <c r="F367" s="20" t="s">
        <v>39</v>
      </c>
      <c r="G367" s="11">
        <v>12</v>
      </c>
      <c r="H367" s="18">
        <v>9</v>
      </c>
      <c r="I367" s="18">
        <v>0</v>
      </c>
      <c r="J367" s="18">
        <v>0</v>
      </c>
      <c r="K367" s="19">
        <v>51838.547193570092</v>
      </c>
      <c r="L367" s="41">
        <v>0</v>
      </c>
      <c r="M367" s="18">
        <v>0</v>
      </c>
      <c r="N367" s="41">
        <v>0</v>
      </c>
      <c r="O367" s="41">
        <v>0</v>
      </c>
      <c r="P367" s="41">
        <v>0</v>
      </c>
      <c r="Q367" s="43">
        <v>0</v>
      </c>
      <c r="R367" s="43">
        <v>0</v>
      </c>
      <c r="S367" s="43">
        <v>0</v>
      </c>
      <c r="T367" s="43">
        <v>0</v>
      </c>
      <c r="U367" s="19" t="s">
        <v>295</v>
      </c>
      <c r="V367" s="13">
        <f t="shared" si="55"/>
        <v>51838.547193570092</v>
      </c>
      <c r="W367" s="13"/>
      <c r="X367" s="13"/>
      <c r="Y367" s="13"/>
      <c r="Z367" s="13"/>
      <c r="AA367" s="22">
        <v>45658</v>
      </c>
      <c r="AB367" s="22" cm="1">
        <f t="array" ref="AB3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67" s="4"/>
      <c r="AD367" s="4"/>
      <c r="AE367" s="2"/>
      <c r="AF367" s="3"/>
      <c r="AG367" s="3"/>
      <c r="AH367" s="3"/>
      <c r="AI367" s="3"/>
      <c r="AJ367" s="2">
        <f t="shared" si="54"/>
        <v>0</v>
      </c>
      <c r="AK367" s="2">
        <f t="shared" si="52"/>
        <v>0</v>
      </c>
      <c r="AL367" s="2">
        <f t="shared" si="48"/>
        <v>0</v>
      </c>
      <c r="AM367" s="88"/>
      <c r="AN367" s="157" t="s">
        <v>774</v>
      </c>
    </row>
    <row r="368" spans="2:40" ht="23.15" customHeight="1" thickBot="1">
      <c r="B368" s="87"/>
      <c r="C368" s="2" t="s">
        <v>295</v>
      </c>
      <c r="D368" s="15" t="s">
        <v>14</v>
      </c>
      <c r="E368" s="20" t="s">
        <v>165</v>
      </c>
      <c r="F368" s="20" t="s">
        <v>39</v>
      </c>
      <c r="G368" s="11">
        <v>9</v>
      </c>
      <c r="H368" s="18">
        <v>9</v>
      </c>
      <c r="I368" s="18">
        <v>0</v>
      </c>
      <c r="J368" s="18">
        <v>0</v>
      </c>
      <c r="K368" s="19">
        <v>56404.82726944</v>
      </c>
      <c r="L368" s="41">
        <v>0</v>
      </c>
      <c r="M368" s="18">
        <v>0</v>
      </c>
      <c r="N368" s="41">
        <v>0</v>
      </c>
      <c r="O368" s="41">
        <v>0</v>
      </c>
      <c r="P368" s="41">
        <v>0</v>
      </c>
      <c r="Q368" s="43">
        <v>0</v>
      </c>
      <c r="R368" s="43">
        <v>0</v>
      </c>
      <c r="S368" s="43">
        <v>0</v>
      </c>
      <c r="T368" s="43">
        <v>0</v>
      </c>
      <c r="U368" s="19" t="s">
        <v>295</v>
      </c>
      <c r="V368" s="13">
        <f t="shared" si="55"/>
        <v>56404.82726944</v>
      </c>
      <c r="W368" s="13"/>
      <c r="X368" s="13"/>
      <c r="Y368" s="13"/>
      <c r="Z368" s="13"/>
      <c r="AA368" s="22">
        <v>45658</v>
      </c>
      <c r="AB368" s="22" cm="1">
        <f t="array" ref="AB3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68" s="4"/>
      <c r="AD368" s="4"/>
      <c r="AE368" s="2"/>
      <c r="AF368" s="3"/>
      <c r="AG368" s="3"/>
      <c r="AH368" s="3"/>
      <c r="AI368" s="3"/>
      <c r="AJ368" s="2">
        <f t="shared" si="54"/>
        <v>0</v>
      </c>
      <c r="AK368" s="2">
        <f t="shared" si="52"/>
        <v>0</v>
      </c>
      <c r="AL368" s="2">
        <f t="shared" si="48"/>
        <v>0</v>
      </c>
      <c r="AM368" s="88"/>
      <c r="AN368" s="157" t="s">
        <v>774</v>
      </c>
    </row>
    <row r="369" spans="2:40" ht="23.15" customHeight="1" thickBot="1">
      <c r="B369" s="87"/>
      <c r="C369" s="2" t="s">
        <v>292</v>
      </c>
      <c r="D369" s="15" t="s">
        <v>14</v>
      </c>
      <c r="E369" s="20" t="s">
        <v>165</v>
      </c>
      <c r="F369" s="20" t="s">
        <v>39</v>
      </c>
      <c r="G369" s="11">
        <v>9</v>
      </c>
      <c r="H369" s="18">
        <v>9</v>
      </c>
      <c r="I369" s="18" t="s">
        <v>294</v>
      </c>
      <c r="J369" s="18" t="s">
        <v>294</v>
      </c>
      <c r="K369" s="249">
        <v>56404.82726944</v>
      </c>
      <c r="L369" s="41">
        <v>0</v>
      </c>
      <c r="M369" s="18" t="s">
        <v>294</v>
      </c>
      <c r="N369" s="41">
        <v>0</v>
      </c>
      <c r="O369" s="41" t="s">
        <v>294</v>
      </c>
      <c r="P369" s="41">
        <v>0</v>
      </c>
      <c r="Q369" s="43">
        <v>0</v>
      </c>
      <c r="R369" s="43">
        <v>0</v>
      </c>
      <c r="S369" s="43">
        <v>0</v>
      </c>
      <c r="T369" s="43">
        <v>0</v>
      </c>
      <c r="U369" s="19"/>
      <c r="V369" s="13">
        <f t="shared" si="55"/>
        <v>56404.82726944</v>
      </c>
      <c r="W369" s="13"/>
      <c r="X369" s="13"/>
      <c r="Y369" s="13"/>
      <c r="Z369" s="13"/>
      <c r="AA369" s="22">
        <v>45689</v>
      </c>
      <c r="AB369" s="22" cm="1">
        <f t="array" ref="AB3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69" s="4"/>
      <c r="AD369" s="4"/>
      <c r="AE369" s="2"/>
      <c r="AF369" s="3"/>
      <c r="AG369" s="3"/>
      <c r="AH369" s="3"/>
      <c r="AI369" s="3"/>
      <c r="AJ369" s="2">
        <f t="shared" si="54"/>
        <v>0</v>
      </c>
      <c r="AK369" s="2">
        <f t="shared" si="52"/>
        <v>0</v>
      </c>
      <c r="AL369" s="2">
        <f t="shared" si="48"/>
        <v>0</v>
      </c>
      <c r="AM369" s="88"/>
      <c r="AN369" s="157" t="s">
        <v>774</v>
      </c>
    </row>
    <row r="370" spans="2:40" ht="23.15" customHeight="1" thickBot="1">
      <c r="B370" s="87"/>
      <c r="C370" s="2" t="s">
        <v>292</v>
      </c>
      <c r="D370" s="15" t="s">
        <v>14</v>
      </c>
      <c r="E370" s="20" t="s">
        <v>165</v>
      </c>
      <c r="F370" s="20" t="s">
        <v>39</v>
      </c>
      <c r="G370" s="11">
        <v>9</v>
      </c>
      <c r="H370" s="18">
        <v>9</v>
      </c>
      <c r="I370" s="18" t="s">
        <v>294</v>
      </c>
      <c r="J370" s="18" t="s">
        <v>294</v>
      </c>
      <c r="K370" s="19">
        <v>56404.82726944</v>
      </c>
      <c r="L370" s="41">
        <v>0</v>
      </c>
      <c r="M370" s="18" t="s">
        <v>294</v>
      </c>
      <c r="N370" s="41">
        <v>0</v>
      </c>
      <c r="O370" s="41" t="s">
        <v>294</v>
      </c>
      <c r="P370" s="41">
        <v>0</v>
      </c>
      <c r="Q370" s="43">
        <v>0</v>
      </c>
      <c r="R370" s="43">
        <v>0</v>
      </c>
      <c r="S370" s="43">
        <v>0</v>
      </c>
      <c r="T370" s="43">
        <v>0</v>
      </c>
      <c r="U370" s="19"/>
      <c r="V370" s="13">
        <f t="shared" si="55"/>
        <v>56404.82726944</v>
      </c>
      <c r="W370" s="13"/>
      <c r="X370" s="13"/>
      <c r="Y370" s="13"/>
      <c r="Z370" s="13"/>
      <c r="AA370" s="22">
        <v>45717</v>
      </c>
      <c r="AB370" s="22" cm="1">
        <f t="array" ref="AB3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70" s="4"/>
      <c r="AD370" s="4"/>
      <c r="AE370" s="2"/>
      <c r="AF370" s="3"/>
      <c r="AG370" s="3"/>
      <c r="AH370" s="3"/>
      <c r="AI370" s="3"/>
      <c r="AJ370" s="2">
        <f t="shared" si="54"/>
        <v>0</v>
      </c>
      <c r="AK370" s="2">
        <f t="shared" si="52"/>
        <v>0</v>
      </c>
      <c r="AL370" s="2">
        <f t="shared" si="48"/>
        <v>0</v>
      </c>
      <c r="AM370" s="88"/>
      <c r="AN370" s="157" t="s">
        <v>774</v>
      </c>
    </row>
    <row r="371" spans="2:40" ht="23.15" customHeight="1" thickBot="1">
      <c r="B371" s="87"/>
      <c r="C371" s="2" t="s">
        <v>292</v>
      </c>
      <c r="D371" s="15" t="s">
        <v>14</v>
      </c>
      <c r="E371" s="20" t="s">
        <v>165</v>
      </c>
      <c r="F371" s="20" t="s">
        <v>39</v>
      </c>
      <c r="G371" s="11">
        <v>9</v>
      </c>
      <c r="H371" s="18">
        <v>9</v>
      </c>
      <c r="I371" s="18" t="s">
        <v>294</v>
      </c>
      <c r="J371" s="18" t="s">
        <v>294</v>
      </c>
      <c r="K371" s="10">
        <v>56404.82726944</v>
      </c>
      <c r="L371" s="41"/>
      <c r="M371" s="18" t="s">
        <v>294</v>
      </c>
      <c r="N371" s="41"/>
      <c r="O371" s="41" t="s">
        <v>294</v>
      </c>
      <c r="P371" s="41">
        <v>0</v>
      </c>
      <c r="Q371" s="43">
        <v>0</v>
      </c>
      <c r="R371" s="43">
        <v>0</v>
      </c>
      <c r="S371" s="43">
        <v>0</v>
      </c>
      <c r="T371" s="43">
        <v>0</v>
      </c>
      <c r="U371" s="19"/>
      <c r="V371" s="13">
        <f t="shared" si="55"/>
        <v>56404.82726944</v>
      </c>
      <c r="W371" s="13"/>
      <c r="X371" s="13"/>
      <c r="Y371" s="13"/>
      <c r="Z371" s="13"/>
      <c r="AA371" s="22">
        <v>45748</v>
      </c>
      <c r="AB371" s="22" cm="1">
        <f t="array" ref="AB3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71" s="4"/>
      <c r="AD371" s="4"/>
      <c r="AE371" s="2"/>
      <c r="AF371" s="3"/>
      <c r="AG371" s="3"/>
      <c r="AH371" s="3"/>
      <c r="AI371" s="3"/>
      <c r="AJ371" s="2">
        <f t="shared" si="54"/>
        <v>0</v>
      </c>
      <c r="AK371" s="2">
        <f t="shared" si="52"/>
        <v>0</v>
      </c>
      <c r="AL371" s="2">
        <f t="shared" si="48"/>
        <v>0</v>
      </c>
      <c r="AM371" s="88"/>
      <c r="AN371" s="157" t="s">
        <v>774</v>
      </c>
    </row>
    <row r="372" spans="2:40" ht="23.15" customHeight="1" thickBot="1">
      <c r="B372" s="87"/>
      <c r="C372" s="2" t="s">
        <v>292</v>
      </c>
      <c r="D372" s="15" t="s">
        <v>14</v>
      </c>
      <c r="E372" s="20" t="s">
        <v>35</v>
      </c>
      <c r="F372" s="20" t="s">
        <v>39</v>
      </c>
      <c r="G372" s="11">
        <v>12</v>
      </c>
      <c r="H372" s="11">
        <v>9</v>
      </c>
      <c r="I372" s="18" t="s">
        <v>294</v>
      </c>
      <c r="J372" s="18" t="s">
        <v>294</v>
      </c>
      <c r="K372" s="19">
        <v>57144.12</v>
      </c>
      <c r="L372" s="41">
        <v>0</v>
      </c>
      <c r="M372" s="18" t="s">
        <v>294</v>
      </c>
      <c r="N372" s="41">
        <v>0</v>
      </c>
      <c r="O372" s="41" t="s">
        <v>294</v>
      </c>
      <c r="P372" s="41">
        <v>0</v>
      </c>
      <c r="Q372" s="43">
        <v>0</v>
      </c>
      <c r="R372" s="43">
        <v>0</v>
      </c>
      <c r="S372" s="43">
        <v>0</v>
      </c>
      <c r="T372" s="43">
        <v>0</v>
      </c>
      <c r="U372" s="19"/>
      <c r="V372" s="13">
        <f t="shared" si="55"/>
        <v>57144.12</v>
      </c>
      <c r="W372" s="13"/>
      <c r="X372" s="13"/>
      <c r="Y372" s="13"/>
      <c r="Z372" s="13"/>
      <c r="AA372" s="22">
        <v>45689</v>
      </c>
      <c r="AB372" s="22" cm="1">
        <f t="array" ref="AB3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72" s="4"/>
      <c r="AD372" s="4"/>
      <c r="AE372" s="2"/>
      <c r="AF372" s="3"/>
      <c r="AG372" s="3"/>
      <c r="AH372" s="3"/>
      <c r="AI372" s="3"/>
      <c r="AJ372" s="2">
        <f t="shared" si="54"/>
        <v>0</v>
      </c>
      <c r="AK372" s="2">
        <f t="shared" si="52"/>
        <v>0</v>
      </c>
      <c r="AL372" s="2">
        <f t="shared" si="48"/>
        <v>0</v>
      </c>
      <c r="AM372" s="88"/>
      <c r="AN372" s="157" t="s">
        <v>774</v>
      </c>
    </row>
    <row r="373" spans="2:40" ht="23.15" customHeight="1" thickBot="1">
      <c r="B373" s="87"/>
      <c r="C373" s="2" t="s">
        <v>292</v>
      </c>
      <c r="D373" s="15" t="s">
        <v>14</v>
      </c>
      <c r="E373" s="20" t="s">
        <v>165</v>
      </c>
      <c r="F373" s="20" t="s">
        <v>39</v>
      </c>
      <c r="G373" s="11">
        <v>9</v>
      </c>
      <c r="H373" s="11">
        <v>9</v>
      </c>
      <c r="I373" s="41" t="s">
        <v>294</v>
      </c>
      <c r="J373" s="41" t="s">
        <v>294</v>
      </c>
      <c r="K373" s="19">
        <v>60371.345216639995</v>
      </c>
      <c r="L373" s="41">
        <v>0</v>
      </c>
      <c r="M373" s="18" t="s">
        <v>294</v>
      </c>
      <c r="N373" s="41">
        <v>0</v>
      </c>
      <c r="O373" s="41" t="s">
        <v>294</v>
      </c>
      <c r="P373" s="41">
        <v>0</v>
      </c>
      <c r="Q373" s="43">
        <v>0</v>
      </c>
      <c r="R373" s="43">
        <v>0</v>
      </c>
      <c r="S373" s="43">
        <v>0</v>
      </c>
      <c r="T373" s="43">
        <v>0</v>
      </c>
      <c r="U373" s="19" t="s">
        <v>292</v>
      </c>
      <c r="V373" s="13">
        <f t="shared" si="55"/>
        <v>60371.345216639995</v>
      </c>
      <c r="W373" s="13"/>
      <c r="X373" s="13"/>
      <c r="Y373" s="13">
        <f>7933.03627843858/3</f>
        <v>2644.3454261461934</v>
      </c>
      <c r="Z373" s="13" t="s">
        <v>304</v>
      </c>
      <c r="AA373" s="22">
        <v>45778</v>
      </c>
      <c r="AB373" s="22" cm="1">
        <f t="array" ref="AB3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73" s="4"/>
      <c r="AD373" s="4"/>
      <c r="AE373" s="2"/>
      <c r="AF373" s="3"/>
      <c r="AG373" s="3"/>
      <c r="AH373" s="3"/>
      <c r="AI373" s="3"/>
      <c r="AJ373" s="2">
        <f t="shared" si="54"/>
        <v>0</v>
      </c>
      <c r="AK373" s="2">
        <f t="shared" si="52"/>
        <v>0</v>
      </c>
      <c r="AL373" s="2">
        <f t="shared" ref="AL373:AL436" si="56">K373-V373</f>
        <v>0</v>
      </c>
      <c r="AM373" s="88"/>
      <c r="AN373" s="157" t="s">
        <v>774</v>
      </c>
    </row>
    <row r="374" spans="2:40" ht="23.15" customHeight="1" thickBot="1">
      <c r="B374" s="87"/>
      <c r="C374" s="2" t="s">
        <v>292</v>
      </c>
      <c r="D374" s="15" t="s">
        <v>14</v>
      </c>
      <c r="E374" s="20" t="s">
        <v>165</v>
      </c>
      <c r="F374" s="20" t="s">
        <v>39</v>
      </c>
      <c r="G374" s="11">
        <v>9</v>
      </c>
      <c r="H374" s="18">
        <v>9</v>
      </c>
      <c r="I374" s="41" t="s">
        <v>294</v>
      </c>
      <c r="J374" s="41" t="s">
        <v>294</v>
      </c>
      <c r="K374" s="19">
        <v>60371.345216639995</v>
      </c>
      <c r="L374" s="41">
        <v>0</v>
      </c>
      <c r="M374" s="18" t="s">
        <v>294</v>
      </c>
      <c r="N374" s="41">
        <v>0</v>
      </c>
      <c r="O374" s="41" t="s">
        <v>294</v>
      </c>
      <c r="P374" s="41" t="s">
        <v>301</v>
      </c>
      <c r="Q374" s="43">
        <v>0</v>
      </c>
      <c r="R374" s="43">
        <v>0</v>
      </c>
      <c r="S374" s="43">
        <v>0</v>
      </c>
      <c r="T374" s="43">
        <v>0</v>
      </c>
      <c r="U374" s="19"/>
      <c r="V374" s="13">
        <f t="shared" si="55"/>
        <v>60371.345216639995</v>
      </c>
      <c r="W374" s="13"/>
      <c r="X374" s="13"/>
      <c r="Y374" s="13">
        <f>7933.03627843858/3</f>
        <v>2644.3454261461934</v>
      </c>
      <c r="Z374" s="13" t="s">
        <v>307</v>
      </c>
      <c r="AA374" s="22">
        <v>45809</v>
      </c>
      <c r="AB374" s="22" cm="1">
        <f t="array" ref="AB3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74" s="4"/>
      <c r="AD374" s="4"/>
      <c r="AE374" s="2"/>
      <c r="AF374" s="3"/>
      <c r="AG374" s="3"/>
      <c r="AH374" s="3"/>
      <c r="AI374" s="3"/>
      <c r="AJ374" s="2">
        <f t="shared" si="54"/>
        <v>0</v>
      </c>
      <c r="AK374" s="2">
        <f t="shared" si="52"/>
        <v>0</v>
      </c>
      <c r="AL374" s="2">
        <f t="shared" si="56"/>
        <v>0</v>
      </c>
      <c r="AM374" s="88"/>
      <c r="AN374" s="157" t="s">
        <v>774</v>
      </c>
    </row>
    <row r="375" spans="2:40" ht="23.15" customHeight="1" thickBot="1">
      <c r="B375" s="87">
        <v>45910</v>
      </c>
      <c r="C375" s="2" t="s">
        <v>299</v>
      </c>
      <c r="D375" s="15" t="s">
        <v>14</v>
      </c>
      <c r="E375" s="20" t="s">
        <v>157</v>
      </c>
      <c r="F375" s="20" t="s">
        <v>40</v>
      </c>
      <c r="G375" s="11">
        <v>2</v>
      </c>
      <c r="H375" s="18">
        <v>2</v>
      </c>
      <c r="I375" s="18">
        <v>0</v>
      </c>
      <c r="J375" s="18">
        <v>0</v>
      </c>
      <c r="K375" s="19">
        <v>16054.735101484783</v>
      </c>
      <c r="L375" s="41">
        <v>0</v>
      </c>
      <c r="M375" s="41">
        <v>0</v>
      </c>
      <c r="N375" s="41">
        <v>0</v>
      </c>
      <c r="O375" s="41">
        <v>0</v>
      </c>
      <c r="P375" s="41">
        <v>0</v>
      </c>
      <c r="Q375" s="43">
        <v>0</v>
      </c>
      <c r="R375" s="43">
        <v>0</v>
      </c>
      <c r="S375" s="43">
        <v>0</v>
      </c>
      <c r="T375" s="43">
        <v>0</v>
      </c>
      <c r="U375" s="19"/>
      <c r="V375" s="13">
        <f t="shared" si="55"/>
        <v>16054.735101484783</v>
      </c>
      <c r="W375" s="13"/>
      <c r="X375" s="13"/>
      <c r="Y375" s="13"/>
      <c r="Z375" s="13"/>
      <c r="AA375" s="22">
        <v>45870</v>
      </c>
      <c r="AB375" s="22" cm="1">
        <f t="array" ref="AB3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75" s="4"/>
      <c r="AD375" s="4"/>
      <c r="AE375" s="2"/>
      <c r="AF375" s="3"/>
      <c r="AG375" s="3"/>
      <c r="AH375" s="3"/>
      <c r="AI375" s="3"/>
      <c r="AJ375" s="2">
        <f t="shared" si="54"/>
        <v>0</v>
      </c>
      <c r="AK375" s="2">
        <f t="shared" si="52"/>
        <v>0</v>
      </c>
      <c r="AL375" s="2">
        <f t="shared" si="56"/>
        <v>0</v>
      </c>
      <c r="AM375" s="88"/>
      <c r="AN375" s="157" t="s">
        <v>774</v>
      </c>
    </row>
    <row r="376" spans="2:40" ht="23.15" customHeight="1" thickBot="1">
      <c r="B376" s="87"/>
      <c r="C376" s="2" t="s">
        <v>292</v>
      </c>
      <c r="D376" s="15" t="s">
        <v>14</v>
      </c>
      <c r="E376" s="20" t="s">
        <v>165</v>
      </c>
      <c r="F376" s="20" t="s">
        <v>39</v>
      </c>
      <c r="G376" s="11">
        <v>9</v>
      </c>
      <c r="H376" s="18">
        <v>9</v>
      </c>
      <c r="I376" s="41" t="s">
        <v>294</v>
      </c>
      <c r="J376" s="18" t="s">
        <v>294</v>
      </c>
      <c r="K376" s="19">
        <v>60371.345216639995</v>
      </c>
      <c r="L376" s="41">
        <v>0</v>
      </c>
      <c r="M376" s="18" t="s">
        <v>294</v>
      </c>
      <c r="N376" s="41">
        <v>0</v>
      </c>
      <c r="O376" s="41" t="s">
        <v>294</v>
      </c>
      <c r="P376" s="41">
        <v>0</v>
      </c>
      <c r="Q376" s="41">
        <v>0</v>
      </c>
      <c r="R376" s="41">
        <v>0</v>
      </c>
      <c r="S376" s="41">
        <v>0</v>
      </c>
      <c r="T376" s="41">
        <v>0</v>
      </c>
      <c r="U376" s="19"/>
      <c r="V376" s="13">
        <f t="shared" si="55"/>
        <v>60371.345216639995</v>
      </c>
      <c r="W376" s="13"/>
      <c r="X376" s="13"/>
      <c r="Y376" s="13">
        <f>7933.03627843858/3</f>
        <v>2644.3454261461934</v>
      </c>
      <c r="Z376" s="13" t="s">
        <v>308</v>
      </c>
      <c r="AA376" s="22">
        <v>45839</v>
      </c>
      <c r="AB376" s="22" cm="1">
        <f t="array" ref="AB3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76" s="4"/>
      <c r="AD376" s="4"/>
      <c r="AE376" s="2"/>
      <c r="AF376" s="3"/>
      <c r="AG376" s="3"/>
      <c r="AH376" s="3"/>
      <c r="AI376" s="3"/>
      <c r="AJ376" s="2">
        <f t="shared" si="54"/>
        <v>0</v>
      </c>
      <c r="AK376" s="2">
        <f t="shared" si="52"/>
        <v>0</v>
      </c>
      <c r="AL376" s="2">
        <f t="shared" si="56"/>
        <v>0</v>
      </c>
      <c r="AM376" s="88"/>
      <c r="AN376" s="157" t="s">
        <v>774</v>
      </c>
    </row>
    <row r="377" spans="2:40" ht="23.15" customHeight="1" thickBot="1">
      <c r="B377" s="87">
        <v>45700</v>
      </c>
      <c r="C377" s="2" t="s">
        <v>295</v>
      </c>
      <c r="D377" s="15" t="s">
        <v>14</v>
      </c>
      <c r="E377" s="20" t="s">
        <v>26</v>
      </c>
      <c r="F377" s="20" t="s">
        <v>40</v>
      </c>
      <c r="G377" s="11">
        <v>7</v>
      </c>
      <c r="H377" s="18">
        <v>9</v>
      </c>
      <c r="I377" s="18">
        <v>0</v>
      </c>
      <c r="J377" s="18">
        <v>0</v>
      </c>
      <c r="K377" s="19">
        <v>63442.61</v>
      </c>
      <c r="L377" s="41">
        <v>0</v>
      </c>
      <c r="M377" s="18">
        <v>0</v>
      </c>
      <c r="N377" s="41">
        <v>0</v>
      </c>
      <c r="O377" s="41">
        <v>0</v>
      </c>
      <c r="P377" s="41">
        <v>0</v>
      </c>
      <c r="Q377" s="43">
        <v>0</v>
      </c>
      <c r="R377" s="43">
        <v>0</v>
      </c>
      <c r="S377" s="43">
        <v>0</v>
      </c>
      <c r="T377" s="43">
        <v>0</v>
      </c>
      <c r="U377" s="19" t="s">
        <v>295</v>
      </c>
      <c r="V377" s="13">
        <f t="shared" si="55"/>
        <v>63442.61</v>
      </c>
      <c r="W377" s="13"/>
      <c r="X377" s="13"/>
      <c r="Y377" s="13"/>
      <c r="Z377" s="13"/>
      <c r="AA377" s="22">
        <v>45658</v>
      </c>
      <c r="AB377" s="22" cm="1">
        <f t="array" ref="AB3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77" s="4">
        <v>6979.95</v>
      </c>
      <c r="AD377" s="4">
        <v>6979.95</v>
      </c>
      <c r="AE377" s="2"/>
      <c r="AF377" s="3"/>
      <c r="AG377" s="3"/>
      <c r="AH377" s="3"/>
      <c r="AI377" s="3"/>
      <c r="AJ377" s="2">
        <f t="shared" si="54"/>
        <v>0</v>
      </c>
      <c r="AK377" s="2">
        <f t="shared" si="52"/>
        <v>0</v>
      </c>
      <c r="AL377" s="2">
        <f t="shared" si="56"/>
        <v>0</v>
      </c>
      <c r="AM377" s="88"/>
      <c r="AN377" s="157" t="s">
        <v>774</v>
      </c>
    </row>
    <row r="378" spans="2:40" ht="23.15" customHeight="1" thickBot="1">
      <c r="B378" s="87">
        <v>45727</v>
      </c>
      <c r="C378" s="2" t="s">
        <v>295</v>
      </c>
      <c r="D378" s="15" t="s">
        <v>14</v>
      </c>
      <c r="E378" s="20" t="s">
        <v>26</v>
      </c>
      <c r="F378" s="20" t="s">
        <v>40</v>
      </c>
      <c r="G378" s="11">
        <v>7</v>
      </c>
      <c r="H378" s="18">
        <v>9</v>
      </c>
      <c r="I378" s="18">
        <v>0</v>
      </c>
      <c r="J378" s="18">
        <v>0</v>
      </c>
      <c r="K378" s="19">
        <v>63442.61</v>
      </c>
      <c r="L378" s="41">
        <v>0</v>
      </c>
      <c r="M378" s="18">
        <v>0</v>
      </c>
      <c r="N378" s="41">
        <v>0</v>
      </c>
      <c r="O378" s="41">
        <v>0</v>
      </c>
      <c r="P378" s="41">
        <v>0</v>
      </c>
      <c r="Q378" s="43">
        <v>0</v>
      </c>
      <c r="R378" s="43">
        <v>0</v>
      </c>
      <c r="S378" s="43">
        <v>0</v>
      </c>
      <c r="T378" s="43">
        <v>0</v>
      </c>
      <c r="U378" s="19" t="s">
        <v>295</v>
      </c>
      <c r="V378" s="13">
        <f t="shared" si="55"/>
        <v>63442.61</v>
      </c>
      <c r="W378" s="13"/>
      <c r="X378" s="13"/>
      <c r="Y378" s="13"/>
      <c r="Z378" s="13"/>
      <c r="AA378" s="22">
        <v>45689</v>
      </c>
      <c r="AB378" s="22" cm="1">
        <f t="array" ref="AB3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78" s="4"/>
      <c r="AD378" s="4"/>
      <c r="AE378" s="2"/>
      <c r="AF378" s="3"/>
      <c r="AG378" s="3"/>
      <c r="AH378" s="3"/>
      <c r="AI378" s="3"/>
      <c r="AJ378" s="2">
        <f t="shared" ref="AJ378:AJ409" si="57">IFERROR(L378-M378,0)</f>
        <v>0</v>
      </c>
      <c r="AK378" s="2">
        <f t="shared" si="52"/>
        <v>0</v>
      </c>
      <c r="AL378" s="2">
        <f t="shared" si="56"/>
        <v>0</v>
      </c>
      <c r="AM378" s="88"/>
      <c r="AN378" s="157" t="s">
        <v>774</v>
      </c>
    </row>
    <row r="379" spans="2:40" ht="23.15" customHeight="1" thickBot="1">
      <c r="B379" s="87"/>
      <c r="C379" s="2" t="s">
        <v>292</v>
      </c>
      <c r="D379" s="15" t="s">
        <v>14</v>
      </c>
      <c r="E379" s="20" t="s">
        <v>26</v>
      </c>
      <c r="F379" s="20" t="s">
        <v>40</v>
      </c>
      <c r="G379" s="11">
        <v>7</v>
      </c>
      <c r="H379" s="11">
        <v>9</v>
      </c>
      <c r="I379" s="18">
        <v>0</v>
      </c>
      <c r="J379" s="18">
        <v>0</v>
      </c>
      <c r="K379" s="19">
        <v>63442.61</v>
      </c>
      <c r="L379" s="41">
        <v>0</v>
      </c>
      <c r="M379" s="18">
        <v>0</v>
      </c>
      <c r="N379" s="41">
        <v>0</v>
      </c>
      <c r="O379" s="41">
        <v>0</v>
      </c>
      <c r="P379" s="41">
        <v>0</v>
      </c>
      <c r="Q379" s="43">
        <v>0</v>
      </c>
      <c r="R379" s="43">
        <v>0</v>
      </c>
      <c r="S379" s="43">
        <v>0</v>
      </c>
      <c r="T379" s="43">
        <v>0</v>
      </c>
      <c r="U379" s="19"/>
      <c r="V379" s="13">
        <f t="shared" si="55"/>
        <v>63442.61</v>
      </c>
      <c r="W379" s="13"/>
      <c r="X379" s="13"/>
      <c r="Y379" s="13"/>
      <c r="Z379" s="13"/>
      <c r="AA379" s="22">
        <v>45717</v>
      </c>
      <c r="AB379" s="22" cm="1">
        <f t="array" ref="AB3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79" s="4"/>
      <c r="AD379" s="4"/>
      <c r="AE379" s="2"/>
      <c r="AF379" s="3"/>
      <c r="AG379" s="3"/>
      <c r="AH379" s="3"/>
      <c r="AI379" s="3"/>
      <c r="AJ379" s="2">
        <f t="shared" si="57"/>
        <v>0</v>
      </c>
      <c r="AK379" s="2">
        <f t="shared" si="52"/>
        <v>0</v>
      </c>
      <c r="AL379" s="2">
        <f t="shared" si="56"/>
        <v>0</v>
      </c>
      <c r="AM379" s="88"/>
      <c r="AN379" s="157" t="s">
        <v>774</v>
      </c>
    </row>
    <row r="380" spans="2:40" ht="23.15" customHeight="1" thickBot="1">
      <c r="B380" s="87">
        <v>45791</v>
      </c>
      <c r="C380" s="2" t="s">
        <v>295</v>
      </c>
      <c r="D380" s="15" t="s">
        <v>14</v>
      </c>
      <c r="E380" s="20" t="s">
        <v>26</v>
      </c>
      <c r="F380" s="20" t="s">
        <v>40</v>
      </c>
      <c r="G380" s="11">
        <v>7</v>
      </c>
      <c r="H380" s="11">
        <v>9</v>
      </c>
      <c r="I380" s="18">
        <v>0</v>
      </c>
      <c r="J380" s="18">
        <v>0</v>
      </c>
      <c r="K380" s="19">
        <v>63442.61</v>
      </c>
      <c r="L380" s="41">
        <v>0</v>
      </c>
      <c r="M380" s="18">
        <v>0</v>
      </c>
      <c r="N380" s="41">
        <v>0</v>
      </c>
      <c r="O380" s="41">
        <v>0</v>
      </c>
      <c r="P380" s="41">
        <v>0</v>
      </c>
      <c r="Q380" s="41">
        <v>0</v>
      </c>
      <c r="R380" s="41">
        <v>0</v>
      </c>
      <c r="S380" s="41">
        <v>0</v>
      </c>
      <c r="T380" s="41">
        <v>0</v>
      </c>
      <c r="U380" s="19"/>
      <c r="V380" s="13">
        <f t="shared" si="55"/>
        <v>63442.61</v>
      </c>
      <c r="W380" s="13"/>
      <c r="X380" s="13"/>
      <c r="Y380" s="13"/>
      <c r="Z380" s="13"/>
      <c r="AA380" s="22">
        <v>45748</v>
      </c>
      <c r="AB380" s="22" cm="1">
        <f t="array" ref="AB3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80" s="4"/>
      <c r="AD380" s="4"/>
      <c r="AE380" s="2"/>
      <c r="AF380" s="3"/>
      <c r="AG380" s="3"/>
      <c r="AH380" s="3"/>
      <c r="AI380" s="3"/>
      <c r="AJ380" s="2">
        <f t="shared" si="57"/>
        <v>0</v>
      </c>
      <c r="AK380" s="2">
        <f t="shared" si="52"/>
        <v>0</v>
      </c>
      <c r="AL380" s="2">
        <f t="shared" si="56"/>
        <v>0</v>
      </c>
      <c r="AM380" s="88"/>
      <c r="AN380" s="157" t="s">
        <v>774</v>
      </c>
    </row>
    <row r="381" spans="2:40" ht="23.15" customHeight="1" thickBot="1">
      <c r="B381" s="87"/>
      <c r="C381" s="2" t="s">
        <v>292</v>
      </c>
      <c r="D381" s="15" t="s">
        <v>14</v>
      </c>
      <c r="E381" s="20" t="s">
        <v>26</v>
      </c>
      <c r="F381" s="20" t="s">
        <v>40</v>
      </c>
      <c r="G381" s="11">
        <v>7</v>
      </c>
      <c r="H381" s="11">
        <v>9</v>
      </c>
      <c r="I381" s="18">
        <v>0</v>
      </c>
      <c r="J381" s="41">
        <v>0</v>
      </c>
      <c r="K381" s="19">
        <v>63442.61</v>
      </c>
      <c r="L381" s="41">
        <v>0</v>
      </c>
      <c r="M381" s="18">
        <v>0</v>
      </c>
      <c r="N381" s="41">
        <v>0</v>
      </c>
      <c r="O381" s="41">
        <v>0</v>
      </c>
      <c r="P381" s="41">
        <v>0</v>
      </c>
      <c r="Q381" s="41">
        <v>0</v>
      </c>
      <c r="R381" s="41">
        <v>0</v>
      </c>
      <c r="S381" s="41">
        <v>0</v>
      </c>
      <c r="T381" s="41">
        <v>0</v>
      </c>
      <c r="U381" s="19" t="s">
        <v>292</v>
      </c>
      <c r="V381" s="13">
        <f t="shared" si="55"/>
        <v>63442.61</v>
      </c>
      <c r="W381" s="13"/>
      <c r="X381" s="13"/>
      <c r="Y381" s="13"/>
      <c r="Z381" s="13"/>
      <c r="AA381" s="22">
        <v>45778</v>
      </c>
      <c r="AB381" s="22" cm="1">
        <f t="array" ref="AB3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81" s="4"/>
      <c r="AD381" s="4"/>
      <c r="AE381" s="2"/>
      <c r="AF381" s="3"/>
      <c r="AG381" s="3"/>
      <c r="AH381" s="3"/>
      <c r="AI381" s="3"/>
      <c r="AJ381" s="2">
        <f t="shared" si="57"/>
        <v>0</v>
      </c>
      <c r="AK381" s="2">
        <f t="shared" si="52"/>
        <v>0</v>
      </c>
      <c r="AL381" s="2">
        <f t="shared" si="56"/>
        <v>0</v>
      </c>
      <c r="AM381" s="88"/>
      <c r="AN381" s="157" t="s">
        <v>774</v>
      </c>
    </row>
    <row r="382" spans="2:40" ht="23.15" customHeight="1" thickBot="1">
      <c r="B382" s="87"/>
      <c r="C382" s="2" t="s">
        <v>292</v>
      </c>
      <c r="D382" s="15" t="s">
        <v>14</v>
      </c>
      <c r="E382" s="20" t="s">
        <v>26</v>
      </c>
      <c r="F382" s="20" t="s">
        <v>40</v>
      </c>
      <c r="G382" s="11">
        <v>7</v>
      </c>
      <c r="H382" s="11">
        <v>9</v>
      </c>
      <c r="I382" s="18" t="s">
        <v>294</v>
      </c>
      <c r="J382" s="41" t="s">
        <v>294</v>
      </c>
      <c r="K382" s="19">
        <v>66451.163650709059</v>
      </c>
      <c r="L382" s="41">
        <v>0</v>
      </c>
      <c r="M382" s="18" t="s">
        <v>294</v>
      </c>
      <c r="N382" s="41">
        <v>0</v>
      </c>
      <c r="O382" s="41" t="s">
        <v>294</v>
      </c>
      <c r="P382" s="41" t="s">
        <v>301</v>
      </c>
      <c r="Q382" s="43">
        <v>0</v>
      </c>
      <c r="R382" s="43">
        <v>0</v>
      </c>
      <c r="S382" s="43">
        <v>0</v>
      </c>
      <c r="T382" s="43">
        <v>0</v>
      </c>
      <c r="U382" s="19"/>
      <c r="V382" s="13">
        <f t="shared" si="55"/>
        <v>66451.163650709059</v>
      </c>
      <c r="W382" s="13"/>
      <c r="X382" s="13"/>
      <c r="Y382" s="13"/>
      <c r="Z382" s="13"/>
      <c r="AA382" s="22">
        <v>45809</v>
      </c>
      <c r="AB382" s="22" cm="1">
        <f t="array" ref="AB3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82" s="4"/>
      <c r="AD382" s="4"/>
      <c r="AE382" s="2"/>
      <c r="AF382" s="3"/>
      <c r="AG382" s="3"/>
      <c r="AH382" s="3"/>
      <c r="AI382" s="3"/>
      <c r="AJ382" s="2">
        <f t="shared" si="57"/>
        <v>0</v>
      </c>
      <c r="AK382" s="2">
        <f t="shared" si="52"/>
        <v>0</v>
      </c>
      <c r="AL382" s="2">
        <f t="shared" si="56"/>
        <v>0</v>
      </c>
      <c r="AM382" s="88"/>
      <c r="AN382" s="157" t="s">
        <v>774</v>
      </c>
    </row>
    <row r="383" spans="2:40" ht="23.15" customHeight="1" thickBot="1">
      <c r="B383" s="87"/>
      <c r="C383" s="2" t="s">
        <v>292</v>
      </c>
      <c r="D383" s="15" t="s">
        <v>14</v>
      </c>
      <c r="E383" s="20" t="s">
        <v>26</v>
      </c>
      <c r="F383" s="20" t="s">
        <v>40</v>
      </c>
      <c r="G383" s="11">
        <v>7</v>
      </c>
      <c r="H383" s="18">
        <v>9</v>
      </c>
      <c r="I383" s="41" t="s">
        <v>294</v>
      </c>
      <c r="J383" s="18" t="s">
        <v>294</v>
      </c>
      <c r="K383" s="19">
        <v>66451.163650709059</v>
      </c>
      <c r="L383" s="41">
        <v>0</v>
      </c>
      <c r="M383" s="18" t="s">
        <v>294</v>
      </c>
      <c r="N383" s="41">
        <v>0</v>
      </c>
      <c r="O383" s="41" t="s">
        <v>294</v>
      </c>
      <c r="P383" s="41" t="s">
        <v>293</v>
      </c>
      <c r="Q383" s="43">
        <v>0</v>
      </c>
      <c r="R383" s="43">
        <v>0</v>
      </c>
      <c r="S383" s="43">
        <v>0</v>
      </c>
      <c r="T383" s="43">
        <v>0</v>
      </c>
      <c r="U383" s="19"/>
      <c r="V383" s="13">
        <f t="shared" si="55"/>
        <v>66451.163650709059</v>
      </c>
      <c r="W383" s="13"/>
      <c r="X383" s="13"/>
      <c r="Y383" s="13"/>
      <c r="Z383" s="13"/>
      <c r="AA383" s="22">
        <v>45839</v>
      </c>
      <c r="AB383" s="22" cm="1">
        <f t="array" ref="AB3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83" s="4"/>
      <c r="AD383" s="4"/>
      <c r="AE383" s="2"/>
      <c r="AF383" s="3"/>
      <c r="AG383" s="3"/>
      <c r="AH383" s="3"/>
      <c r="AI383" s="3"/>
      <c r="AJ383" s="2">
        <f t="shared" si="57"/>
        <v>0</v>
      </c>
      <c r="AK383" s="2">
        <f t="shared" si="52"/>
        <v>0</v>
      </c>
      <c r="AL383" s="2">
        <f t="shared" si="56"/>
        <v>0</v>
      </c>
      <c r="AM383" s="88"/>
      <c r="AN383" s="157" t="s">
        <v>774</v>
      </c>
    </row>
    <row r="384" spans="2:40" ht="23.15" customHeight="1" thickBot="1">
      <c r="B384" s="87">
        <v>45947</v>
      </c>
      <c r="C384" s="2" t="s">
        <v>295</v>
      </c>
      <c r="D384" s="15" t="s">
        <v>14</v>
      </c>
      <c r="E384" s="20" t="s">
        <v>157</v>
      </c>
      <c r="F384" s="20" t="s">
        <v>40</v>
      </c>
      <c r="G384" s="11">
        <v>2</v>
      </c>
      <c r="H384" s="18">
        <v>2</v>
      </c>
      <c r="I384" s="18">
        <v>0</v>
      </c>
      <c r="J384" s="18">
        <v>0</v>
      </c>
      <c r="K384" s="19">
        <v>16054.735101484783</v>
      </c>
      <c r="L384" s="41">
        <v>0</v>
      </c>
      <c r="M384" s="41">
        <v>0</v>
      </c>
      <c r="N384" s="18">
        <v>0</v>
      </c>
      <c r="O384" s="41">
        <v>0</v>
      </c>
      <c r="P384" s="41">
        <v>0</v>
      </c>
      <c r="Q384" s="43">
        <v>0</v>
      </c>
      <c r="R384" s="43">
        <v>0</v>
      </c>
      <c r="S384" s="43">
        <v>0</v>
      </c>
      <c r="T384" s="43">
        <v>0</v>
      </c>
      <c r="U384" s="19" t="s">
        <v>295</v>
      </c>
      <c r="V384" s="13">
        <f t="shared" si="55"/>
        <v>16054.735101484783</v>
      </c>
      <c r="W384" s="13"/>
      <c r="X384" s="13"/>
      <c r="Y384" s="13"/>
      <c r="Z384" s="13"/>
      <c r="AA384" s="22">
        <v>45901</v>
      </c>
      <c r="AB384" s="22" cm="1">
        <f t="array" ref="AB3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84" s="4"/>
      <c r="AD384" s="4"/>
      <c r="AE384" s="2"/>
      <c r="AF384" s="3"/>
      <c r="AG384" s="3"/>
      <c r="AH384" s="3"/>
      <c r="AI384" s="3"/>
      <c r="AJ384" s="2">
        <f t="shared" si="57"/>
        <v>0</v>
      </c>
      <c r="AK384" s="2">
        <f t="shared" si="52"/>
        <v>0</v>
      </c>
      <c r="AL384" s="2">
        <f t="shared" si="56"/>
        <v>0</v>
      </c>
      <c r="AM384" s="88"/>
      <c r="AN384" s="157" t="s">
        <v>774</v>
      </c>
    </row>
    <row r="385" spans="2:40" ht="23.15" customHeight="1" thickBot="1">
      <c r="B385" s="262" t="s">
        <v>309</v>
      </c>
      <c r="C385" s="2" t="s">
        <v>295</v>
      </c>
      <c r="D385" s="15" t="s">
        <v>14</v>
      </c>
      <c r="E385" s="20" t="s">
        <v>31</v>
      </c>
      <c r="F385" s="20" t="s">
        <v>39</v>
      </c>
      <c r="G385" s="11">
        <v>38</v>
      </c>
      <c r="H385" s="18">
        <v>28</v>
      </c>
      <c r="I385" s="18">
        <v>0</v>
      </c>
      <c r="J385" s="18">
        <v>117</v>
      </c>
      <c r="K385" s="19">
        <v>134428.35</v>
      </c>
      <c r="L385" s="41">
        <v>0</v>
      </c>
      <c r="M385" s="41">
        <v>0</v>
      </c>
      <c r="N385" s="41">
        <v>0</v>
      </c>
      <c r="O385" s="41">
        <v>-4025.97</v>
      </c>
      <c r="P385" s="41">
        <v>0</v>
      </c>
      <c r="Q385" s="41">
        <v>0</v>
      </c>
      <c r="R385" s="41">
        <v>0</v>
      </c>
      <c r="S385" s="41">
        <v>0</v>
      </c>
      <c r="T385" s="41">
        <v>0</v>
      </c>
      <c r="U385" s="19" t="s">
        <v>295</v>
      </c>
      <c r="V385" s="13">
        <f t="shared" si="55"/>
        <v>130402.38</v>
      </c>
      <c r="W385" s="13"/>
      <c r="X385" s="13"/>
      <c r="Y385" s="13"/>
      <c r="Z385" s="13"/>
      <c r="AA385" s="22">
        <v>45658</v>
      </c>
      <c r="AB385" s="22" cm="1">
        <f t="array" ref="AB3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85" s="4"/>
      <c r="AD385" s="4"/>
      <c r="AE385" s="2"/>
      <c r="AF385" s="3"/>
      <c r="AG385" s="3"/>
      <c r="AH385" s="3"/>
      <c r="AI385" s="3"/>
      <c r="AJ385" s="2">
        <f t="shared" si="57"/>
        <v>0</v>
      </c>
      <c r="AK385" s="2">
        <f t="shared" si="52"/>
        <v>0</v>
      </c>
      <c r="AL385" s="2">
        <f t="shared" si="56"/>
        <v>4025.9700000000012</v>
      </c>
      <c r="AM385" s="88"/>
      <c r="AN385" s="157" t="s">
        <v>774</v>
      </c>
    </row>
    <row r="386" spans="2:40" ht="23.15" customHeight="1" thickBot="1">
      <c r="B386" s="87"/>
      <c r="C386" s="2" t="s">
        <v>292</v>
      </c>
      <c r="D386" s="15" t="s">
        <v>14</v>
      </c>
      <c r="E386" s="20" t="s">
        <v>31</v>
      </c>
      <c r="F386" s="20" t="s">
        <v>39</v>
      </c>
      <c r="G386" s="11">
        <v>38</v>
      </c>
      <c r="H386" s="18">
        <v>28</v>
      </c>
      <c r="I386" s="18" t="s">
        <v>294</v>
      </c>
      <c r="J386" s="18" t="s">
        <v>294</v>
      </c>
      <c r="K386" s="19">
        <v>134428.35</v>
      </c>
      <c r="L386" s="41">
        <v>0</v>
      </c>
      <c r="M386" s="41" t="s">
        <v>294</v>
      </c>
      <c r="N386" s="41">
        <v>0</v>
      </c>
      <c r="O386" s="41" t="s">
        <v>294</v>
      </c>
      <c r="P386" s="41">
        <v>0</v>
      </c>
      <c r="Q386" s="43">
        <v>0</v>
      </c>
      <c r="R386" s="43">
        <v>0</v>
      </c>
      <c r="S386" s="43">
        <v>0</v>
      </c>
      <c r="T386" s="43">
        <v>0</v>
      </c>
      <c r="U386" s="19"/>
      <c r="V386" s="13">
        <f t="shared" si="55"/>
        <v>134428.35</v>
      </c>
      <c r="W386" s="13"/>
      <c r="X386" s="13"/>
      <c r="Y386" s="13"/>
      <c r="Z386" s="13"/>
      <c r="AA386" s="22">
        <v>45689</v>
      </c>
      <c r="AB386" s="22" cm="1">
        <f t="array" ref="AB3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86" s="4"/>
      <c r="AD386" s="4"/>
      <c r="AE386" s="2"/>
      <c r="AF386" s="3"/>
      <c r="AG386" s="3"/>
      <c r="AH386" s="3"/>
      <c r="AI386" s="3"/>
      <c r="AJ386" s="2">
        <f t="shared" si="57"/>
        <v>0</v>
      </c>
      <c r="AK386" s="2">
        <f t="shared" si="52"/>
        <v>0</v>
      </c>
      <c r="AL386" s="2">
        <f t="shared" si="56"/>
        <v>0</v>
      </c>
      <c r="AM386" s="88"/>
      <c r="AN386" s="157" t="s">
        <v>774</v>
      </c>
    </row>
    <row r="387" spans="2:40" ht="23.15" customHeight="1" thickBot="1">
      <c r="B387" s="87"/>
      <c r="C387" s="2" t="s">
        <v>292</v>
      </c>
      <c r="D387" s="15" t="s">
        <v>14</v>
      </c>
      <c r="E387" s="20" t="s">
        <v>31</v>
      </c>
      <c r="F387" s="20" t="s">
        <v>39</v>
      </c>
      <c r="G387" s="11">
        <v>38</v>
      </c>
      <c r="H387" s="18">
        <v>28</v>
      </c>
      <c r="I387" s="18">
        <v>0</v>
      </c>
      <c r="J387" s="18">
        <v>0</v>
      </c>
      <c r="K387" s="19">
        <v>134428.35</v>
      </c>
      <c r="L387" s="41">
        <v>0</v>
      </c>
      <c r="M387" s="41">
        <v>0</v>
      </c>
      <c r="N387" s="41">
        <v>0</v>
      </c>
      <c r="O387" s="41">
        <v>0</v>
      </c>
      <c r="P387" s="41">
        <v>0</v>
      </c>
      <c r="Q387" s="43">
        <v>0</v>
      </c>
      <c r="R387" s="43">
        <v>0</v>
      </c>
      <c r="S387" s="43">
        <v>0</v>
      </c>
      <c r="T387" s="43">
        <v>0</v>
      </c>
      <c r="U387" s="19"/>
      <c r="V387" s="13">
        <f t="shared" si="55"/>
        <v>134428.35</v>
      </c>
      <c r="W387" s="13"/>
      <c r="X387" s="13"/>
      <c r="Y387" s="13"/>
      <c r="Z387" s="13"/>
      <c r="AA387" s="22">
        <v>45717</v>
      </c>
      <c r="AB387" s="22" cm="1">
        <f t="array" ref="AB3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87" s="4"/>
      <c r="AD387" s="4"/>
      <c r="AE387" s="2"/>
      <c r="AF387" s="3"/>
      <c r="AG387" s="3"/>
      <c r="AH387" s="3"/>
      <c r="AI387" s="3"/>
      <c r="AJ387" s="2">
        <f t="shared" si="57"/>
        <v>0</v>
      </c>
      <c r="AK387" s="2">
        <f t="shared" ref="AK387:AK450" si="58">AC387-AD387</f>
        <v>0</v>
      </c>
      <c r="AL387" s="2">
        <f t="shared" si="56"/>
        <v>0</v>
      </c>
      <c r="AM387" s="88"/>
      <c r="AN387" s="157" t="s">
        <v>774</v>
      </c>
    </row>
    <row r="388" spans="2:40" ht="23.15" customHeight="1" thickBot="1">
      <c r="B388" s="87">
        <v>45797</v>
      </c>
      <c r="C388" s="2" t="s">
        <v>295</v>
      </c>
      <c r="D388" s="15" t="s">
        <v>14</v>
      </c>
      <c r="E388" s="20" t="s">
        <v>31</v>
      </c>
      <c r="F388" s="20" t="s">
        <v>39</v>
      </c>
      <c r="G388" s="11">
        <v>38</v>
      </c>
      <c r="H388" s="18">
        <v>28</v>
      </c>
      <c r="I388" s="18">
        <v>2</v>
      </c>
      <c r="J388" s="18">
        <v>61</v>
      </c>
      <c r="K388" s="19">
        <v>134428.35</v>
      </c>
      <c r="L388" s="41">
        <v>0</v>
      </c>
      <c r="M388" s="41">
        <v>-251.93</v>
      </c>
      <c r="N388" s="41">
        <v>0</v>
      </c>
      <c r="O388" s="41">
        <f>-1319.83</f>
        <v>-1319.83</v>
      </c>
      <c r="P388" s="41">
        <v>0</v>
      </c>
      <c r="Q388" s="43">
        <v>0</v>
      </c>
      <c r="R388" s="43">
        <v>0</v>
      </c>
      <c r="S388" s="43">
        <v>0</v>
      </c>
      <c r="T388" s="43">
        <v>0</v>
      </c>
      <c r="U388" s="19" t="s">
        <v>295</v>
      </c>
      <c r="V388" s="13">
        <f t="shared" si="55"/>
        <v>132856.59000000003</v>
      </c>
      <c r="W388" s="13"/>
      <c r="X388" s="13"/>
      <c r="Y388" s="13"/>
      <c r="Z388" s="13"/>
      <c r="AA388" s="22">
        <v>45748</v>
      </c>
      <c r="AB388" s="22" cm="1">
        <f t="array" ref="AB3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88" s="4"/>
      <c r="AD388" s="4"/>
      <c r="AE388" s="2"/>
      <c r="AF388" s="3"/>
      <c r="AG388" s="3"/>
      <c r="AH388" s="3"/>
      <c r="AI388" s="3"/>
      <c r="AJ388" s="2">
        <f t="shared" si="57"/>
        <v>251.93</v>
      </c>
      <c r="AK388" s="2">
        <f t="shared" si="58"/>
        <v>0</v>
      </c>
      <c r="AL388" s="2">
        <f t="shared" si="56"/>
        <v>1571.7599999999802</v>
      </c>
      <c r="AM388" s="88"/>
      <c r="AN388" s="157" t="s">
        <v>774</v>
      </c>
    </row>
    <row r="389" spans="2:40" ht="23.15" customHeight="1" thickBot="1">
      <c r="B389" s="87">
        <v>45813</v>
      </c>
      <c r="C389" s="2" t="s">
        <v>295</v>
      </c>
      <c r="D389" s="15" t="s">
        <v>14</v>
      </c>
      <c r="E389" s="20" t="s">
        <v>31</v>
      </c>
      <c r="F389" s="20" t="s">
        <v>39</v>
      </c>
      <c r="G389" s="11">
        <v>38</v>
      </c>
      <c r="H389" s="11">
        <v>28</v>
      </c>
      <c r="I389" s="18">
        <v>0</v>
      </c>
      <c r="J389" s="18">
        <v>122.5</v>
      </c>
      <c r="K389" s="19">
        <v>144420.75</v>
      </c>
      <c r="L389" s="41">
        <v>0</v>
      </c>
      <c r="M389" s="41">
        <v>0</v>
      </c>
      <c r="N389" s="41">
        <v>0</v>
      </c>
      <c r="O389" s="41">
        <f>-2923.735</f>
        <v>-2923.7350000000001</v>
      </c>
      <c r="P389" s="41">
        <v>0</v>
      </c>
      <c r="Q389" s="43">
        <v>0</v>
      </c>
      <c r="R389" s="43">
        <v>0</v>
      </c>
      <c r="S389" s="43">
        <v>0</v>
      </c>
      <c r="T389" s="43">
        <v>0</v>
      </c>
      <c r="U389" s="19" t="s">
        <v>295</v>
      </c>
      <c r="V389" s="13">
        <f t="shared" si="55"/>
        <v>141497.01500000001</v>
      </c>
      <c r="W389" s="13"/>
      <c r="X389" s="13"/>
      <c r="Y389" s="13">
        <v>19675.013958082505</v>
      </c>
      <c r="Z389" s="13" t="s">
        <v>302</v>
      </c>
      <c r="AA389" s="22">
        <v>45778</v>
      </c>
      <c r="AB389" s="22" cm="1">
        <f t="array" ref="AB3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89" s="4"/>
      <c r="AD389" s="4"/>
      <c r="AE389" s="2"/>
      <c r="AF389" s="3"/>
      <c r="AG389" s="3"/>
      <c r="AH389" s="3"/>
      <c r="AI389" s="3"/>
      <c r="AJ389" s="2">
        <f t="shared" si="57"/>
        <v>0</v>
      </c>
      <c r="AK389" s="2">
        <f t="shared" si="58"/>
        <v>0</v>
      </c>
      <c r="AL389" s="2">
        <f t="shared" si="56"/>
        <v>2923.734999999986</v>
      </c>
      <c r="AM389" s="88"/>
      <c r="AN389" s="157" t="s">
        <v>774</v>
      </c>
    </row>
    <row r="390" spans="2:40" ht="23.15" customHeight="1" thickBot="1">
      <c r="B390" s="87">
        <v>45854</v>
      </c>
      <c r="C390" s="2" t="s">
        <v>295</v>
      </c>
      <c r="D390" s="15" t="s">
        <v>14</v>
      </c>
      <c r="E390" s="20" t="s">
        <v>31</v>
      </c>
      <c r="F390" s="20" t="s">
        <v>39</v>
      </c>
      <c r="G390" s="11">
        <v>38</v>
      </c>
      <c r="H390" s="11">
        <v>28</v>
      </c>
      <c r="I390" s="18">
        <v>0</v>
      </c>
      <c r="J390" s="18">
        <v>231</v>
      </c>
      <c r="K390" s="19">
        <v>144420.75</v>
      </c>
      <c r="L390" s="41">
        <v>0</v>
      </c>
      <c r="M390" s="41">
        <v>0</v>
      </c>
      <c r="N390" s="41">
        <v>0</v>
      </c>
      <c r="O390" s="41">
        <v>-5420.01</v>
      </c>
      <c r="P390" s="41">
        <f>-1444.21</f>
        <v>-1444.21</v>
      </c>
      <c r="Q390" s="43">
        <v>0</v>
      </c>
      <c r="R390" s="43">
        <v>0</v>
      </c>
      <c r="S390" s="43">
        <v>0</v>
      </c>
      <c r="T390" s="43">
        <v>0</v>
      </c>
      <c r="U390" s="19" t="s">
        <v>295</v>
      </c>
      <c r="V390" s="13">
        <f t="shared" si="55"/>
        <v>137556.53</v>
      </c>
      <c r="W390" s="13"/>
      <c r="X390" s="13"/>
      <c r="Y390" s="13"/>
      <c r="Z390" s="13"/>
      <c r="AA390" s="22">
        <v>45809</v>
      </c>
      <c r="AB390" s="22" cm="1">
        <f t="array" ref="AB3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90" s="4"/>
      <c r="AD390" s="4"/>
      <c r="AE390" s="2"/>
      <c r="AF390" s="3"/>
      <c r="AG390" s="3"/>
      <c r="AH390" s="3"/>
      <c r="AI390" s="3"/>
      <c r="AJ390" s="2">
        <f t="shared" si="57"/>
        <v>0</v>
      </c>
      <c r="AK390" s="2">
        <f t="shared" si="58"/>
        <v>0</v>
      </c>
      <c r="AL390" s="2">
        <f t="shared" si="56"/>
        <v>6864.2200000000012</v>
      </c>
      <c r="AM390" s="88"/>
      <c r="AN390" s="157" t="s">
        <v>774</v>
      </c>
    </row>
    <row r="391" spans="2:40" ht="23.15" customHeight="1" thickBot="1">
      <c r="B391" s="87">
        <v>45882</v>
      </c>
      <c r="C391" s="2" t="s">
        <v>295</v>
      </c>
      <c r="D391" s="15" t="s">
        <v>14</v>
      </c>
      <c r="E391" s="20" t="s">
        <v>31</v>
      </c>
      <c r="F391" s="20" t="s">
        <v>39</v>
      </c>
      <c r="G391" s="11">
        <v>38</v>
      </c>
      <c r="H391" s="11">
        <v>28</v>
      </c>
      <c r="I391" s="18">
        <v>4</v>
      </c>
      <c r="J391" s="18">
        <v>52</v>
      </c>
      <c r="K391" s="19">
        <v>144420.75</v>
      </c>
      <c r="L391" s="41">
        <v>0</v>
      </c>
      <c r="M391" s="41">
        <v>-547.64</v>
      </c>
      <c r="N391" s="41">
        <v>0</v>
      </c>
      <c r="O391" s="41">
        <v>-1222.58</v>
      </c>
      <c r="P391" s="41">
        <v>-1444.21</v>
      </c>
      <c r="Q391" s="43">
        <v>0</v>
      </c>
      <c r="R391" s="43">
        <v>0</v>
      </c>
      <c r="S391" s="43">
        <v>0</v>
      </c>
      <c r="T391" s="43">
        <v>0</v>
      </c>
      <c r="U391" s="19" t="s">
        <v>295</v>
      </c>
      <c r="V391" s="13">
        <f t="shared" si="55"/>
        <v>141206.32</v>
      </c>
      <c r="W391" s="13"/>
      <c r="X391" s="13"/>
      <c r="Y391" s="13"/>
      <c r="Z391" s="13"/>
      <c r="AA391" s="22">
        <v>45839</v>
      </c>
      <c r="AB391" s="22" cm="1">
        <f t="array" ref="AB3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91" s="4"/>
      <c r="AD391" s="4"/>
      <c r="AE391" s="2"/>
      <c r="AF391" s="3"/>
      <c r="AG391" s="3"/>
      <c r="AH391" s="3"/>
      <c r="AI391" s="3"/>
      <c r="AJ391" s="2">
        <f t="shared" si="57"/>
        <v>547.64</v>
      </c>
      <c r="AK391" s="2">
        <f t="shared" si="58"/>
        <v>0</v>
      </c>
      <c r="AL391" s="2">
        <f t="shared" si="56"/>
        <v>3214.429999999993</v>
      </c>
      <c r="AM391" s="88"/>
      <c r="AN391" s="157" t="s">
        <v>774</v>
      </c>
    </row>
    <row r="392" spans="2:40" ht="23.15" customHeight="1" thickBot="1">
      <c r="B392" s="87"/>
      <c r="C392" s="2" t="s">
        <v>292</v>
      </c>
      <c r="D392" s="15" t="s">
        <v>14</v>
      </c>
      <c r="E392" s="20" t="s">
        <v>157</v>
      </c>
      <c r="F392" s="20" t="s">
        <v>40</v>
      </c>
      <c r="G392" s="11">
        <v>2</v>
      </c>
      <c r="H392" s="18"/>
      <c r="I392" s="18" t="s">
        <v>294</v>
      </c>
      <c r="J392" s="18" t="s">
        <v>294</v>
      </c>
      <c r="K392" s="19">
        <v>16054.735101484783</v>
      </c>
      <c r="L392" s="41"/>
      <c r="M392" s="41" t="s">
        <v>294</v>
      </c>
      <c r="N392" s="41"/>
      <c r="O392" s="41" t="s">
        <v>294</v>
      </c>
      <c r="P392" s="41" t="s">
        <v>301</v>
      </c>
      <c r="Q392" s="43"/>
      <c r="R392" s="43"/>
      <c r="S392" s="43"/>
      <c r="T392" s="43"/>
      <c r="U392" s="19"/>
      <c r="V392" s="13">
        <f t="shared" si="55"/>
        <v>16054.735101484783</v>
      </c>
      <c r="W392" s="13"/>
      <c r="X392" s="13"/>
      <c r="Y392" s="13"/>
      <c r="Z392" s="13"/>
      <c r="AA392" s="22">
        <v>45931</v>
      </c>
      <c r="AB392" s="22" cm="1">
        <f t="array" ref="AB3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92" s="4"/>
      <c r="AD392" s="4"/>
      <c r="AE392" s="2"/>
      <c r="AF392" s="3"/>
      <c r="AG392" s="3"/>
      <c r="AH392" s="3"/>
      <c r="AI392" s="3"/>
      <c r="AJ392" s="2">
        <f t="shared" si="57"/>
        <v>0</v>
      </c>
      <c r="AK392" s="2">
        <f t="shared" si="58"/>
        <v>0</v>
      </c>
      <c r="AL392" s="2">
        <f t="shared" si="56"/>
        <v>0</v>
      </c>
      <c r="AM392" s="88"/>
      <c r="AN392" s="157" t="s">
        <v>774</v>
      </c>
    </row>
    <row r="393" spans="2:40" ht="23.15" customHeight="1" thickBot="1">
      <c r="B393" s="87">
        <v>45700</v>
      </c>
      <c r="C393" s="2" t="s">
        <v>295</v>
      </c>
      <c r="D393" s="15" t="s">
        <v>14</v>
      </c>
      <c r="E393" s="20" t="s">
        <v>25</v>
      </c>
      <c r="F393" s="20" t="s">
        <v>40</v>
      </c>
      <c r="G393" s="11">
        <v>38</v>
      </c>
      <c r="H393" s="18">
        <v>30</v>
      </c>
      <c r="I393" s="18">
        <v>1</v>
      </c>
      <c r="J393" s="18">
        <v>0</v>
      </c>
      <c r="K393" s="19">
        <v>258388.8</v>
      </c>
      <c r="L393" s="41">
        <v>0</v>
      </c>
      <c r="M393" s="41">
        <v>0</v>
      </c>
      <c r="N393" s="41">
        <v>0</v>
      </c>
      <c r="O393" s="41">
        <v>0</v>
      </c>
      <c r="P393" s="41">
        <v>0</v>
      </c>
      <c r="Q393" s="43">
        <v>0</v>
      </c>
      <c r="R393" s="43">
        <v>0</v>
      </c>
      <c r="S393" s="43">
        <v>0</v>
      </c>
      <c r="T393" s="43">
        <v>0</v>
      </c>
      <c r="U393" s="19" t="s">
        <v>295</v>
      </c>
      <c r="V393" s="13">
        <f t="shared" si="55"/>
        <v>258388.8</v>
      </c>
      <c r="W393" s="13"/>
      <c r="X393" s="13"/>
      <c r="Y393" s="13"/>
      <c r="Z393" s="13"/>
      <c r="AA393" s="22">
        <v>45658</v>
      </c>
      <c r="AB393" s="22" cm="1">
        <f t="array" ref="AB3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93" s="4"/>
      <c r="AD393" s="4"/>
      <c r="AE393" s="2"/>
      <c r="AF393" s="3"/>
      <c r="AG393" s="3"/>
      <c r="AH393" s="3"/>
      <c r="AI393" s="3"/>
      <c r="AJ393" s="2">
        <f t="shared" si="57"/>
        <v>0</v>
      </c>
      <c r="AK393" s="2">
        <f t="shared" si="58"/>
        <v>0</v>
      </c>
      <c r="AL393" s="2">
        <f t="shared" si="56"/>
        <v>0</v>
      </c>
      <c r="AM393" s="88"/>
      <c r="AN393" s="157" t="s">
        <v>774</v>
      </c>
    </row>
    <row r="394" spans="2:40" ht="23.15" customHeight="1" thickBot="1">
      <c r="B394" s="87">
        <v>45727</v>
      </c>
      <c r="C394" s="2" t="s">
        <v>295</v>
      </c>
      <c r="D394" s="15" t="s">
        <v>14</v>
      </c>
      <c r="E394" s="20" t="s">
        <v>25</v>
      </c>
      <c r="F394" s="20" t="s">
        <v>40</v>
      </c>
      <c r="G394" s="11">
        <v>38</v>
      </c>
      <c r="H394" s="18">
        <v>32</v>
      </c>
      <c r="I394" s="18">
        <v>0</v>
      </c>
      <c r="J394" s="18">
        <v>0</v>
      </c>
      <c r="K394" s="19">
        <v>269836.68</v>
      </c>
      <c r="L394" s="41">
        <v>0</v>
      </c>
      <c r="M394" s="41">
        <v>0</v>
      </c>
      <c r="N394" s="41">
        <v>0</v>
      </c>
      <c r="O394" s="41">
        <v>0</v>
      </c>
      <c r="P394" s="41">
        <v>0</v>
      </c>
      <c r="Q394" s="41">
        <v>0</v>
      </c>
      <c r="R394" s="41">
        <v>0</v>
      </c>
      <c r="S394" s="41">
        <v>0</v>
      </c>
      <c r="T394" s="41">
        <v>-6262.51</v>
      </c>
      <c r="U394" s="19" t="s">
        <v>295</v>
      </c>
      <c r="V394" s="13">
        <f t="shared" si="55"/>
        <v>263574.17</v>
      </c>
      <c r="W394" s="13"/>
      <c r="X394" s="13"/>
      <c r="Y394" s="13"/>
      <c r="Z394" s="13"/>
      <c r="AA394" s="22">
        <v>45689</v>
      </c>
      <c r="AB394" s="22" cm="1">
        <f t="array" ref="AB3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94" s="4"/>
      <c r="AD394" s="4"/>
      <c r="AE394" s="2"/>
      <c r="AF394" s="3"/>
      <c r="AG394" s="3"/>
      <c r="AH394" s="3"/>
      <c r="AI394" s="3"/>
      <c r="AJ394" s="2">
        <f t="shared" si="57"/>
        <v>0</v>
      </c>
      <c r="AK394" s="2">
        <f t="shared" si="58"/>
        <v>0</v>
      </c>
      <c r="AL394" s="2">
        <f t="shared" si="56"/>
        <v>6262.5100000000093</v>
      </c>
      <c r="AM394" s="88"/>
      <c r="AN394" s="157" t="s">
        <v>774</v>
      </c>
    </row>
    <row r="395" spans="2:40" ht="23.15" customHeight="1" thickBot="1">
      <c r="B395" s="87"/>
      <c r="C395" s="2" t="s">
        <v>292</v>
      </c>
      <c r="D395" s="15" t="s">
        <v>14</v>
      </c>
      <c r="E395" s="20" t="s">
        <v>25</v>
      </c>
      <c r="F395" s="20" t="s">
        <v>40</v>
      </c>
      <c r="G395" s="11">
        <v>38</v>
      </c>
      <c r="H395" s="18">
        <v>32</v>
      </c>
      <c r="I395" s="18">
        <v>0</v>
      </c>
      <c r="J395" s="18">
        <v>0</v>
      </c>
      <c r="K395" s="19">
        <v>269836.68</v>
      </c>
      <c r="L395" s="41">
        <v>0</v>
      </c>
      <c r="M395" s="41">
        <v>0</v>
      </c>
      <c r="N395" s="41">
        <v>0</v>
      </c>
      <c r="O395" s="41">
        <v>0</v>
      </c>
      <c r="P395" s="41" t="s">
        <v>301</v>
      </c>
      <c r="Q395" s="43">
        <v>0</v>
      </c>
      <c r="R395" s="43">
        <v>0</v>
      </c>
      <c r="S395" s="43">
        <v>0</v>
      </c>
      <c r="T395" s="43">
        <v>0</v>
      </c>
      <c r="U395" s="19"/>
      <c r="V395" s="13">
        <f t="shared" si="55"/>
        <v>269836.68</v>
      </c>
      <c r="W395" s="13"/>
      <c r="X395" s="13"/>
      <c r="Y395" s="13"/>
      <c r="Z395" s="13"/>
      <c r="AA395" s="22">
        <v>45717</v>
      </c>
      <c r="AB395" s="22" cm="1">
        <f t="array" ref="AB3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95" s="4"/>
      <c r="AD395" s="4"/>
      <c r="AE395" s="2"/>
      <c r="AF395" s="3"/>
      <c r="AG395" s="3"/>
      <c r="AH395" s="3"/>
      <c r="AI395" s="3"/>
      <c r="AJ395" s="2">
        <f t="shared" si="57"/>
        <v>0</v>
      </c>
      <c r="AK395" s="2">
        <f t="shared" si="58"/>
        <v>0</v>
      </c>
      <c r="AL395" s="2">
        <f t="shared" si="56"/>
        <v>0</v>
      </c>
      <c r="AM395" s="88"/>
      <c r="AN395" s="157" t="s">
        <v>774</v>
      </c>
    </row>
    <row r="396" spans="2:40" ht="23.15" customHeight="1" thickBot="1">
      <c r="B396" s="87">
        <v>45791</v>
      </c>
      <c r="C396" s="2" t="s">
        <v>295</v>
      </c>
      <c r="D396" s="15" t="s">
        <v>14</v>
      </c>
      <c r="E396" s="20" t="s">
        <v>25</v>
      </c>
      <c r="F396" s="20" t="s">
        <v>40</v>
      </c>
      <c r="G396" s="11">
        <v>38</v>
      </c>
      <c r="H396" s="11">
        <v>32</v>
      </c>
      <c r="I396" s="18">
        <v>0</v>
      </c>
      <c r="J396" s="18">
        <v>0</v>
      </c>
      <c r="K396" s="19">
        <v>269836.68</v>
      </c>
      <c r="L396" s="41">
        <v>0</v>
      </c>
      <c r="M396" s="41">
        <v>0</v>
      </c>
      <c r="N396" s="41">
        <v>0</v>
      </c>
      <c r="O396" s="41">
        <v>0</v>
      </c>
      <c r="P396" s="41">
        <v>0</v>
      </c>
      <c r="Q396" s="43">
        <v>0</v>
      </c>
      <c r="R396" s="43">
        <v>0</v>
      </c>
      <c r="S396" s="43">
        <v>0</v>
      </c>
      <c r="T396" s="43">
        <v>0</v>
      </c>
      <c r="U396" s="19"/>
      <c r="V396" s="13">
        <f t="shared" si="55"/>
        <v>269836.68</v>
      </c>
      <c r="W396" s="13"/>
      <c r="X396" s="13"/>
      <c r="Y396" s="13"/>
      <c r="Z396" s="13"/>
      <c r="AA396" s="22">
        <v>45748</v>
      </c>
      <c r="AB396" s="22" cm="1">
        <f t="array" ref="AB3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96" s="4"/>
      <c r="AD396" s="4"/>
      <c r="AE396" s="4"/>
      <c r="AF396" s="3"/>
      <c r="AG396" s="3"/>
      <c r="AH396" s="3"/>
      <c r="AI396" s="3"/>
      <c r="AJ396" s="2">
        <f t="shared" si="57"/>
        <v>0</v>
      </c>
      <c r="AK396" s="2">
        <f t="shared" si="58"/>
        <v>0</v>
      </c>
      <c r="AL396" s="2">
        <f t="shared" si="56"/>
        <v>0</v>
      </c>
      <c r="AM396" s="88"/>
      <c r="AN396" s="157" t="s">
        <v>774</v>
      </c>
    </row>
    <row r="397" spans="2:40" ht="23.15" customHeight="1" thickBot="1">
      <c r="B397" s="87"/>
      <c r="C397" s="2" t="s">
        <v>292</v>
      </c>
      <c r="D397" s="15" t="s">
        <v>14</v>
      </c>
      <c r="E397" s="20" t="s">
        <v>25</v>
      </c>
      <c r="F397" s="20" t="s">
        <v>40</v>
      </c>
      <c r="G397" s="11">
        <v>38</v>
      </c>
      <c r="H397" s="11">
        <v>32</v>
      </c>
      <c r="I397" s="18">
        <v>0</v>
      </c>
      <c r="J397" s="41">
        <v>0</v>
      </c>
      <c r="K397" s="19">
        <v>269836.68</v>
      </c>
      <c r="L397" s="41">
        <v>0</v>
      </c>
      <c r="M397" s="41">
        <v>0</v>
      </c>
      <c r="N397" s="41">
        <v>0</v>
      </c>
      <c r="O397" s="41">
        <v>0</v>
      </c>
      <c r="P397" s="41">
        <v>0</v>
      </c>
      <c r="Q397" s="43">
        <v>0</v>
      </c>
      <c r="R397" s="43">
        <v>0</v>
      </c>
      <c r="S397" s="43">
        <v>0</v>
      </c>
      <c r="T397" s="43">
        <v>0</v>
      </c>
      <c r="U397" s="19" t="s">
        <v>295</v>
      </c>
      <c r="V397" s="13">
        <f t="shared" ref="V397:V428" si="59">IFERROR((K397+M397+R397+S397+T397+O397)+IF(U397="Sim",P397+Q397,0),(K397+R397+S397+T397)+IF(U397="Sim",P397+Q397,0))</f>
        <v>269836.68</v>
      </c>
      <c r="W397" s="13"/>
      <c r="X397" s="13"/>
      <c r="Y397" s="13"/>
      <c r="Z397" s="13"/>
      <c r="AA397" s="22">
        <v>45778</v>
      </c>
      <c r="AB397" s="22" cm="1">
        <f t="array" ref="AB3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97" s="4"/>
      <c r="AD397" s="4"/>
      <c r="AE397" s="2"/>
      <c r="AF397" s="3"/>
      <c r="AG397" s="3"/>
      <c r="AH397" s="3"/>
      <c r="AI397" s="3"/>
      <c r="AJ397" s="2">
        <f t="shared" si="57"/>
        <v>0</v>
      </c>
      <c r="AK397" s="2">
        <f t="shared" si="58"/>
        <v>0</v>
      </c>
      <c r="AL397" s="2">
        <f t="shared" si="56"/>
        <v>0</v>
      </c>
      <c r="AM397" s="88"/>
      <c r="AN397" s="157" t="s">
        <v>774</v>
      </c>
    </row>
    <row r="398" spans="2:40" ht="23.15" customHeight="1" thickBot="1">
      <c r="B398" s="87"/>
      <c r="C398" s="2" t="s">
        <v>292</v>
      </c>
      <c r="D398" s="15" t="s">
        <v>14</v>
      </c>
      <c r="E398" s="20" t="s">
        <v>25</v>
      </c>
      <c r="F398" s="20" t="s">
        <v>40</v>
      </c>
      <c r="G398" s="11">
        <v>38</v>
      </c>
      <c r="H398" s="18">
        <v>32</v>
      </c>
      <c r="I398" s="18" t="s">
        <v>294</v>
      </c>
      <c r="J398" s="41" t="s">
        <v>294</v>
      </c>
      <c r="K398" s="19">
        <v>283846.3513151001</v>
      </c>
      <c r="L398" s="41">
        <v>0</v>
      </c>
      <c r="M398" s="41" t="s">
        <v>294</v>
      </c>
      <c r="N398" s="41">
        <v>0</v>
      </c>
      <c r="O398" s="41" t="s">
        <v>294</v>
      </c>
      <c r="P398" s="41">
        <v>0</v>
      </c>
      <c r="Q398" s="43">
        <v>-449.73</v>
      </c>
      <c r="R398" s="43">
        <v>0</v>
      </c>
      <c r="S398" s="43">
        <v>0</v>
      </c>
      <c r="T398" s="43">
        <v>0</v>
      </c>
      <c r="U398" s="19" t="s">
        <v>295</v>
      </c>
      <c r="V398" s="13">
        <f t="shared" si="59"/>
        <v>283396.62131510011</v>
      </c>
      <c r="W398" s="13"/>
      <c r="X398" s="13"/>
      <c r="Y398" s="13"/>
      <c r="Z398" s="13"/>
      <c r="AA398" s="22">
        <v>45809</v>
      </c>
      <c r="AB398" s="22" cm="1">
        <f t="array" ref="AB3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98" s="4"/>
      <c r="AD398" s="4"/>
      <c r="AE398" s="2"/>
      <c r="AF398" s="3"/>
      <c r="AG398" s="3"/>
      <c r="AH398" s="3"/>
      <c r="AI398" s="3"/>
      <c r="AJ398" s="2">
        <f t="shared" si="57"/>
        <v>0</v>
      </c>
      <c r="AK398" s="2">
        <f t="shared" si="58"/>
        <v>0</v>
      </c>
      <c r="AL398" s="2">
        <f t="shared" si="56"/>
        <v>449.72999999998137</v>
      </c>
      <c r="AM398" s="88"/>
      <c r="AN398" s="157" t="s">
        <v>774</v>
      </c>
    </row>
    <row r="399" spans="2:40" ht="23.15" customHeight="1" thickBot="1">
      <c r="B399" s="87"/>
      <c r="C399" s="2" t="s">
        <v>292</v>
      </c>
      <c r="D399" s="15" t="s">
        <v>14</v>
      </c>
      <c r="E399" s="20" t="s">
        <v>25</v>
      </c>
      <c r="F399" s="20" t="s">
        <v>40</v>
      </c>
      <c r="G399" s="11">
        <v>38</v>
      </c>
      <c r="H399" s="18">
        <v>32</v>
      </c>
      <c r="I399" s="41" t="s">
        <v>294</v>
      </c>
      <c r="J399" s="18" t="s">
        <v>294</v>
      </c>
      <c r="K399" s="19">
        <v>283846.3513151001</v>
      </c>
      <c r="L399" s="41">
        <v>0</v>
      </c>
      <c r="M399" s="41" t="s">
        <v>294</v>
      </c>
      <c r="N399" s="41">
        <v>0</v>
      </c>
      <c r="O399" s="41" t="s">
        <v>294</v>
      </c>
      <c r="P399" s="41" t="s">
        <v>293</v>
      </c>
      <c r="Q399" s="43">
        <v>0</v>
      </c>
      <c r="R399" s="43">
        <v>0</v>
      </c>
      <c r="S399" s="43">
        <v>0</v>
      </c>
      <c r="T399" s="43">
        <v>0</v>
      </c>
      <c r="U399" s="19"/>
      <c r="V399" s="13">
        <f t="shared" si="59"/>
        <v>283846.3513151001</v>
      </c>
      <c r="W399" s="13"/>
      <c r="X399" s="13"/>
      <c r="Y399" s="13"/>
      <c r="Z399" s="13"/>
      <c r="AA399" s="22">
        <v>45839</v>
      </c>
      <c r="AB399" s="22" cm="1">
        <f t="array" ref="AB3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99" s="4"/>
      <c r="AD399" s="4"/>
      <c r="AE399" s="2"/>
      <c r="AF399" s="3"/>
      <c r="AG399" s="3"/>
      <c r="AH399" s="3"/>
      <c r="AI399" s="3"/>
      <c r="AJ399" s="2">
        <f t="shared" si="57"/>
        <v>0</v>
      </c>
      <c r="AK399" s="2">
        <f t="shared" si="58"/>
        <v>0</v>
      </c>
      <c r="AL399" s="2">
        <f t="shared" si="56"/>
        <v>0</v>
      </c>
      <c r="AM399" s="88"/>
      <c r="AN399" s="157" t="s">
        <v>774</v>
      </c>
    </row>
    <row r="400" spans="2:40" ht="23.15" customHeight="1" thickBot="1">
      <c r="B400" s="87"/>
      <c r="C400" s="2" t="s">
        <v>292</v>
      </c>
      <c r="D400" s="15" t="s">
        <v>14</v>
      </c>
      <c r="E400" s="20" t="s">
        <v>33</v>
      </c>
      <c r="F400" s="20" t="s">
        <v>44</v>
      </c>
      <c r="G400" s="11">
        <v>6</v>
      </c>
      <c r="H400" s="11">
        <v>6</v>
      </c>
      <c r="I400" s="18" t="s">
        <v>294</v>
      </c>
      <c r="J400" s="18" t="s">
        <v>294</v>
      </c>
      <c r="K400" s="19">
        <v>41678.300000000003</v>
      </c>
      <c r="L400" s="41">
        <v>0</v>
      </c>
      <c r="M400" s="41" t="s">
        <v>294</v>
      </c>
      <c r="N400" s="41">
        <v>0</v>
      </c>
      <c r="O400" s="41" t="s">
        <v>294</v>
      </c>
      <c r="P400" s="41" t="s">
        <v>301</v>
      </c>
      <c r="Q400" s="43">
        <v>0</v>
      </c>
      <c r="R400" s="43">
        <v>0</v>
      </c>
      <c r="S400" s="43">
        <v>0</v>
      </c>
      <c r="T400" s="43">
        <v>0</v>
      </c>
      <c r="U400" s="19"/>
      <c r="V400" s="13">
        <f t="shared" si="59"/>
        <v>41678.300000000003</v>
      </c>
      <c r="W400" s="13"/>
      <c r="X400" s="13"/>
      <c r="Y400" s="13"/>
      <c r="Z400" s="13"/>
      <c r="AA400" s="22">
        <v>45870</v>
      </c>
      <c r="AB400" s="22" cm="1">
        <f t="array" ref="AB4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00" s="4"/>
      <c r="AD400" s="4"/>
      <c r="AE400" s="2"/>
      <c r="AF400" s="3"/>
      <c r="AG400" s="3"/>
      <c r="AH400" s="3"/>
      <c r="AI400" s="3"/>
      <c r="AJ400" s="2">
        <f t="shared" si="57"/>
        <v>0</v>
      </c>
      <c r="AK400" s="2">
        <f t="shared" si="58"/>
        <v>0</v>
      </c>
      <c r="AL400" s="2">
        <f t="shared" si="56"/>
        <v>0</v>
      </c>
      <c r="AM400" s="88"/>
      <c r="AN400" s="157" t="s">
        <v>774</v>
      </c>
    </row>
    <row r="401" spans="2:40" ht="23.15" customHeight="1" thickBot="1">
      <c r="B401" s="87"/>
      <c r="C401" s="2" t="s">
        <v>292</v>
      </c>
      <c r="D401" s="15" t="s">
        <v>14</v>
      </c>
      <c r="E401" s="20" t="s">
        <v>28</v>
      </c>
      <c r="F401" s="20" t="s">
        <v>49</v>
      </c>
      <c r="G401" s="11">
        <v>43</v>
      </c>
      <c r="H401" s="18">
        <v>39</v>
      </c>
      <c r="I401" s="18" t="s">
        <v>294</v>
      </c>
      <c r="J401" s="18" t="s">
        <v>294</v>
      </c>
      <c r="K401" s="19">
        <v>291620.12</v>
      </c>
      <c r="L401" s="41">
        <v>0</v>
      </c>
      <c r="M401" s="41" t="s">
        <v>294</v>
      </c>
      <c r="N401" s="41">
        <v>0</v>
      </c>
      <c r="O401" s="41" t="s">
        <v>294</v>
      </c>
      <c r="P401" s="41">
        <v>0</v>
      </c>
      <c r="Q401" s="43">
        <v>0</v>
      </c>
      <c r="R401" s="43">
        <v>0</v>
      </c>
      <c r="S401" s="43">
        <v>0</v>
      </c>
      <c r="T401" s="43">
        <v>0</v>
      </c>
      <c r="U401" s="19"/>
      <c r="V401" s="13">
        <f t="shared" si="59"/>
        <v>291620.12</v>
      </c>
      <c r="W401" s="13"/>
      <c r="X401" s="13"/>
      <c r="Y401" s="13"/>
      <c r="Z401" s="13"/>
      <c r="AA401" s="22">
        <v>45658</v>
      </c>
      <c r="AB401" s="22" cm="1">
        <f t="array" ref="AB4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01" s="4"/>
      <c r="AD401" s="4"/>
      <c r="AE401" s="2"/>
      <c r="AF401" s="3"/>
      <c r="AG401" s="3"/>
      <c r="AH401" s="3"/>
      <c r="AI401" s="3"/>
      <c r="AJ401" s="2">
        <f t="shared" si="57"/>
        <v>0</v>
      </c>
      <c r="AK401" s="2">
        <f t="shared" si="58"/>
        <v>0</v>
      </c>
      <c r="AL401" s="2">
        <f t="shared" si="56"/>
        <v>0</v>
      </c>
      <c r="AM401" s="88"/>
      <c r="AN401" s="157" t="s">
        <v>774</v>
      </c>
    </row>
    <row r="402" spans="2:40" ht="23.15" customHeight="1" thickBot="1">
      <c r="B402" s="87"/>
      <c r="C402" s="2" t="s">
        <v>292</v>
      </c>
      <c r="D402" s="15" t="s">
        <v>14</v>
      </c>
      <c r="E402" s="20" t="s">
        <v>28</v>
      </c>
      <c r="F402" s="20" t="s">
        <v>49</v>
      </c>
      <c r="G402" s="11">
        <v>43</v>
      </c>
      <c r="H402" s="18">
        <v>39</v>
      </c>
      <c r="I402" s="18" t="s">
        <v>294</v>
      </c>
      <c r="J402" s="18" t="s">
        <v>294</v>
      </c>
      <c r="K402" s="19">
        <v>291620.12</v>
      </c>
      <c r="L402" s="41">
        <v>0</v>
      </c>
      <c r="M402" s="41" t="s">
        <v>294</v>
      </c>
      <c r="N402" s="41">
        <v>0</v>
      </c>
      <c r="O402" s="41" t="s">
        <v>294</v>
      </c>
      <c r="P402" s="41" t="s">
        <v>301</v>
      </c>
      <c r="Q402" s="43">
        <v>0</v>
      </c>
      <c r="R402" s="43">
        <v>0</v>
      </c>
      <c r="S402" s="43">
        <v>0</v>
      </c>
      <c r="T402" s="43">
        <v>0</v>
      </c>
      <c r="U402" s="19"/>
      <c r="V402" s="13">
        <f t="shared" si="59"/>
        <v>291620.12</v>
      </c>
      <c r="W402" s="13"/>
      <c r="X402" s="13"/>
      <c r="Y402" s="13"/>
      <c r="Z402" s="13"/>
      <c r="AA402" s="22">
        <v>45689</v>
      </c>
      <c r="AB402" s="22" cm="1">
        <f t="array" ref="AB4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02" s="4"/>
      <c r="AD402" s="4"/>
      <c r="AE402" s="2"/>
      <c r="AF402" s="3"/>
      <c r="AG402" s="3"/>
      <c r="AH402" s="3"/>
      <c r="AI402" s="3"/>
      <c r="AJ402" s="2">
        <f t="shared" si="57"/>
        <v>0</v>
      </c>
      <c r="AK402" s="2">
        <f t="shared" si="58"/>
        <v>0</v>
      </c>
      <c r="AL402" s="2">
        <f t="shared" si="56"/>
        <v>0</v>
      </c>
      <c r="AM402" s="88"/>
      <c r="AN402" s="157" t="s">
        <v>774</v>
      </c>
    </row>
    <row r="403" spans="2:40" ht="23.15" customHeight="1" thickBot="1">
      <c r="B403" s="87"/>
      <c r="C403" s="2" t="s">
        <v>292</v>
      </c>
      <c r="D403" s="15" t="s">
        <v>14</v>
      </c>
      <c r="E403" s="20" t="s">
        <v>28</v>
      </c>
      <c r="F403" s="20" t="s">
        <v>49</v>
      </c>
      <c r="G403" s="11">
        <v>43</v>
      </c>
      <c r="H403" s="11">
        <v>39</v>
      </c>
      <c r="I403" s="18" t="s">
        <v>294</v>
      </c>
      <c r="J403" s="18" t="s">
        <v>294</v>
      </c>
      <c r="K403" s="19">
        <v>291620.12</v>
      </c>
      <c r="L403" s="41">
        <v>0</v>
      </c>
      <c r="M403" s="41" t="s">
        <v>294</v>
      </c>
      <c r="N403" s="41">
        <v>0</v>
      </c>
      <c r="O403" s="41" t="s">
        <v>294</v>
      </c>
      <c r="P403" s="41">
        <v>0</v>
      </c>
      <c r="Q403" s="41">
        <v>0</v>
      </c>
      <c r="R403" s="43">
        <v>0</v>
      </c>
      <c r="S403" s="43">
        <v>0</v>
      </c>
      <c r="T403" s="41">
        <v>0</v>
      </c>
      <c r="U403" s="19"/>
      <c r="V403" s="13">
        <f t="shared" si="59"/>
        <v>291620.12</v>
      </c>
      <c r="W403" s="13"/>
      <c r="X403" s="13"/>
      <c r="Y403" s="13"/>
      <c r="Z403" s="13"/>
      <c r="AA403" s="22">
        <v>45717</v>
      </c>
      <c r="AB403" s="22" cm="1">
        <f t="array" ref="AB4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03" s="4"/>
      <c r="AD403" s="4"/>
      <c r="AE403" s="2"/>
      <c r="AF403" s="3"/>
      <c r="AG403" s="3"/>
      <c r="AH403" s="3"/>
      <c r="AI403" s="3"/>
      <c r="AJ403" s="2">
        <f t="shared" si="57"/>
        <v>0</v>
      </c>
      <c r="AK403" s="2">
        <f t="shared" si="58"/>
        <v>0</v>
      </c>
      <c r="AL403" s="2">
        <f t="shared" si="56"/>
        <v>0</v>
      </c>
      <c r="AM403" s="88"/>
      <c r="AN403" s="157" t="s">
        <v>774</v>
      </c>
    </row>
    <row r="404" spans="2:40" ht="23.15" customHeight="1" thickBot="1">
      <c r="B404" s="87"/>
      <c r="C404" s="2" t="s">
        <v>292</v>
      </c>
      <c r="D404" s="15" t="s">
        <v>14</v>
      </c>
      <c r="E404" s="20" t="s">
        <v>28</v>
      </c>
      <c r="F404" s="20" t="s">
        <v>49</v>
      </c>
      <c r="G404" s="11">
        <v>43</v>
      </c>
      <c r="H404" s="11">
        <v>39</v>
      </c>
      <c r="I404" s="18">
        <v>0</v>
      </c>
      <c r="J404" s="18">
        <v>0</v>
      </c>
      <c r="K404" s="19">
        <v>291620.12</v>
      </c>
      <c r="L404" s="41">
        <v>0</v>
      </c>
      <c r="M404" s="41">
        <v>0</v>
      </c>
      <c r="N404" s="41">
        <v>0</v>
      </c>
      <c r="O404" s="41">
        <v>0</v>
      </c>
      <c r="P404" s="41">
        <v>0</v>
      </c>
      <c r="Q404" s="41">
        <v>0</v>
      </c>
      <c r="R404" s="41">
        <v>0</v>
      </c>
      <c r="S404" s="41">
        <v>0</v>
      </c>
      <c r="T404" s="41">
        <v>0</v>
      </c>
      <c r="U404" s="19"/>
      <c r="V404" s="13">
        <f t="shared" si="59"/>
        <v>291620.12</v>
      </c>
      <c r="W404" s="13"/>
      <c r="X404" s="13"/>
      <c r="Y404" s="13"/>
      <c r="Z404" s="13"/>
      <c r="AA404" s="22">
        <v>45748</v>
      </c>
      <c r="AB404" s="22" cm="1">
        <f t="array" ref="AB4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04" s="4"/>
      <c r="AD404" s="4"/>
      <c r="AE404" s="2"/>
      <c r="AF404" s="3"/>
      <c r="AG404" s="3"/>
      <c r="AH404" s="3"/>
      <c r="AI404" s="3"/>
      <c r="AJ404" s="2">
        <f t="shared" si="57"/>
        <v>0</v>
      </c>
      <c r="AK404" s="2">
        <f t="shared" si="58"/>
        <v>0</v>
      </c>
      <c r="AL404" s="2">
        <f t="shared" si="56"/>
        <v>0</v>
      </c>
      <c r="AM404" s="88"/>
      <c r="AN404" s="157" t="s">
        <v>774</v>
      </c>
    </row>
    <row r="405" spans="2:40" ht="23.15" customHeight="1" thickBot="1">
      <c r="B405" s="87"/>
      <c r="C405" s="2" t="s">
        <v>295</v>
      </c>
      <c r="D405" s="15" t="s">
        <v>14</v>
      </c>
      <c r="E405" s="20" t="s">
        <v>28</v>
      </c>
      <c r="F405" s="20" t="s">
        <v>49</v>
      </c>
      <c r="G405" s="11">
        <v>43</v>
      </c>
      <c r="H405" s="11">
        <v>39</v>
      </c>
      <c r="I405" s="41">
        <v>0</v>
      </c>
      <c r="J405" s="41">
        <v>0</v>
      </c>
      <c r="K405" s="19">
        <v>291620.12</v>
      </c>
      <c r="L405" s="41">
        <v>0</v>
      </c>
      <c r="M405" s="41">
        <v>0</v>
      </c>
      <c r="N405" s="41">
        <v>0</v>
      </c>
      <c r="O405" s="41">
        <v>0</v>
      </c>
      <c r="P405" s="41">
        <v>0</v>
      </c>
      <c r="Q405" s="43">
        <v>0</v>
      </c>
      <c r="R405" s="43">
        <v>0</v>
      </c>
      <c r="S405" s="43">
        <v>0</v>
      </c>
      <c r="T405" s="43">
        <v>0</v>
      </c>
      <c r="U405" s="19" t="s">
        <v>292</v>
      </c>
      <c r="V405" s="13">
        <f t="shared" si="59"/>
        <v>291620.12</v>
      </c>
      <c r="W405" s="13"/>
      <c r="X405" s="13"/>
      <c r="Y405" s="13"/>
      <c r="Z405" s="13"/>
      <c r="AA405" s="22">
        <v>45778</v>
      </c>
      <c r="AB405" s="22" cm="1">
        <f t="array" ref="AB4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05" s="4"/>
      <c r="AD405" s="4"/>
      <c r="AE405" s="2"/>
      <c r="AF405" s="3"/>
      <c r="AG405" s="3"/>
      <c r="AH405" s="3"/>
      <c r="AI405" s="3"/>
      <c r="AJ405" s="2">
        <f t="shared" si="57"/>
        <v>0</v>
      </c>
      <c r="AK405" s="2">
        <f t="shared" si="58"/>
        <v>0</v>
      </c>
      <c r="AL405" s="2">
        <f t="shared" si="56"/>
        <v>0</v>
      </c>
      <c r="AM405" s="88"/>
      <c r="AN405" s="157" t="s">
        <v>774</v>
      </c>
    </row>
    <row r="406" spans="2:40" ht="23.15" customHeight="1" thickBot="1">
      <c r="B406" s="87">
        <v>45888</v>
      </c>
      <c r="C406" s="2" t="s">
        <v>295</v>
      </c>
      <c r="D406" s="15" t="s">
        <v>14</v>
      </c>
      <c r="E406" s="20" t="s">
        <v>28</v>
      </c>
      <c r="F406" s="20" t="s">
        <v>49</v>
      </c>
      <c r="G406" s="11">
        <v>43</v>
      </c>
      <c r="H406" s="11">
        <v>39</v>
      </c>
      <c r="I406" s="41">
        <v>0</v>
      </c>
      <c r="J406" s="41">
        <v>0</v>
      </c>
      <c r="K406" s="19">
        <v>291620.12</v>
      </c>
      <c r="L406" s="41">
        <v>0</v>
      </c>
      <c r="M406" s="41">
        <v>0</v>
      </c>
      <c r="N406" s="41">
        <v>0</v>
      </c>
      <c r="O406" s="41">
        <v>0</v>
      </c>
      <c r="P406" s="41">
        <v>0</v>
      </c>
      <c r="Q406" s="43">
        <v>0</v>
      </c>
      <c r="R406" s="43">
        <v>0</v>
      </c>
      <c r="S406" s="43">
        <v>0</v>
      </c>
      <c r="T406" s="43">
        <v>0</v>
      </c>
      <c r="U406" s="19" t="s">
        <v>295</v>
      </c>
      <c r="V406" s="13">
        <f t="shared" si="59"/>
        <v>291620.12</v>
      </c>
      <c r="W406" s="13"/>
      <c r="X406" s="13"/>
      <c r="Y406" s="13"/>
      <c r="Z406" s="13"/>
      <c r="AA406" s="22">
        <v>45809</v>
      </c>
      <c r="AB406" s="22" cm="1">
        <f t="array" ref="AB4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06" s="4"/>
      <c r="AD406" s="4"/>
      <c r="AE406" s="2"/>
      <c r="AF406" s="3"/>
      <c r="AG406" s="3"/>
      <c r="AH406" s="3"/>
      <c r="AI406" s="3"/>
      <c r="AJ406" s="2">
        <f t="shared" si="57"/>
        <v>0</v>
      </c>
      <c r="AK406" s="2">
        <f t="shared" si="58"/>
        <v>0</v>
      </c>
      <c r="AL406" s="2">
        <f t="shared" si="56"/>
        <v>0</v>
      </c>
      <c r="AM406" s="88"/>
      <c r="AN406" s="157" t="s">
        <v>774</v>
      </c>
    </row>
    <row r="407" spans="2:40" ht="23.15" customHeight="1" thickBot="1">
      <c r="B407" s="87">
        <v>45888</v>
      </c>
      <c r="C407" s="2" t="s">
        <v>295</v>
      </c>
      <c r="D407" s="15" t="s">
        <v>14</v>
      </c>
      <c r="E407" s="20" t="s">
        <v>28</v>
      </c>
      <c r="F407" s="20" t="s">
        <v>49</v>
      </c>
      <c r="G407" s="11">
        <v>43</v>
      </c>
      <c r="H407" s="11">
        <v>39</v>
      </c>
      <c r="I407" s="18">
        <v>0</v>
      </c>
      <c r="J407" s="18">
        <v>0</v>
      </c>
      <c r="K407" s="19">
        <v>291620.12</v>
      </c>
      <c r="L407" s="41">
        <v>0</v>
      </c>
      <c r="M407" s="41">
        <v>0</v>
      </c>
      <c r="N407" s="41">
        <v>0</v>
      </c>
      <c r="O407" s="41">
        <v>0</v>
      </c>
      <c r="P407" s="41">
        <v>0</v>
      </c>
      <c r="Q407" s="41">
        <v>0</v>
      </c>
      <c r="R407" s="41">
        <v>0</v>
      </c>
      <c r="S407" s="43">
        <v>0</v>
      </c>
      <c r="T407" s="43">
        <v>0</v>
      </c>
      <c r="U407" s="19" t="s">
        <v>295</v>
      </c>
      <c r="V407" s="13">
        <f t="shared" si="59"/>
        <v>291620.12</v>
      </c>
      <c r="W407" s="13"/>
      <c r="X407" s="13"/>
      <c r="Y407" s="13"/>
      <c r="Z407" s="13"/>
      <c r="AA407" s="22">
        <v>45839</v>
      </c>
      <c r="AB407" s="22" cm="1">
        <f t="array" ref="AB4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07" s="4"/>
      <c r="AD407" s="4"/>
      <c r="AE407" s="2"/>
      <c r="AF407" s="3"/>
      <c r="AG407" s="3"/>
      <c r="AH407" s="3"/>
      <c r="AI407" s="3"/>
      <c r="AJ407" s="2">
        <f t="shared" si="57"/>
        <v>0</v>
      </c>
      <c r="AK407" s="2">
        <f t="shared" si="58"/>
        <v>0</v>
      </c>
      <c r="AL407" s="2">
        <f t="shared" si="56"/>
        <v>0</v>
      </c>
      <c r="AM407" s="88"/>
      <c r="AN407" s="157" t="s">
        <v>774</v>
      </c>
    </row>
    <row r="408" spans="2:40" ht="23.15" customHeight="1" thickBot="1">
      <c r="B408" s="87"/>
      <c r="C408" s="2" t="s">
        <v>292</v>
      </c>
      <c r="D408" s="15" t="s">
        <v>14</v>
      </c>
      <c r="E408" s="20" t="s">
        <v>33</v>
      </c>
      <c r="F408" s="20" t="s">
        <v>44</v>
      </c>
      <c r="G408" s="11">
        <v>6</v>
      </c>
      <c r="H408" s="18"/>
      <c r="I408" s="18" t="s">
        <v>294</v>
      </c>
      <c r="J408" s="18" t="s">
        <v>294</v>
      </c>
      <c r="K408" s="19">
        <v>41678.300000000003</v>
      </c>
      <c r="L408" s="41">
        <v>0</v>
      </c>
      <c r="M408" s="41" t="s">
        <v>294</v>
      </c>
      <c r="N408" s="18" t="s">
        <v>294</v>
      </c>
      <c r="O408" s="41" t="s">
        <v>294</v>
      </c>
      <c r="P408" s="41" t="s">
        <v>293</v>
      </c>
      <c r="Q408" s="43">
        <v>0</v>
      </c>
      <c r="R408" s="41">
        <v>0</v>
      </c>
      <c r="S408" s="43">
        <v>0</v>
      </c>
      <c r="T408" s="43">
        <v>0</v>
      </c>
      <c r="U408" s="19"/>
      <c r="V408" s="13">
        <f t="shared" si="59"/>
        <v>41678.300000000003</v>
      </c>
      <c r="W408" s="13"/>
      <c r="X408" s="13"/>
      <c r="Y408" s="13"/>
      <c r="Z408" s="13"/>
      <c r="AA408" s="22">
        <v>45901</v>
      </c>
      <c r="AB408" s="22" cm="1">
        <f t="array" ref="AB4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08" s="4"/>
      <c r="AD408" s="4"/>
      <c r="AE408" s="2"/>
      <c r="AF408" s="3"/>
      <c r="AG408" s="3"/>
      <c r="AH408" s="3"/>
      <c r="AI408" s="3"/>
      <c r="AJ408" s="2">
        <f t="shared" si="57"/>
        <v>0</v>
      </c>
      <c r="AK408" s="2">
        <f t="shared" si="58"/>
        <v>0</v>
      </c>
      <c r="AL408" s="2">
        <f t="shared" si="56"/>
        <v>0</v>
      </c>
      <c r="AM408" s="88"/>
      <c r="AN408" s="157" t="s">
        <v>774</v>
      </c>
    </row>
    <row r="409" spans="2:40" ht="23.15" customHeight="1" thickBot="1">
      <c r="B409" s="87"/>
      <c r="C409" s="2" t="s">
        <v>295</v>
      </c>
      <c r="D409" s="15" t="s">
        <v>14</v>
      </c>
      <c r="E409" s="20" t="s">
        <v>32</v>
      </c>
      <c r="F409" s="20" t="s">
        <v>39</v>
      </c>
      <c r="G409" s="11">
        <v>59</v>
      </c>
      <c r="H409" s="18">
        <v>70</v>
      </c>
      <c r="I409" s="18">
        <v>0</v>
      </c>
      <c r="J409" s="18">
        <v>108.5</v>
      </c>
      <c r="K409" s="19">
        <v>542723.86</v>
      </c>
      <c r="L409" s="41">
        <v>0</v>
      </c>
      <c r="M409" s="41">
        <v>0</v>
      </c>
      <c r="N409" s="41">
        <v>0</v>
      </c>
      <c r="O409" s="41">
        <v>-4025.97</v>
      </c>
      <c r="P409" s="41">
        <v>0</v>
      </c>
      <c r="Q409" s="43">
        <v>0</v>
      </c>
      <c r="R409" s="41">
        <v>0</v>
      </c>
      <c r="S409" s="43">
        <v>0</v>
      </c>
      <c r="T409" s="43">
        <v>0</v>
      </c>
      <c r="U409" s="19" t="s">
        <v>295</v>
      </c>
      <c r="V409" s="13">
        <f t="shared" si="59"/>
        <v>538697.89</v>
      </c>
      <c r="W409" s="13"/>
      <c r="X409" s="13"/>
      <c r="Y409" s="13"/>
      <c r="Z409" s="13"/>
      <c r="AA409" s="22">
        <v>45658</v>
      </c>
      <c r="AB409" s="22" cm="1">
        <f t="array" ref="AB4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09" s="4"/>
      <c r="AD409" s="4"/>
      <c r="AE409" s="2"/>
      <c r="AF409" s="3"/>
      <c r="AG409" s="3"/>
      <c r="AH409" s="3"/>
      <c r="AI409" s="3"/>
      <c r="AJ409" s="2">
        <f t="shared" si="57"/>
        <v>0</v>
      </c>
      <c r="AK409" s="2">
        <f t="shared" si="58"/>
        <v>0</v>
      </c>
      <c r="AL409" s="2">
        <f t="shared" si="56"/>
        <v>4025.9699999999721</v>
      </c>
      <c r="AM409" s="88"/>
      <c r="AN409" s="157" t="s">
        <v>774</v>
      </c>
    </row>
    <row r="410" spans="2:40" ht="23.15" customHeight="1" thickBot="1">
      <c r="B410" s="87"/>
      <c r="C410" s="2" t="s">
        <v>292</v>
      </c>
      <c r="D410" s="15" t="s">
        <v>14</v>
      </c>
      <c r="E410" s="20" t="s">
        <v>32</v>
      </c>
      <c r="F410" s="20" t="s">
        <v>39</v>
      </c>
      <c r="G410" s="11">
        <v>59</v>
      </c>
      <c r="H410" s="18">
        <v>70</v>
      </c>
      <c r="I410" s="18" t="s">
        <v>294</v>
      </c>
      <c r="J410" s="18" t="s">
        <v>294</v>
      </c>
      <c r="K410" s="19">
        <v>542723.86</v>
      </c>
      <c r="L410" s="41">
        <v>0</v>
      </c>
      <c r="M410" s="41" t="s">
        <v>294</v>
      </c>
      <c r="N410" s="41">
        <v>0</v>
      </c>
      <c r="O410" s="41" t="s">
        <v>294</v>
      </c>
      <c r="P410" s="43">
        <v>0</v>
      </c>
      <c r="Q410" s="43">
        <v>0</v>
      </c>
      <c r="R410" s="41">
        <v>0</v>
      </c>
      <c r="S410" s="43">
        <v>0</v>
      </c>
      <c r="T410" s="43">
        <v>0</v>
      </c>
      <c r="U410" s="19"/>
      <c r="V410" s="13">
        <f t="shared" si="59"/>
        <v>542723.86</v>
      </c>
      <c r="W410" s="13"/>
      <c r="X410" s="13"/>
      <c r="Y410" s="13"/>
      <c r="Z410" s="13"/>
      <c r="AA410" s="22">
        <v>45689</v>
      </c>
      <c r="AB410" s="22" cm="1">
        <f t="array" ref="AB4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10" s="4"/>
      <c r="AD410" s="4"/>
      <c r="AE410" s="2"/>
      <c r="AF410" s="3"/>
      <c r="AG410" s="3"/>
      <c r="AH410" s="3"/>
      <c r="AI410" s="3"/>
      <c r="AJ410" s="2">
        <f t="shared" ref="AJ410:AJ433" si="60">IFERROR(L410-M410,0)</f>
        <v>0</v>
      </c>
      <c r="AK410" s="2">
        <f t="shared" si="58"/>
        <v>0</v>
      </c>
      <c r="AL410" s="2">
        <f t="shared" si="56"/>
        <v>0</v>
      </c>
      <c r="AM410" s="88"/>
      <c r="AN410" s="157" t="s">
        <v>774</v>
      </c>
    </row>
    <row r="411" spans="2:40" ht="23.15" customHeight="1" thickBot="1">
      <c r="B411" s="87"/>
      <c r="C411" s="2" t="s">
        <v>292</v>
      </c>
      <c r="D411" s="15" t="s">
        <v>14</v>
      </c>
      <c r="E411" s="20" t="s">
        <v>32</v>
      </c>
      <c r="F411" s="20" t="s">
        <v>39</v>
      </c>
      <c r="G411" s="11">
        <v>59</v>
      </c>
      <c r="H411" s="11">
        <v>70</v>
      </c>
      <c r="I411" s="18">
        <v>0</v>
      </c>
      <c r="J411" s="18">
        <v>0</v>
      </c>
      <c r="K411" s="19">
        <v>546815.06999999995</v>
      </c>
      <c r="L411" s="41">
        <v>0</v>
      </c>
      <c r="M411" s="41">
        <v>0</v>
      </c>
      <c r="N411" s="41">
        <v>0</v>
      </c>
      <c r="O411" s="41">
        <v>0</v>
      </c>
      <c r="P411" s="41">
        <v>0</v>
      </c>
      <c r="Q411" s="41">
        <v>0</v>
      </c>
      <c r="R411" s="41">
        <v>0</v>
      </c>
      <c r="S411" s="43">
        <v>0</v>
      </c>
      <c r="T411" s="43">
        <v>0</v>
      </c>
      <c r="U411" s="19"/>
      <c r="V411" s="13">
        <f t="shared" si="59"/>
        <v>546815.06999999995</v>
      </c>
      <c r="W411" s="13"/>
      <c r="X411" s="13"/>
      <c r="Y411" s="13"/>
      <c r="Z411" s="13"/>
      <c r="AA411" s="22">
        <v>45717</v>
      </c>
      <c r="AB411" s="22" cm="1">
        <f t="array" ref="AB4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11" s="4"/>
      <c r="AD411" s="4"/>
      <c r="AE411" s="2"/>
      <c r="AF411" s="3"/>
      <c r="AG411" s="3"/>
      <c r="AH411" s="3"/>
      <c r="AI411" s="3"/>
      <c r="AJ411" s="2">
        <f t="shared" si="60"/>
        <v>0</v>
      </c>
      <c r="AK411" s="2">
        <f t="shared" si="58"/>
        <v>0</v>
      </c>
      <c r="AL411" s="2">
        <f t="shared" si="56"/>
        <v>0</v>
      </c>
      <c r="AM411" s="88"/>
      <c r="AN411" s="157" t="s">
        <v>774</v>
      </c>
    </row>
    <row r="412" spans="2:40" ht="23.15" customHeight="1" thickBot="1">
      <c r="B412" s="87">
        <v>45797</v>
      </c>
      <c r="C412" s="2" t="s">
        <v>295</v>
      </c>
      <c r="D412" s="15" t="s">
        <v>14</v>
      </c>
      <c r="E412" s="20" t="s">
        <v>32</v>
      </c>
      <c r="F412" s="20" t="s">
        <v>39</v>
      </c>
      <c r="G412" s="11">
        <v>59</v>
      </c>
      <c r="H412" s="18">
        <v>70</v>
      </c>
      <c r="I412" s="18">
        <v>7</v>
      </c>
      <c r="J412" s="18">
        <v>47.5</v>
      </c>
      <c r="K412" s="19">
        <v>546815.06999999995</v>
      </c>
      <c r="L412" s="41">
        <v>0</v>
      </c>
      <c r="M412" s="41">
        <v>-1451.31</v>
      </c>
      <c r="N412" s="41">
        <v>0</v>
      </c>
      <c r="O412" s="41">
        <v>-1690.29</v>
      </c>
      <c r="P412" s="41">
        <v>0</v>
      </c>
      <c r="Q412" s="43">
        <v>0</v>
      </c>
      <c r="R412" s="41">
        <v>0</v>
      </c>
      <c r="S412" s="43">
        <v>0</v>
      </c>
      <c r="T412" s="43">
        <v>0</v>
      </c>
      <c r="U412" s="19" t="s">
        <v>295</v>
      </c>
      <c r="V412" s="13">
        <f t="shared" si="59"/>
        <v>543673.46999999986</v>
      </c>
      <c r="W412" s="13"/>
      <c r="X412" s="13"/>
      <c r="Y412" s="13"/>
      <c r="Z412" s="13"/>
      <c r="AA412" s="22">
        <v>45748</v>
      </c>
      <c r="AB412" s="22" cm="1">
        <f t="array" ref="AB4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12" s="4">
        <v>6060.594941472832</v>
      </c>
      <c r="AD412" s="4">
        <v>6060.594941472832</v>
      </c>
      <c r="AE412" s="2"/>
      <c r="AF412" s="3"/>
      <c r="AG412" s="3"/>
      <c r="AH412" s="3"/>
      <c r="AI412" s="3"/>
      <c r="AJ412" s="2">
        <f t="shared" si="60"/>
        <v>1451.31</v>
      </c>
      <c r="AK412" s="2">
        <f t="shared" si="58"/>
        <v>0</v>
      </c>
      <c r="AL412" s="2">
        <f t="shared" si="56"/>
        <v>3141.6000000000931</v>
      </c>
      <c r="AM412" s="88"/>
      <c r="AN412" s="157" t="s">
        <v>774</v>
      </c>
    </row>
    <row r="413" spans="2:40" ht="23.15" customHeight="1" thickBot="1">
      <c r="B413" s="87">
        <v>45813</v>
      </c>
      <c r="C413" s="2" t="s">
        <v>295</v>
      </c>
      <c r="D413" s="15" t="s">
        <v>14</v>
      </c>
      <c r="E413" s="20" t="s">
        <v>32</v>
      </c>
      <c r="F413" s="20" t="s">
        <v>39</v>
      </c>
      <c r="G413" s="11">
        <v>59</v>
      </c>
      <c r="H413" s="18">
        <v>70</v>
      </c>
      <c r="I413" s="18">
        <v>0</v>
      </c>
      <c r="J413" s="18">
        <v>36</v>
      </c>
      <c r="K413" s="19">
        <v>546815.06999999995</v>
      </c>
      <c r="L413" s="41">
        <v>0</v>
      </c>
      <c r="M413" s="41">
        <v>0</v>
      </c>
      <c r="N413" s="41">
        <v>0</v>
      </c>
      <c r="O413" s="41">
        <f>-1258.59</f>
        <v>-1258.5899999999999</v>
      </c>
      <c r="P413" s="41">
        <v>0</v>
      </c>
      <c r="Q413" s="41">
        <v>0</v>
      </c>
      <c r="R413" s="41">
        <v>0</v>
      </c>
      <c r="S413" s="43">
        <v>0</v>
      </c>
      <c r="T413" s="43">
        <v>0</v>
      </c>
      <c r="U413" s="19" t="s">
        <v>295</v>
      </c>
      <c r="V413" s="13">
        <f t="shared" si="59"/>
        <v>545556.47999999998</v>
      </c>
      <c r="W413" s="13"/>
      <c r="X413" s="13"/>
      <c r="Y413" s="13"/>
      <c r="Z413" s="13"/>
      <c r="AA413" s="22">
        <v>45778</v>
      </c>
      <c r="AB413" s="22" cm="1">
        <f t="array" ref="AB4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13" s="4">
        <v>13325</v>
      </c>
      <c r="AD413" s="4">
        <v>9246.3934855773969</v>
      </c>
      <c r="AE413" s="2"/>
      <c r="AF413" s="3"/>
      <c r="AG413" s="3"/>
      <c r="AH413" s="3"/>
      <c r="AI413" s="3"/>
      <c r="AJ413" s="2">
        <f t="shared" si="60"/>
        <v>0</v>
      </c>
      <c r="AK413" s="2">
        <f t="shared" si="58"/>
        <v>4078.6065144226031</v>
      </c>
      <c r="AL413" s="2">
        <f t="shared" si="56"/>
        <v>1258.5899999999674</v>
      </c>
      <c r="AM413" s="88"/>
      <c r="AN413" s="157" t="s">
        <v>774</v>
      </c>
    </row>
    <row r="414" spans="2:40" ht="23.15" customHeight="1" thickBot="1">
      <c r="B414" s="87">
        <v>45854</v>
      </c>
      <c r="C414" s="2" t="s">
        <v>295</v>
      </c>
      <c r="D414" s="15" t="s">
        <v>14</v>
      </c>
      <c r="E414" s="20" t="s">
        <v>32</v>
      </c>
      <c r="F414" s="20" t="s">
        <v>39</v>
      </c>
      <c r="G414" s="11">
        <v>59</v>
      </c>
      <c r="H414" s="18">
        <v>70</v>
      </c>
      <c r="I414" s="18">
        <v>0</v>
      </c>
      <c r="J414" s="18">
        <v>9</v>
      </c>
      <c r="K414" s="19">
        <v>546815.06999999995</v>
      </c>
      <c r="L414" s="41">
        <v>0</v>
      </c>
      <c r="M414" s="41">
        <v>0</v>
      </c>
      <c r="N414" s="41">
        <v>0</v>
      </c>
      <c r="O414" s="41">
        <f>-310.32</f>
        <v>-310.32</v>
      </c>
      <c r="P414" s="41">
        <v>0</v>
      </c>
      <c r="Q414" s="41">
        <v>0</v>
      </c>
      <c r="R414" s="41">
        <v>0</v>
      </c>
      <c r="S414" s="43">
        <v>0</v>
      </c>
      <c r="T414" s="43">
        <v>0</v>
      </c>
      <c r="U414" s="19" t="s">
        <v>295</v>
      </c>
      <c r="V414" s="13">
        <f t="shared" si="59"/>
        <v>546504.75</v>
      </c>
      <c r="W414" s="13"/>
      <c r="X414" s="13"/>
      <c r="Y414" s="13"/>
      <c r="Z414" s="13"/>
      <c r="AA414" s="22">
        <v>45809</v>
      </c>
      <c r="AB414" s="22" cm="1">
        <f t="array" ref="AB4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14" s="4"/>
      <c r="AD414" s="4"/>
      <c r="AE414" s="2"/>
      <c r="AF414" s="3"/>
      <c r="AG414" s="3"/>
      <c r="AH414" s="3"/>
      <c r="AI414" s="3"/>
      <c r="AJ414" s="2">
        <f t="shared" si="60"/>
        <v>0</v>
      </c>
      <c r="AK414" s="2">
        <f t="shared" si="58"/>
        <v>0</v>
      </c>
      <c r="AL414" s="2">
        <f t="shared" si="56"/>
        <v>310.31999999994878</v>
      </c>
      <c r="AM414" s="88"/>
      <c r="AN414" s="157" t="s">
        <v>774</v>
      </c>
    </row>
    <row r="415" spans="2:40" ht="23.15" customHeight="1" thickBot="1">
      <c r="B415" s="87">
        <v>45882</v>
      </c>
      <c r="C415" s="2" t="s">
        <v>295</v>
      </c>
      <c r="D415" s="15" t="s">
        <v>14</v>
      </c>
      <c r="E415" s="20" t="s">
        <v>32</v>
      </c>
      <c r="F415" s="20" t="s">
        <v>39</v>
      </c>
      <c r="G415" s="11">
        <v>59</v>
      </c>
      <c r="H415" s="11">
        <v>70</v>
      </c>
      <c r="I415" s="18">
        <v>5</v>
      </c>
      <c r="J415" s="18">
        <v>45</v>
      </c>
      <c r="K415" s="19">
        <v>546815.06999999995</v>
      </c>
      <c r="L415" s="41">
        <v>0</v>
      </c>
      <c r="M415" s="41">
        <v>-1033.8900000000001</v>
      </c>
      <c r="N415" s="41">
        <v>0</v>
      </c>
      <c r="O415" s="41">
        <v>-1786.5</v>
      </c>
      <c r="P415" s="41">
        <v>-2734.08</v>
      </c>
      <c r="Q415" s="43">
        <v>0</v>
      </c>
      <c r="R415" s="41">
        <v>0</v>
      </c>
      <c r="S415" s="43">
        <v>0</v>
      </c>
      <c r="T415" s="43">
        <v>0</v>
      </c>
      <c r="U415" s="19" t="s">
        <v>295</v>
      </c>
      <c r="V415" s="13">
        <f t="shared" si="59"/>
        <v>541260.6</v>
      </c>
      <c r="W415" s="13"/>
      <c r="X415" s="13"/>
      <c r="Y415" s="13"/>
      <c r="Z415" s="13"/>
      <c r="AA415" s="22">
        <v>45839</v>
      </c>
      <c r="AB415" s="22" cm="1">
        <f t="array" ref="AB4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15" s="4">
        <v>28742.430375834199</v>
      </c>
      <c r="AD415" s="4">
        <v>28742.430375834199</v>
      </c>
      <c r="AE415" s="2"/>
      <c r="AF415" s="3"/>
      <c r="AG415" s="3"/>
      <c r="AH415" s="3"/>
      <c r="AI415" s="3"/>
      <c r="AJ415" s="2">
        <f t="shared" si="60"/>
        <v>1033.8900000000001</v>
      </c>
      <c r="AK415" s="2">
        <f t="shared" si="58"/>
        <v>0</v>
      </c>
      <c r="AL415" s="2">
        <f t="shared" si="56"/>
        <v>5554.4699999999721</v>
      </c>
      <c r="AM415" s="88"/>
      <c r="AN415" s="157" t="s">
        <v>774</v>
      </c>
    </row>
    <row r="416" spans="2:40" ht="23.15" customHeight="1" thickBot="1">
      <c r="B416" s="87"/>
      <c r="C416" s="2" t="s">
        <v>292</v>
      </c>
      <c r="D416" s="15" t="s">
        <v>14</v>
      </c>
      <c r="E416" s="20" t="s">
        <v>33</v>
      </c>
      <c r="F416" s="20" t="s">
        <v>44</v>
      </c>
      <c r="G416" s="11">
        <v>6</v>
      </c>
      <c r="H416" s="18"/>
      <c r="I416" s="18" t="s">
        <v>294</v>
      </c>
      <c r="J416" s="18" t="s">
        <v>294</v>
      </c>
      <c r="K416" s="19">
        <v>41678.300000000003</v>
      </c>
      <c r="L416" s="41"/>
      <c r="M416" s="41" t="s">
        <v>294</v>
      </c>
      <c r="N416" s="41"/>
      <c r="O416" s="41" t="s">
        <v>294</v>
      </c>
      <c r="P416" s="41" t="s">
        <v>293</v>
      </c>
      <c r="Q416" s="43"/>
      <c r="R416" s="41"/>
      <c r="S416" s="43"/>
      <c r="T416" s="43"/>
      <c r="U416" s="19"/>
      <c r="V416" s="13">
        <f t="shared" si="59"/>
        <v>41678.300000000003</v>
      </c>
      <c r="W416" s="13"/>
      <c r="X416" s="13"/>
      <c r="Y416" s="13"/>
      <c r="Z416" s="13"/>
      <c r="AA416" s="22">
        <v>45931</v>
      </c>
      <c r="AB416" s="22" cm="1">
        <f t="array" ref="AB4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16" s="4"/>
      <c r="AD416" s="4"/>
      <c r="AE416" s="2"/>
      <c r="AF416" s="3"/>
      <c r="AG416" s="3"/>
      <c r="AH416" s="3"/>
      <c r="AI416" s="3"/>
      <c r="AJ416" s="2">
        <f t="shared" si="60"/>
        <v>0</v>
      </c>
      <c r="AK416" s="2">
        <f t="shared" si="58"/>
        <v>0</v>
      </c>
      <c r="AL416" s="2">
        <f t="shared" si="56"/>
        <v>0</v>
      </c>
      <c r="AM416" s="88"/>
      <c r="AN416" s="157" t="s">
        <v>774</v>
      </c>
    </row>
    <row r="417" spans="2:40" ht="23.15" customHeight="1" thickBot="1">
      <c r="B417" s="87"/>
      <c r="C417" s="2" t="s">
        <v>295</v>
      </c>
      <c r="D417" s="15" t="s">
        <v>14</v>
      </c>
      <c r="E417" s="20" t="s">
        <v>30</v>
      </c>
      <c r="F417" s="20" t="s">
        <v>39</v>
      </c>
      <c r="G417" s="11">
        <v>116</v>
      </c>
      <c r="H417" s="18">
        <v>117</v>
      </c>
      <c r="I417" s="11">
        <v>0</v>
      </c>
      <c r="J417" s="11">
        <v>0</v>
      </c>
      <c r="K417" s="19">
        <v>581991.57206876087</v>
      </c>
      <c r="L417" s="41">
        <v>0</v>
      </c>
      <c r="M417" s="41">
        <v>0</v>
      </c>
      <c r="N417" s="41">
        <v>0</v>
      </c>
      <c r="O417" s="41">
        <v>0</v>
      </c>
      <c r="P417" s="41">
        <v>-969.98666666669305</v>
      </c>
      <c r="Q417" s="43">
        <v>0</v>
      </c>
      <c r="R417" s="41">
        <v>0</v>
      </c>
      <c r="S417" s="43">
        <v>0</v>
      </c>
      <c r="T417" s="43">
        <v>-11900</v>
      </c>
      <c r="U417" s="19" t="s">
        <v>295</v>
      </c>
      <c r="V417" s="13">
        <f t="shared" si="59"/>
        <v>569121.58540209418</v>
      </c>
      <c r="W417" s="13"/>
      <c r="X417" s="13"/>
      <c r="Y417" s="13"/>
      <c r="Z417" s="13"/>
      <c r="AA417" s="22">
        <v>45658</v>
      </c>
      <c r="AB417" s="22" cm="1">
        <f t="array" ref="AB4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17" s="4"/>
      <c r="AD417" s="4"/>
      <c r="AE417" s="2"/>
      <c r="AF417" s="3"/>
      <c r="AG417" s="3"/>
      <c r="AH417" s="3"/>
      <c r="AI417" s="3"/>
      <c r="AJ417" s="2">
        <f t="shared" si="60"/>
        <v>0</v>
      </c>
      <c r="AK417" s="2">
        <f t="shared" si="58"/>
        <v>0</v>
      </c>
      <c r="AL417" s="2">
        <f t="shared" si="56"/>
        <v>12869.986666666693</v>
      </c>
      <c r="AM417" s="88"/>
      <c r="AN417" s="157" t="s">
        <v>774</v>
      </c>
    </row>
    <row r="418" spans="2:40" ht="23.15" customHeight="1" thickBot="1">
      <c r="B418" s="87"/>
      <c r="C418" s="2" t="s">
        <v>292</v>
      </c>
      <c r="D418" s="15" t="s">
        <v>14</v>
      </c>
      <c r="E418" s="20" t="s">
        <v>30</v>
      </c>
      <c r="F418" s="20" t="s">
        <v>39</v>
      </c>
      <c r="G418" s="11">
        <v>116</v>
      </c>
      <c r="H418" s="18">
        <v>117</v>
      </c>
      <c r="I418" s="11" t="s">
        <v>294</v>
      </c>
      <c r="J418" s="11" t="s">
        <v>294</v>
      </c>
      <c r="K418" s="19">
        <v>581991.57206876087</v>
      </c>
      <c r="L418" s="41"/>
      <c r="M418" s="41" t="s">
        <v>294</v>
      </c>
      <c r="N418" s="41"/>
      <c r="O418" s="41" t="s">
        <v>294</v>
      </c>
      <c r="P418" s="41">
        <v>0</v>
      </c>
      <c r="Q418" s="43">
        <v>0</v>
      </c>
      <c r="R418" s="41">
        <v>0</v>
      </c>
      <c r="S418" s="43">
        <v>0</v>
      </c>
      <c r="T418" s="43">
        <v>0</v>
      </c>
      <c r="U418" s="19"/>
      <c r="V418" s="13">
        <f t="shared" si="59"/>
        <v>581991.57206876087</v>
      </c>
      <c r="W418" s="13"/>
      <c r="X418" s="13"/>
      <c r="Y418" s="13"/>
      <c r="Z418" s="13"/>
      <c r="AA418" s="22">
        <v>45748</v>
      </c>
      <c r="AB418" s="22" cm="1">
        <f t="array" ref="AB4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18" s="4"/>
      <c r="AD418" s="4"/>
      <c r="AE418" s="2"/>
      <c r="AF418" s="3"/>
      <c r="AG418" s="3"/>
      <c r="AH418" s="3"/>
      <c r="AI418" s="3"/>
      <c r="AJ418" s="2">
        <f t="shared" si="60"/>
        <v>0</v>
      </c>
      <c r="AK418" s="2">
        <f t="shared" si="58"/>
        <v>0</v>
      </c>
      <c r="AL418" s="2">
        <f t="shared" si="56"/>
        <v>0</v>
      </c>
      <c r="AM418" s="88"/>
      <c r="AN418" s="157" t="s">
        <v>774</v>
      </c>
    </row>
    <row r="419" spans="2:40" ht="23.15" customHeight="1" thickBot="1">
      <c r="B419" s="87"/>
      <c r="C419" s="2" t="s">
        <v>292</v>
      </c>
      <c r="D419" s="15" t="s">
        <v>14</v>
      </c>
      <c r="E419" s="20" t="s">
        <v>30</v>
      </c>
      <c r="F419" s="20" t="s">
        <v>39</v>
      </c>
      <c r="G419" s="11">
        <v>116</v>
      </c>
      <c r="H419" s="11">
        <v>117</v>
      </c>
      <c r="I419" s="11" t="s">
        <v>294</v>
      </c>
      <c r="J419" s="11" t="s">
        <v>294</v>
      </c>
      <c r="K419" s="19">
        <v>581991.57206876087</v>
      </c>
      <c r="L419" s="41">
        <v>0</v>
      </c>
      <c r="M419" s="41" t="s">
        <v>294</v>
      </c>
      <c r="N419" s="41">
        <v>0</v>
      </c>
      <c r="O419" s="41" t="s">
        <v>294</v>
      </c>
      <c r="P419" s="41" t="s">
        <v>301</v>
      </c>
      <c r="Q419" s="43">
        <v>0</v>
      </c>
      <c r="R419" s="41">
        <v>0</v>
      </c>
      <c r="S419" s="43">
        <v>0</v>
      </c>
      <c r="T419" s="43">
        <v>0</v>
      </c>
      <c r="U419" s="19"/>
      <c r="V419" s="13">
        <f t="shared" si="59"/>
        <v>581991.57206876087</v>
      </c>
      <c r="W419" s="13"/>
      <c r="X419" s="13"/>
      <c r="Y419" s="13"/>
      <c r="Z419" s="13"/>
      <c r="AA419" s="22">
        <v>45689</v>
      </c>
      <c r="AB419" s="22" cm="1">
        <f t="array" ref="AB4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19" s="4"/>
      <c r="AD419" s="4"/>
      <c r="AE419" s="2"/>
      <c r="AF419" s="3"/>
      <c r="AG419" s="3"/>
      <c r="AH419" s="3"/>
      <c r="AI419" s="3"/>
      <c r="AJ419" s="2">
        <f t="shared" si="60"/>
        <v>0</v>
      </c>
      <c r="AK419" s="2">
        <f t="shared" si="58"/>
        <v>0</v>
      </c>
      <c r="AL419" s="2">
        <f t="shared" si="56"/>
        <v>0</v>
      </c>
      <c r="AM419" s="88"/>
      <c r="AN419" s="157" t="s">
        <v>774</v>
      </c>
    </row>
    <row r="420" spans="2:40" ht="23.15" customHeight="1" thickBot="1">
      <c r="B420" s="87"/>
      <c r="C420" s="2" t="s">
        <v>292</v>
      </c>
      <c r="D420" s="15" t="s">
        <v>14</v>
      </c>
      <c r="E420" s="20" t="s">
        <v>30</v>
      </c>
      <c r="F420" s="20" t="s">
        <v>39</v>
      </c>
      <c r="G420" s="11">
        <v>116</v>
      </c>
      <c r="H420" s="18">
        <v>117</v>
      </c>
      <c r="I420" s="11" t="s">
        <v>294</v>
      </c>
      <c r="J420" s="11" t="s">
        <v>294</v>
      </c>
      <c r="K420" s="19">
        <v>581991.57206876087</v>
      </c>
      <c r="L420" s="41">
        <v>0</v>
      </c>
      <c r="M420" s="41" t="s">
        <v>294</v>
      </c>
      <c r="N420" s="41">
        <v>0</v>
      </c>
      <c r="O420" s="41" t="s">
        <v>294</v>
      </c>
      <c r="P420" s="41" t="s">
        <v>301</v>
      </c>
      <c r="Q420" s="43">
        <v>0</v>
      </c>
      <c r="R420" s="41">
        <v>0</v>
      </c>
      <c r="S420" s="43">
        <v>0</v>
      </c>
      <c r="T420" s="43">
        <v>0</v>
      </c>
      <c r="U420" s="19"/>
      <c r="V420" s="13">
        <f t="shared" si="59"/>
        <v>581991.57206876087</v>
      </c>
      <c r="W420" s="13"/>
      <c r="X420" s="13"/>
      <c r="Y420" s="13"/>
      <c r="Z420" s="13"/>
      <c r="AA420" s="22">
        <v>45717</v>
      </c>
      <c r="AB420" s="22" cm="1">
        <f t="array" ref="AB4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20" s="4"/>
      <c r="AD420" s="4"/>
      <c r="AE420" s="2"/>
      <c r="AF420" s="3"/>
      <c r="AG420" s="3"/>
      <c r="AH420" s="3"/>
      <c r="AI420" s="3"/>
      <c r="AJ420" s="2">
        <f t="shared" si="60"/>
        <v>0</v>
      </c>
      <c r="AK420" s="2">
        <f t="shared" si="58"/>
        <v>0</v>
      </c>
      <c r="AL420" s="2">
        <f t="shared" si="56"/>
        <v>0</v>
      </c>
      <c r="AM420" s="88"/>
      <c r="AN420" s="157" t="s">
        <v>774</v>
      </c>
    </row>
    <row r="421" spans="2:40" ht="23.15" customHeight="1" thickBot="1">
      <c r="B421" s="87"/>
      <c r="C421" s="2" t="s">
        <v>292</v>
      </c>
      <c r="D421" s="15" t="s">
        <v>14</v>
      </c>
      <c r="E421" s="20" t="s">
        <v>30</v>
      </c>
      <c r="F421" s="20" t="s">
        <v>39</v>
      </c>
      <c r="G421" s="11">
        <v>116</v>
      </c>
      <c r="H421" s="11">
        <v>117</v>
      </c>
      <c r="I421" s="11" t="s">
        <v>294</v>
      </c>
      <c r="J421" s="43" t="s">
        <v>294</v>
      </c>
      <c r="K421" s="19">
        <v>655171.7528492352</v>
      </c>
      <c r="L421" s="41">
        <v>0</v>
      </c>
      <c r="M421" s="41" t="s">
        <v>294</v>
      </c>
      <c r="N421" s="41">
        <v>0</v>
      </c>
      <c r="O421" s="41" t="s">
        <v>294</v>
      </c>
      <c r="P421" s="41" t="s">
        <v>293</v>
      </c>
      <c r="Q421" s="43">
        <v>0</v>
      </c>
      <c r="R421" s="41">
        <v>0</v>
      </c>
      <c r="S421" s="43">
        <v>0</v>
      </c>
      <c r="T421" s="43">
        <v>0</v>
      </c>
      <c r="U421" s="19" t="s">
        <v>292</v>
      </c>
      <c r="V421" s="13">
        <f t="shared" si="59"/>
        <v>655171.7528492352</v>
      </c>
      <c r="W421" s="13"/>
      <c r="X421" s="13"/>
      <c r="Y421" s="13">
        <f>146360.363555512/3</f>
        <v>48786.78785183734</v>
      </c>
      <c r="Z421" s="13" t="s">
        <v>304</v>
      </c>
      <c r="AA421" s="22">
        <v>45778</v>
      </c>
      <c r="AB421" s="22" cm="1">
        <f t="array" ref="AB4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21" s="4"/>
      <c r="AD421" s="4"/>
      <c r="AE421" s="2"/>
      <c r="AF421" s="3"/>
      <c r="AG421" s="3"/>
      <c r="AH421" s="3"/>
      <c r="AI421" s="3"/>
      <c r="AJ421" s="2">
        <f t="shared" si="60"/>
        <v>0</v>
      </c>
      <c r="AK421" s="2">
        <f t="shared" si="58"/>
        <v>0</v>
      </c>
      <c r="AL421" s="2">
        <f t="shared" si="56"/>
        <v>0</v>
      </c>
      <c r="AM421" s="88"/>
      <c r="AN421" s="157" t="s">
        <v>774</v>
      </c>
    </row>
    <row r="422" spans="2:40" ht="23.15" customHeight="1" thickBot="1">
      <c r="B422" s="87"/>
      <c r="C422" s="2" t="s">
        <v>292</v>
      </c>
      <c r="D422" s="15" t="s">
        <v>14</v>
      </c>
      <c r="E422" s="20" t="s">
        <v>30</v>
      </c>
      <c r="F422" s="20" t="s">
        <v>39</v>
      </c>
      <c r="G422" s="11">
        <v>116</v>
      </c>
      <c r="H422" s="18">
        <v>117</v>
      </c>
      <c r="I422" s="43" t="s">
        <v>294</v>
      </c>
      <c r="J422" s="43" t="s">
        <v>294</v>
      </c>
      <c r="K422" s="19">
        <v>657838.61147185578</v>
      </c>
      <c r="L422" s="41">
        <v>0</v>
      </c>
      <c r="M422" s="41" t="s">
        <v>294</v>
      </c>
      <c r="N422" s="41">
        <v>0</v>
      </c>
      <c r="O422" s="41" t="s">
        <v>294</v>
      </c>
      <c r="P422" s="41" t="s">
        <v>301</v>
      </c>
      <c r="Q422" s="43">
        <v>0</v>
      </c>
      <c r="R422" s="41">
        <v>0</v>
      </c>
      <c r="S422" s="43">
        <v>0</v>
      </c>
      <c r="T422" s="43">
        <v>0</v>
      </c>
      <c r="U422" s="19"/>
      <c r="V422" s="13">
        <f t="shared" si="59"/>
        <v>657838.61147185578</v>
      </c>
      <c r="W422" s="13"/>
      <c r="X422" s="13"/>
      <c r="Y422" s="13">
        <f>146360.363555512/3</f>
        <v>48786.78785183734</v>
      </c>
      <c r="Z422" s="13" t="s">
        <v>307</v>
      </c>
      <c r="AA422" s="22">
        <v>45809</v>
      </c>
      <c r="AB422" s="22" cm="1">
        <f t="array" ref="AB4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22" s="4"/>
      <c r="AD422" s="4"/>
      <c r="AE422" s="2"/>
      <c r="AF422" s="3"/>
      <c r="AG422" s="3"/>
      <c r="AH422" s="3"/>
      <c r="AI422" s="3"/>
      <c r="AJ422" s="2">
        <f t="shared" si="60"/>
        <v>0</v>
      </c>
      <c r="AK422" s="2">
        <f t="shared" si="58"/>
        <v>0</v>
      </c>
      <c r="AL422" s="2">
        <f t="shared" si="56"/>
        <v>0</v>
      </c>
      <c r="AM422" s="88"/>
      <c r="AN422" s="157" t="s">
        <v>774</v>
      </c>
    </row>
    <row r="423" spans="2:40" ht="23.15" customHeight="1" thickBot="1">
      <c r="B423" s="87"/>
      <c r="C423" s="2" t="s">
        <v>292</v>
      </c>
      <c r="D423" s="15" t="s">
        <v>14</v>
      </c>
      <c r="E423" s="20" t="s">
        <v>30</v>
      </c>
      <c r="F423" s="20" t="s">
        <v>39</v>
      </c>
      <c r="G423" s="11">
        <v>116</v>
      </c>
      <c r="H423" s="18">
        <v>117</v>
      </c>
      <c r="I423" s="11" t="s">
        <v>294</v>
      </c>
      <c r="J423" s="11" t="s">
        <v>294</v>
      </c>
      <c r="K423" s="19">
        <v>661775.64</v>
      </c>
      <c r="L423" s="41">
        <v>0</v>
      </c>
      <c r="M423" s="41" t="s">
        <v>294</v>
      </c>
      <c r="N423" s="41">
        <v>0</v>
      </c>
      <c r="O423" s="41" t="s">
        <v>294</v>
      </c>
      <c r="P423" s="41" t="s">
        <v>301</v>
      </c>
      <c r="Q423" s="43">
        <v>0</v>
      </c>
      <c r="R423" s="41">
        <v>0</v>
      </c>
      <c r="S423" s="43">
        <v>0</v>
      </c>
      <c r="T423" s="43">
        <v>0</v>
      </c>
      <c r="U423" s="19"/>
      <c r="V423" s="13">
        <f t="shared" si="59"/>
        <v>661775.64</v>
      </c>
      <c r="W423" s="13"/>
      <c r="X423" s="13"/>
      <c r="Y423" s="13"/>
      <c r="Z423" s="13"/>
      <c r="AA423" s="22">
        <v>45870</v>
      </c>
      <c r="AB423" s="22" cm="1">
        <f t="array" ref="AB4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23" s="4"/>
      <c r="AD423" s="4"/>
      <c r="AE423" s="2"/>
      <c r="AF423" s="3"/>
      <c r="AG423" s="3"/>
      <c r="AH423" s="3"/>
      <c r="AI423" s="3"/>
      <c r="AJ423" s="2">
        <f t="shared" si="60"/>
        <v>0</v>
      </c>
      <c r="AK423" s="2">
        <f t="shared" si="58"/>
        <v>0</v>
      </c>
      <c r="AL423" s="2">
        <f t="shared" si="56"/>
        <v>0</v>
      </c>
      <c r="AM423" s="88"/>
      <c r="AN423" s="157" t="s">
        <v>774</v>
      </c>
    </row>
    <row r="424" spans="2:40" ht="23.15" customHeight="1" thickBot="1">
      <c r="B424" s="87"/>
      <c r="C424" s="2" t="s">
        <v>292</v>
      </c>
      <c r="D424" s="15" t="s">
        <v>14</v>
      </c>
      <c r="E424" s="20" t="s">
        <v>30</v>
      </c>
      <c r="F424" s="20" t="s">
        <v>39</v>
      </c>
      <c r="G424" s="11">
        <v>116</v>
      </c>
      <c r="H424" s="11">
        <v>117</v>
      </c>
      <c r="I424" s="43" t="s">
        <v>294</v>
      </c>
      <c r="J424" s="11" t="s">
        <v>294</v>
      </c>
      <c r="K424" s="19">
        <v>661775.64</v>
      </c>
      <c r="L424" s="41">
        <v>0</v>
      </c>
      <c r="M424" s="41" t="s">
        <v>294</v>
      </c>
      <c r="N424" s="41">
        <v>0</v>
      </c>
      <c r="O424" s="41" t="s">
        <v>294</v>
      </c>
      <c r="P424" s="41" t="s">
        <v>293</v>
      </c>
      <c r="Q424" s="43">
        <v>0</v>
      </c>
      <c r="R424" s="41">
        <v>0</v>
      </c>
      <c r="S424" s="43">
        <v>0</v>
      </c>
      <c r="T424" s="43">
        <v>0</v>
      </c>
      <c r="U424" s="19"/>
      <c r="V424" s="13">
        <f t="shared" si="59"/>
        <v>661775.64</v>
      </c>
      <c r="W424" s="13"/>
      <c r="X424" s="13"/>
      <c r="Y424" s="13">
        <f>146360.363555512/3</f>
        <v>48786.78785183734</v>
      </c>
      <c r="Z424" s="13" t="s">
        <v>308</v>
      </c>
      <c r="AA424" s="22">
        <v>45839</v>
      </c>
      <c r="AB424" s="22" cm="1">
        <f t="array" ref="AB4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24" s="4"/>
      <c r="AD424" s="4"/>
      <c r="AE424" s="2"/>
      <c r="AF424" s="3"/>
      <c r="AG424" s="3"/>
      <c r="AH424" s="3"/>
      <c r="AI424" s="3"/>
      <c r="AJ424" s="2">
        <f t="shared" si="60"/>
        <v>0</v>
      </c>
      <c r="AK424" s="2">
        <f t="shared" si="58"/>
        <v>0</v>
      </c>
      <c r="AL424" s="2">
        <f t="shared" si="56"/>
        <v>0</v>
      </c>
      <c r="AM424" s="88"/>
      <c r="AN424" s="157" t="s">
        <v>774</v>
      </c>
    </row>
    <row r="425" spans="2:40" ht="23.15" customHeight="1" thickBot="1">
      <c r="B425" s="87"/>
      <c r="C425" s="2" t="s">
        <v>292</v>
      </c>
      <c r="D425" s="15" t="s">
        <v>14</v>
      </c>
      <c r="E425" s="20" t="s">
        <v>30</v>
      </c>
      <c r="F425" s="20" t="s">
        <v>39</v>
      </c>
      <c r="G425" s="11">
        <v>116</v>
      </c>
      <c r="H425" s="11"/>
      <c r="I425" s="18" t="s">
        <v>294</v>
      </c>
      <c r="J425" s="11" t="s">
        <v>294</v>
      </c>
      <c r="K425" s="19">
        <v>666310.64</v>
      </c>
      <c r="L425" s="41">
        <v>0</v>
      </c>
      <c r="M425" s="41" t="s">
        <v>294</v>
      </c>
      <c r="N425" s="18" t="s">
        <v>294</v>
      </c>
      <c r="O425" s="41" t="s">
        <v>294</v>
      </c>
      <c r="P425" s="41" t="s">
        <v>293</v>
      </c>
      <c r="Q425" s="43">
        <v>0</v>
      </c>
      <c r="R425" s="41">
        <v>0</v>
      </c>
      <c r="S425" s="43">
        <v>0</v>
      </c>
      <c r="T425" s="43">
        <v>0</v>
      </c>
      <c r="U425" s="19"/>
      <c r="V425" s="13">
        <f t="shared" si="59"/>
        <v>666310.64</v>
      </c>
      <c r="W425" s="13"/>
      <c r="X425" s="13"/>
      <c r="Y425" s="13"/>
      <c r="Z425" s="13"/>
      <c r="AA425" s="22">
        <v>45901</v>
      </c>
      <c r="AB425" s="22" cm="1">
        <f t="array" ref="AB4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25" s="4"/>
      <c r="AD425" s="4"/>
      <c r="AE425" s="2"/>
      <c r="AF425" s="3"/>
      <c r="AG425" s="3"/>
      <c r="AH425" s="3"/>
      <c r="AI425" s="3"/>
      <c r="AJ425" s="2">
        <f t="shared" si="60"/>
        <v>0</v>
      </c>
      <c r="AK425" s="2">
        <f t="shared" si="58"/>
        <v>0</v>
      </c>
      <c r="AL425" s="2">
        <f t="shared" si="56"/>
        <v>0</v>
      </c>
      <c r="AM425" s="88"/>
      <c r="AN425" s="157" t="s">
        <v>774</v>
      </c>
    </row>
    <row r="426" spans="2:40" ht="23.15" customHeight="1" thickBot="1">
      <c r="B426" s="87"/>
      <c r="C426" s="2" t="s">
        <v>292</v>
      </c>
      <c r="D426" s="15" t="s">
        <v>14</v>
      </c>
      <c r="E426" s="20" t="s">
        <v>30</v>
      </c>
      <c r="F426" s="20" t="s">
        <v>39</v>
      </c>
      <c r="G426" s="11">
        <v>116</v>
      </c>
      <c r="H426" s="18"/>
      <c r="I426" s="18" t="s">
        <v>294</v>
      </c>
      <c r="J426" s="18" t="s">
        <v>294</v>
      </c>
      <c r="K426" s="19">
        <v>666310.64</v>
      </c>
      <c r="L426" s="41"/>
      <c r="M426" s="41" t="s">
        <v>294</v>
      </c>
      <c r="N426" s="41"/>
      <c r="O426" s="41" t="s">
        <v>294</v>
      </c>
      <c r="P426" s="41" t="s">
        <v>301</v>
      </c>
      <c r="Q426" s="43"/>
      <c r="R426" s="41"/>
      <c r="S426" s="43"/>
      <c r="T426" s="43"/>
      <c r="U426" s="19"/>
      <c r="V426" s="13">
        <f t="shared" si="59"/>
        <v>666310.64</v>
      </c>
      <c r="W426" s="13"/>
      <c r="X426" s="13"/>
      <c r="Y426" s="13"/>
      <c r="Z426" s="13"/>
      <c r="AA426" s="22">
        <v>45931</v>
      </c>
      <c r="AB426" s="22" cm="1">
        <f t="array" ref="AB4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26" s="4"/>
      <c r="AD426" s="4"/>
      <c r="AE426" s="2"/>
      <c r="AF426" s="3"/>
      <c r="AG426" s="3"/>
      <c r="AH426" s="3"/>
      <c r="AI426" s="3"/>
      <c r="AJ426" s="2">
        <f t="shared" si="60"/>
        <v>0</v>
      </c>
      <c r="AK426" s="2">
        <f t="shared" si="58"/>
        <v>0</v>
      </c>
      <c r="AL426" s="2">
        <f t="shared" si="56"/>
        <v>0</v>
      </c>
      <c r="AM426" s="88"/>
      <c r="AN426" s="157" t="s">
        <v>774</v>
      </c>
    </row>
    <row r="427" spans="2:40" ht="23.15" customHeight="1" thickBot="1">
      <c r="B427" s="87">
        <v>45910</v>
      </c>
      <c r="C427" s="2" t="s">
        <v>299</v>
      </c>
      <c r="D427" s="15" t="s">
        <v>14</v>
      </c>
      <c r="E427" s="20" t="s">
        <v>25</v>
      </c>
      <c r="F427" s="20" t="s">
        <v>40</v>
      </c>
      <c r="G427" s="11">
        <v>38</v>
      </c>
      <c r="H427" s="11">
        <v>32</v>
      </c>
      <c r="I427" s="18">
        <v>10</v>
      </c>
      <c r="J427" s="18">
        <v>0</v>
      </c>
      <c r="K427" s="19">
        <v>283846.3513151001</v>
      </c>
      <c r="L427" s="41">
        <v>0</v>
      </c>
      <c r="M427" s="41">
        <v>-2887</v>
      </c>
      <c r="N427" s="41">
        <v>0</v>
      </c>
      <c r="O427" s="41">
        <v>0</v>
      </c>
      <c r="P427" s="41">
        <v>-4257.7</v>
      </c>
      <c r="Q427" s="43">
        <v>0</v>
      </c>
      <c r="R427" s="43">
        <v>0</v>
      </c>
      <c r="S427" s="43">
        <v>0</v>
      </c>
      <c r="T427" s="43">
        <v>0</v>
      </c>
      <c r="U427" s="19" t="s">
        <v>295</v>
      </c>
      <c r="V427" s="13">
        <f t="shared" si="59"/>
        <v>276701.65131510008</v>
      </c>
      <c r="W427" s="13"/>
      <c r="X427" s="13"/>
      <c r="Y427" s="13"/>
      <c r="Z427" s="13"/>
      <c r="AA427" s="22">
        <v>45870</v>
      </c>
      <c r="AB427" s="22" cm="1">
        <f t="array" ref="AB4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27" s="4"/>
      <c r="AD427" s="4"/>
      <c r="AE427" s="2"/>
      <c r="AF427" s="3"/>
      <c r="AG427" s="3"/>
      <c r="AH427" s="3"/>
      <c r="AI427" s="3"/>
      <c r="AJ427" s="2">
        <f t="shared" si="60"/>
        <v>2887</v>
      </c>
      <c r="AK427" s="2">
        <f t="shared" si="58"/>
        <v>0</v>
      </c>
      <c r="AL427" s="2">
        <f t="shared" si="56"/>
        <v>7144.7000000000116</v>
      </c>
      <c r="AM427" s="88"/>
      <c r="AN427" s="157" t="s">
        <v>774</v>
      </c>
    </row>
    <row r="428" spans="2:40" ht="23.15" customHeight="1" thickBot="1">
      <c r="B428" s="87">
        <v>45947</v>
      </c>
      <c r="C428" s="2" t="s">
        <v>295</v>
      </c>
      <c r="D428" s="15" t="s">
        <v>14</v>
      </c>
      <c r="E428" s="20" t="s">
        <v>25</v>
      </c>
      <c r="F428" s="20" t="s">
        <v>40</v>
      </c>
      <c r="G428" s="11">
        <v>38</v>
      </c>
      <c r="H428" s="18">
        <v>32</v>
      </c>
      <c r="I428" s="18">
        <v>0</v>
      </c>
      <c r="J428" s="18">
        <v>0</v>
      </c>
      <c r="K428" s="10">
        <v>283846.3513151001</v>
      </c>
      <c r="L428" s="41">
        <v>0</v>
      </c>
      <c r="M428" s="41">
        <v>0</v>
      </c>
      <c r="N428" s="41">
        <v>0</v>
      </c>
      <c r="O428" s="41">
        <v>0</v>
      </c>
      <c r="P428" s="41">
        <v>0</v>
      </c>
      <c r="Q428" s="41">
        <v>0</v>
      </c>
      <c r="R428" s="43">
        <v>0</v>
      </c>
      <c r="S428" s="41">
        <v>0</v>
      </c>
      <c r="T428" s="41">
        <v>0</v>
      </c>
      <c r="U428" s="19" t="s">
        <v>295</v>
      </c>
      <c r="V428" s="13">
        <f t="shared" si="59"/>
        <v>283846.3513151001</v>
      </c>
      <c r="W428" s="13"/>
      <c r="X428" s="13"/>
      <c r="Y428" s="13"/>
      <c r="Z428" s="13"/>
      <c r="AA428" s="22">
        <v>45901</v>
      </c>
      <c r="AB428" s="22" cm="1">
        <f t="array" ref="AB4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28" s="4"/>
      <c r="AD428" s="4"/>
      <c r="AE428" s="2"/>
      <c r="AF428" s="3"/>
      <c r="AG428" s="3"/>
      <c r="AH428" s="3"/>
      <c r="AI428" s="3"/>
      <c r="AJ428" s="2">
        <f t="shared" si="60"/>
        <v>0</v>
      </c>
      <c r="AK428" s="2">
        <f t="shared" si="58"/>
        <v>0</v>
      </c>
      <c r="AL428" s="2">
        <f t="shared" si="56"/>
        <v>0</v>
      </c>
      <c r="AM428" s="88"/>
      <c r="AN428" s="157" t="s">
        <v>774</v>
      </c>
    </row>
    <row r="429" spans="2:40" ht="23.15" customHeight="1" thickBot="1">
      <c r="B429" s="87"/>
      <c r="C429" s="2" t="s">
        <v>292</v>
      </c>
      <c r="D429" s="15" t="s">
        <v>14</v>
      </c>
      <c r="E429" s="20" t="s">
        <v>25</v>
      </c>
      <c r="F429" s="20" t="s">
        <v>40</v>
      </c>
      <c r="G429" s="11">
        <v>38</v>
      </c>
      <c r="H429" s="11"/>
      <c r="I429" s="18" t="s">
        <v>294</v>
      </c>
      <c r="J429" s="18" t="s">
        <v>294</v>
      </c>
      <c r="K429" s="10">
        <v>283846.3513151001</v>
      </c>
      <c r="L429" s="41"/>
      <c r="M429" s="41" t="s">
        <v>294</v>
      </c>
      <c r="N429" s="41"/>
      <c r="O429" s="41" t="s">
        <v>294</v>
      </c>
      <c r="P429" s="41" t="s">
        <v>301</v>
      </c>
      <c r="Q429" s="41"/>
      <c r="R429" s="43"/>
      <c r="S429" s="41"/>
      <c r="T429" s="41"/>
      <c r="U429" s="19"/>
      <c r="V429" s="13">
        <f t="shared" ref="V429:V433" si="61">IFERROR((K429+M429+R429+S429+T429+O429)+IF(U429="Sim",P429+Q429,0),(K429+R429+S429+T429)+IF(U429="Sim",P429+Q429,0))</f>
        <v>283846.3513151001</v>
      </c>
      <c r="W429" s="13"/>
      <c r="X429" s="13"/>
      <c r="Y429" s="13"/>
      <c r="Z429" s="13"/>
      <c r="AA429" s="22">
        <v>45931</v>
      </c>
      <c r="AB429" s="22" cm="1">
        <f t="array" ref="AB4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29" s="4"/>
      <c r="AD429" s="4"/>
      <c r="AE429" s="2"/>
      <c r="AF429" s="3"/>
      <c r="AG429" s="3"/>
      <c r="AH429" s="3"/>
      <c r="AI429" s="3"/>
      <c r="AJ429" s="2">
        <f t="shared" si="60"/>
        <v>0</v>
      </c>
      <c r="AK429" s="2">
        <f t="shared" si="58"/>
        <v>0</v>
      </c>
      <c r="AL429" s="2">
        <f t="shared" si="56"/>
        <v>0</v>
      </c>
      <c r="AM429" s="88"/>
      <c r="AN429" s="157" t="s">
        <v>774</v>
      </c>
    </row>
    <row r="430" spans="2:40" ht="23.15" customHeight="1" thickBot="1">
      <c r="B430" s="87">
        <v>45910</v>
      </c>
      <c r="C430" s="2" t="s">
        <v>299</v>
      </c>
      <c r="D430" s="15" t="s">
        <v>14</v>
      </c>
      <c r="E430" s="20" t="s">
        <v>26</v>
      </c>
      <c r="F430" s="20" t="s">
        <v>40</v>
      </c>
      <c r="G430" s="11">
        <v>7</v>
      </c>
      <c r="H430" s="18">
        <v>9</v>
      </c>
      <c r="I430" s="18">
        <v>0</v>
      </c>
      <c r="J430" s="18">
        <v>0</v>
      </c>
      <c r="K430" s="19">
        <v>66451.163650709059</v>
      </c>
      <c r="L430" s="41">
        <v>0</v>
      </c>
      <c r="M430" s="41">
        <v>0</v>
      </c>
      <c r="N430" s="41">
        <v>0</v>
      </c>
      <c r="O430" s="41">
        <v>0</v>
      </c>
      <c r="P430" s="41" t="s">
        <v>293</v>
      </c>
      <c r="Q430" s="41">
        <v>0</v>
      </c>
      <c r="R430" s="43">
        <v>0</v>
      </c>
      <c r="S430" s="41">
        <v>0</v>
      </c>
      <c r="T430" s="41">
        <v>0</v>
      </c>
      <c r="U430" s="19"/>
      <c r="V430" s="13">
        <f t="shared" si="61"/>
        <v>66451.163650709059</v>
      </c>
      <c r="W430" s="13"/>
      <c r="X430" s="13"/>
      <c r="Y430" s="13"/>
      <c r="Z430" s="13"/>
      <c r="AA430" s="22">
        <v>45870</v>
      </c>
      <c r="AB430" s="22" cm="1">
        <f t="array" ref="AB4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30" s="4"/>
      <c r="AD430" s="4"/>
      <c r="AE430" s="2"/>
      <c r="AF430" s="3"/>
      <c r="AG430" s="3"/>
      <c r="AH430" s="3"/>
      <c r="AI430" s="3"/>
      <c r="AJ430" s="2">
        <f t="shared" si="60"/>
        <v>0</v>
      </c>
      <c r="AK430" s="2">
        <f t="shared" si="58"/>
        <v>0</v>
      </c>
      <c r="AL430" s="2">
        <f t="shared" si="56"/>
        <v>0</v>
      </c>
      <c r="AM430" s="88"/>
      <c r="AN430" s="157" t="s">
        <v>774</v>
      </c>
    </row>
    <row r="431" spans="2:40" ht="23.15" customHeight="1" thickBot="1">
      <c r="B431" s="87">
        <v>45947</v>
      </c>
      <c r="C431" s="2" t="s">
        <v>295</v>
      </c>
      <c r="D431" s="15" t="s">
        <v>14</v>
      </c>
      <c r="E431" s="20" t="s">
        <v>26</v>
      </c>
      <c r="F431" s="20" t="s">
        <v>40</v>
      </c>
      <c r="G431" s="11">
        <v>7</v>
      </c>
      <c r="H431" s="18">
        <v>9</v>
      </c>
      <c r="I431" s="18">
        <v>0</v>
      </c>
      <c r="J431" s="18">
        <v>0</v>
      </c>
      <c r="K431" s="19">
        <v>66451.163650709059</v>
      </c>
      <c r="L431" s="41">
        <v>0</v>
      </c>
      <c r="M431" s="41">
        <v>0</v>
      </c>
      <c r="N431" s="41">
        <v>0</v>
      </c>
      <c r="O431" s="41">
        <v>0</v>
      </c>
      <c r="P431" s="41">
        <v>0</v>
      </c>
      <c r="Q431" s="41">
        <v>0</v>
      </c>
      <c r="R431" s="43">
        <v>0</v>
      </c>
      <c r="S431" s="41">
        <v>0</v>
      </c>
      <c r="T431" s="41">
        <v>0</v>
      </c>
      <c r="U431" s="19" t="s">
        <v>295</v>
      </c>
      <c r="V431" s="13">
        <f t="shared" si="61"/>
        <v>66451.163650709059</v>
      </c>
      <c r="W431" s="13"/>
      <c r="X431" s="13"/>
      <c r="Y431" s="13"/>
      <c r="Z431" s="13"/>
      <c r="AA431" s="22">
        <v>45901</v>
      </c>
      <c r="AB431" s="22" cm="1">
        <f t="array" ref="AB4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31" s="4"/>
      <c r="AD431" s="4"/>
      <c r="AE431" s="2"/>
      <c r="AF431" s="3"/>
      <c r="AG431" s="3"/>
      <c r="AH431" s="3"/>
      <c r="AI431" s="3"/>
      <c r="AJ431" s="2">
        <f t="shared" si="60"/>
        <v>0</v>
      </c>
      <c r="AK431" s="2">
        <f t="shared" si="58"/>
        <v>0</v>
      </c>
      <c r="AL431" s="2">
        <f t="shared" si="56"/>
        <v>0</v>
      </c>
      <c r="AM431" s="88"/>
      <c r="AN431" s="157" t="s">
        <v>774</v>
      </c>
    </row>
    <row r="432" spans="2:40" ht="23.15" customHeight="1" thickBot="1">
      <c r="B432" s="87"/>
      <c r="C432" s="2" t="s">
        <v>292</v>
      </c>
      <c r="D432" s="15" t="s">
        <v>14</v>
      </c>
      <c r="E432" s="20" t="s">
        <v>26</v>
      </c>
      <c r="F432" s="20" t="s">
        <v>40</v>
      </c>
      <c r="G432" s="11">
        <v>7</v>
      </c>
      <c r="H432" s="18"/>
      <c r="I432" s="18" t="s">
        <v>294</v>
      </c>
      <c r="J432" s="18" t="s">
        <v>294</v>
      </c>
      <c r="K432" s="19">
        <v>66451.163650709059</v>
      </c>
      <c r="L432" s="41"/>
      <c r="M432" s="41" t="s">
        <v>294</v>
      </c>
      <c r="N432" s="41"/>
      <c r="O432" s="41" t="s">
        <v>294</v>
      </c>
      <c r="P432" s="41" t="s">
        <v>301</v>
      </c>
      <c r="Q432" s="43"/>
      <c r="R432" s="43"/>
      <c r="S432" s="43"/>
      <c r="T432" s="43"/>
      <c r="U432" s="19"/>
      <c r="V432" s="13">
        <f t="shared" si="61"/>
        <v>66451.163650709059</v>
      </c>
      <c r="W432" s="13"/>
      <c r="X432" s="13"/>
      <c r="Y432" s="13"/>
      <c r="Z432" s="13"/>
      <c r="AA432" s="22">
        <v>45931</v>
      </c>
      <c r="AB432" s="22" cm="1">
        <f t="array" ref="AB4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32" s="4"/>
      <c r="AD432" s="4"/>
      <c r="AE432" s="2"/>
      <c r="AF432" s="3"/>
      <c r="AG432" s="3"/>
      <c r="AH432" s="3"/>
      <c r="AI432" s="3"/>
      <c r="AJ432" s="2">
        <f t="shared" si="60"/>
        <v>0</v>
      </c>
      <c r="AK432" s="2">
        <f t="shared" si="58"/>
        <v>0</v>
      </c>
      <c r="AL432" s="2">
        <f t="shared" si="56"/>
        <v>0</v>
      </c>
      <c r="AM432" s="88"/>
      <c r="AN432" s="157" t="s">
        <v>774</v>
      </c>
    </row>
    <row r="433" spans="2:40" ht="23.15" customHeight="1" thickBot="1">
      <c r="B433" s="87">
        <v>45908</v>
      </c>
      <c r="C433" s="2" t="s">
        <v>295</v>
      </c>
      <c r="D433" s="15" t="s">
        <v>14</v>
      </c>
      <c r="E433" s="20" t="s">
        <v>31</v>
      </c>
      <c r="F433" s="20" t="s">
        <v>39</v>
      </c>
      <c r="G433" s="11">
        <v>38</v>
      </c>
      <c r="H433" s="18">
        <v>28</v>
      </c>
      <c r="I433" s="18">
        <v>9</v>
      </c>
      <c r="J433" s="18">
        <v>86</v>
      </c>
      <c r="K433" s="19">
        <v>144420.75</v>
      </c>
      <c r="L433" s="41">
        <v>0</v>
      </c>
      <c r="M433" s="41">
        <v>-1245.96</v>
      </c>
      <c r="N433" s="41">
        <v>0</v>
      </c>
      <c r="O433" s="41">
        <v>-1939.52</v>
      </c>
      <c r="P433" s="41">
        <v>-1444.21</v>
      </c>
      <c r="Q433" s="43">
        <v>0</v>
      </c>
      <c r="R433" s="41">
        <v>0</v>
      </c>
      <c r="S433" s="43">
        <v>0</v>
      </c>
      <c r="T433" s="43">
        <v>0</v>
      </c>
      <c r="U433" s="19" t="s">
        <v>295</v>
      </c>
      <c r="V433" s="13">
        <f t="shared" si="61"/>
        <v>139791.06000000003</v>
      </c>
      <c r="W433" s="13"/>
      <c r="X433" s="13"/>
      <c r="Y433" s="13"/>
      <c r="Z433" s="13"/>
      <c r="AA433" s="22">
        <v>45870</v>
      </c>
      <c r="AB433" s="22" cm="1">
        <f t="array" ref="AB4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33" s="4"/>
      <c r="AD433" s="4"/>
      <c r="AE433" s="2"/>
      <c r="AF433" s="3"/>
      <c r="AG433" s="3"/>
      <c r="AH433" s="3"/>
      <c r="AI433" s="3"/>
      <c r="AJ433" s="2">
        <f t="shared" si="60"/>
        <v>1245.96</v>
      </c>
      <c r="AK433" s="2">
        <f t="shared" si="58"/>
        <v>0</v>
      </c>
      <c r="AL433" s="2">
        <f t="shared" si="56"/>
        <v>4629.6899999999732</v>
      </c>
      <c r="AM433" s="88"/>
      <c r="AN433" s="157" t="s">
        <v>774</v>
      </c>
    </row>
    <row r="434" spans="2:40" ht="23.15" customHeight="1" thickBot="1">
      <c r="B434" s="87">
        <v>45946</v>
      </c>
      <c r="C434" s="2" t="s">
        <v>295</v>
      </c>
      <c r="D434" s="15" t="s">
        <v>14</v>
      </c>
      <c r="E434" s="20" t="s">
        <v>31</v>
      </c>
      <c r="F434" s="20" t="s">
        <v>39</v>
      </c>
      <c r="G434" s="11">
        <v>38</v>
      </c>
      <c r="H434" s="11">
        <v>28</v>
      </c>
      <c r="I434" s="18">
        <v>14</v>
      </c>
      <c r="J434" s="18">
        <v>54</v>
      </c>
      <c r="K434" s="19">
        <v>144420.75</v>
      </c>
      <c r="L434" s="41">
        <v>0</v>
      </c>
      <c r="M434" s="41">
        <v>-2003.6</v>
      </c>
      <c r="N434" s="41">
        <v>0</v>
      </c>
      <c r="O434" s="41">
        <v>-1288.48</v>
      </c>
      <c r="P434" s="41">
        <v>-1444.21</v>
      </c>
      <c r="Q434" s="43">
        <v>0</v>
      </c>
      <c r="R434" s="43">
        <v>0</v>
      </c>
      <c r="S434" s="43">
        <v>0</v>
      </c>
      <c r="T434" s="43">
        <v>0</v>
      </c>
      <c r="U434" s="19" t="s">
        <v>295</v>
      </c>
      <c r="V434" s="13">
        <f>IFERROR((K434+O434+R434+S434+T434+#REF!)+IF(U434="Sim",P434+Q434,0),(K434+R434+S434+T434)+IF(U434="Sim",P434+Q434,0))</f>
        <v>142976.54</v>
      </c>
      <c r="W434" s="13"/>
      <c r="X434" s="13"/>
      <c r="Y434" s="13"/>
      <c r="Z434" s="13"/>
      <c r="AA434" s="22">
        <v>45901</v>
      </c>
      <c r="AB434" s="22" cm="1">
        <f t="array" ref="AB4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34" s="4"/>
      <c r="AD434" s="4"/>
      <c r="AE434" s="2"/>
      <c r="AF434" s="3"/>
      <c r="AG434" s="3"/>
      <c r="AH434" s="3"/>
      <c r="AI434" s="3"/>
      <c r="AJ434" s="2">
        <f>IFERROR(L434-O434,0)</f>
        <v>1288.48</v>
      </c>
      <c r="AK434" s="2">
        <f t="shared" si="58"/>
        <v>0</v>
      </c>
      <c r="AL434" s="2">
        <f t="shared" si="56"/>
        <v>1444.2099999999919</v>
      </c>
      <c r="AM434" s="88"/>
      <c r="AN434" s="157" t="s">
        <v>774</v>
      </c>
    </row>
    <row r="435" spans="2:40" ht="23.15" customHeight="1" thickBot="1">
      <c r="B435" s="87"/>
      <c r="C435" s="2" t="s">
        <v>292</v>
      </c>
      <c r="D435" s="15" t="s">
        <v>14</v>
      </c>
      <c r="E435" s="20" t="s">
        <v>31</v>
      </c>
      <c r="F435" s="20" t="s">
        <v>39</v>
      </c>
      <c r="G435" s="11">
        <v>38</v>
      </c>
      <c r="H435" s="18">
        <v>28</v>
      </c>
      <c r="I435" s="18" t="s">
        <v>294</v>
      </c>
      <c r="J435" s="18" t="s">
        <v>294</v>
      </c>
      <c r="K435" s="19">
        <v>144420.75</v>
      </c>
      <c r="L435" s="41"/>
      <c r="M435" s="41" t="s">
        <v>294</v>
      </c>
      <c r="N435" s="41"/>
      <c r="O435" s="41" t="s">
        <v>294</v>
      </c>
      <c r="P435" s="41" t="s">
        <v>301</v>
      </c>
      <c r="Q435" s="43"/>
      <c r="R435" s="43"/>
      <c r="S435" s="43"/>
      <c r="T435" s="43"/>
      <c r="U435" s="19"/>
      <c r="V435" s="13">
        <f t="shared" ref="V435:V442" si="62">IFERROR((K435+M435+R435+S435+T435+O435)+IF(U435="Sim",P435+Q435,0),(K435+R435+S435+T435)+IF(U435="Sim",P435+Q435,0))</f>
        <v>144420.75</v>
      </c>
      <c r="W435" s="13"/>
      <c r="X435" s="13"/>
      <c r="Y435" s="13"/>
      <c r="Z435" s="13"/>
      <c r="AA435" s="22">
        <v>45931</v>
      </c>
      <c r="AB435" s="22" cm="1">
        <f t="array" ref="AB4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35" s="4"/>
      <c r="AD435" s="4"/>
      <c r="AE435" s="2"/>
      <c r="AF435" s="3"/>
      <c r="AG435" s="3"/>
      <c r="AH435" s="3"/>
      <c r="AI435" s="3"/>
      <c r="AJ435" s="2">
        <f t="shared" ref="AJ435:AJ442" si="63">IFERROR(L435-M435,0)</f>
        <v>0</v>
      </c>
      <c r="AK435" s="2">
        <f t="shared" si="58"/>
        <v>0</v>
      </c>
      <c r="AL435" s="2">
        <f t="shared" si="56"/>
        <v>0</v>
      </c>
      <c r="AM435" s="88"/>
      <c r="AN435" s="157" t="s">
        <v>774</v>
      </c>
    </row>
    <row r="436" spans="2:40" ht="23.15" customHeight="1" thickBot="1">
      <c r="B436" s="87"/>
      <c r="C436" s="2" t="s">
        <v>292</v>
      </c>
      <c r="D436" s="15" t="s">
        <v>14</v>
      </c>
      <c r="E436" s="20" t="s">
        <v>35</v>
      </c>
      <c r="F436" s="20" t="s">
        <v>39</v>
      </c>
      <c r="G436" s="11">
        <v>12</v>
      </c>
      <c r="H436" s="18">
        <v>9</v>
      </c>
      <c r="I436" s="18" t="s">
        <v>294</v>
      </c>
      <c r="J436" s="18" t="s">
        <v>294</v>
      </c>
      <c r="K436" s="19">
        <v>49793.94</v>
      </c>
      <c r="L436" s="41">
        <v>0</v>
      </c>
      <c r="M436" s="41" t="s">
        <v>294</v>
      </c>
      <c r="N436" s="41">
        <v>0</v>
      </c>
      <c r="O436" s="41" t="s">
        <v>294</v>
      </c>
      <c r="P436" s="41" t="s">
        <v>293</v>
      </c>
      <c r="Q436" s="43">
        <v>0</v>
      </c>
      <c r="R436" s="43">
        <v>0</v>
      </c>
      <c r="S436" s="43">
        <v>0</v>
      </c>
      <c r="T436" s="43">
        <v>0</v>
      </c>
      <c r="U436" s="19"/>
      <c r="V436" s="13">
        <f t="shared" si="62"/>
        <v>49793.94</v>
      </c>
      <c r="W436" s="13"/>
      <c r="X436" s="13"/>
      <c r="Y436" s="13"/>
      <c r="Z436" s="13"/>
      <c r="AA436" s="22">
        <v>45870</v>
      </c>
      <c r="AB436" s="22" cm="1">
        <f t="array" ref="AB4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36" s="4"/>
      <c r="AD436" s="4"/>
      <c r="AE436" s="2"/>
      <c r="AF436" s="3"/>
      <c r="AG436" s="3"/>
      <c r="AH436" s="3"/>
      <c r="AI436" s="3"/>
      <c r="AJ436" s="2">
        <f t="shared" si="63"/>
        <v>0</v>
      </c>
      <c r="AK436" s="2">
        <f t="shared" si="58"/>
        <v>0</v>
      </c>
      <c r="AL436" s="2">
        <f t="shared" si="56"/>
        <v>0</v>
      </c>
      <c r="AM436" s="88"/>
      <c r="AN436" s="157" t="s">
        <v>774</v>
      </c>
    </row>
    <row r="437" spans="2:40" ht="23.15" customHeight="1" thickBot="1">
      <c r="B437" s="87"/>
      <c r="C437" s="2" t="s">
        <v>292</v>
      </c>
      <c r="D437" s="15" t="s">
        <v>14</v>
      </c>
      <c r="E437" s="20" t="s">
        <v>35</v>
      </c>
      <c r="F437" s="20" t="s">
        <v>75</v>
      </c>
      <c r="G437" s="11">
        <v>12</v>
      </c>
      <c r="H437" s="18">
        <v>14</v>
      </c>
      <c r="I437" s="18" t="s">
        <v>294</v>
      </c>
      <c r="J437" s="18" t="s">
        <v>294</v>
      </c>
      <c r="K437" s="19">
        <v>50689.971799999999</v>
      </c>
      <c r="L437" s="41">
        <v>0</v>
      </c>
      <c r="M437" s="41" t="s">
        <v>294</v>
      </c>
      <c r="N437" s="18" t="s">
        <v>294</v>
      </c>
      <c r="O437" s="41" t="s">
        <v>294</v>
      </c>
      <c r="P437" s="41" t="s">
        <v>293</v>
      </c>
      <c r="Q437" s="43">
        <v>0</v>
      </c>
      <c r="R437" s="43">
        <v>0</v>
      </c>
      <c r="S437" s="43">
        <v>0</v>
      </c>
      <c r="T437" s="43">
        <v>0</v>
      </c>
      <c r="U437" s="19"/>
      <c r="V437" s="13">
        <f t="shared" si="62"/>
        <v>50689.971799999999</v>
      </c>
      <c r="W437" s="13"/>
      <c r="X437" s="13"/>
      <c r="Y437" s="13"/>
      <c r="Z437" s="13"/>
      <c r="AA437" s="22">
        <v>45901</v>
      </c>
      <c r="AB437" s="22" cm="1">
        <f t="array" ref="AB4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37" s="4"/>
      <c r="AD437" s="4"/>
      <c r="AE437" s="2"/>
      <c r="AF437" s="3"/>
      <c r="AG437" s="3"/>
      <c r="AH437" s="3"/>
      <c r="AI437" s="3"/>
      <c r="AJ437" s="2">
        <f t="shared" si="63"/>
        <v>0</v>
      </c>
      <c r="AK437" s="2">
        <f t="shared" si="58"/>
        <v>0</v>
      </c>
      <c r="AL437" s="2">
        <f t="shared" ref="AL437:AL485" si="64">K437-V437</f>
        <v>0</v>
      </c>
      <c r="AM437" s="88"/>
      <c r="AN437" s="157" t="s">
        <v>774</v>
      </c>
    </row>
    <row r="438" spans="2:40" ht="23.15" customHeight="1" thickBot="1">
      <c r="B438" s="87"/>
      <c r="C438" s="2" t="s">
        <v>292</v>
      </c>
      <c r="D438" s="15" t="s">
        <v>14</v>
      </c>
      <c r="E438" s="20" t="s">
        <v>35</v>
      </c>
      <c r="F438" s="20" t="s">
        <v>75</v>
      </c>
      <c r="G438" s="11">
        <v>12</v>
      </c>
      <c r="H438" s="18">
        <v>14</v>
      </c>
      <c r="I438" s="18" t="s">
        <v>294</v>
      </c>
      <c r="J438" s="18" t="s">
        <v>294</v>
      </c>
      <c r="K438" s="19">
        <v>50689.971799999999</v>
      </c>
      <c r="L438" s="41"/>
      <c r="M438" s="41" t="s">
        <v>294</v>
      </c>
      <c r="N438" s="41"/>
      <c r="O438" s="41" t="s">
        <v>294</v>
      </c>
      <c r="P438" s="41" t="s">
        <v>301</v>
      </c>
      <c r="Q438" s="43"/>
      <c r="R438" s="43"/>
      <c r="S438" s="43"/>
      <c r="T438" s="43"/>
      <c r="U438" s="19"/>
      <c r="V438" s="13">
        <f t="shared" si="62"/>
        <v>50689.971799999999</v>
      </c>
      <c r="W438" s="13"/>
      <c r="X438" s="13"/>
      <c r="Y438" s="13"/>
      <c r="Z438" s="13"/>
      <c r="AA438" s="22">
        <v>45931</v>
      </c>
      <c r="AB438" s="22" cm="1">
        <f t="array" ref="AB4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38" s="4"/>
      <c r="AD438" s="4"/>
      <c r="AE438" s="2"/>
      <c r="AF438" s="3"/>
      <c r="AG438" s="3"/>
      <c r="AH438" s="3"/>
      <c r="AI438" s="3"/>
      <c r="AJ438" s="2">
        <f t="shared" si="63"/>
        <v>0</v>
      </c>
      <c r="AK438" s="2">
        <f t="shared" si="58"/>
        <v>0</v>
      </c>
      <c r="AL438" s="2">
        <f t="shared" si="64"/>
        <v>0</v>
      </c>
      <c r="AM438" s="88"/>
      <c r="AN438" s="157" t="s">
        <v>774</v>
      </c>
    </row>
    <row r="439" spans="2:40" ht="23.15" customHeight="1" thickBot="1">
      <c r="B439" s="87"/>
      <c r="C439" s="2" t="s">
        <v>292</v>
      </c>
      <c r="D439" s="15" t="s">
        <v>14</v>
      </c>
      <c r="E439" s="20" t="s">
        <v>165</v>
      </c>
      <c r="F439" s="20" t="s">
        <v>39</v>
      </c>
      <c r="G439" s="11">
        <v>9</v>
      </c>
      <c r="H439" s="11">
        <v>9</v>
      </c>
      <c r="I439" s="18" t="s">
        <v>294</v>
      </c>
      <c r="J439" s="18" t="s">
        <v>294</v>
      </c>
      <c r="K439" s="19">
        <v>60371.345216639995</v>
      </c>
      <c r="L439" s="41">
        <v>0</v>
      </c>
      <c r="M439" s="41" t="s">
        <v>294</v>
      </c>
      <c r="N439" s="41">
        <v>0</v>
      </c>
      <c r="O439" s="41" t="s">
        <v>294</v>
      </c>
      <c r="P439" s="41" t="s">
        <v>293</v>
      </c>
      <c r="Q439" s="41">
        <v>0</v>
      </c>
      <c r="R439" s="43">
        <v>0</v>
      </c>
      <c r="S439" s="43">
        <v>0</v>
      </c>
      <c r="T439" s="41">
        <v>0</v>
      </c>
      <c r="U439" s="19"/>
      <c r="V439" s="13">
        <f t="shared" si="62"/>
        <v>60371.345216639995</v>
      </c>
      <c r="W439" s="13"/>
      <c r="X439" s="13"/>
      <c r="Y439" s="13"/>
      <c r="Z439" s="13"/>
      <c r="AA439" s="22">
        <v>45870</v>
      </c>
      <c r="AB439" s="22" cm="1">
        <f t="array" ref="AB4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39" s="4"/>
      <c r="AD439" s="4"/>
      <c r="AE439" s="2"/>
      <c r="AF439" s="3"/>
      <c r="AG439" s="3"/>
      <c r="AH439" s="3"/>
      <c r="AI439" s="3"/>
      <c r="AJ439" s="2">
        <f t="shared" si="63"/>
        <v>0</v>
      </c>
      <c r="AK439" s="2">
        <f t="shared" si="58"/>
        <v>0</v>
      </c>
      <c r="AL439" s="2">
        <f t="shared" si="64"/>
        <v>0</v>
      </c>
      <c r="AM439" s="88"/>
      <c r="AN439" s="157" t="s">
        <v>774</v>
      </c>
    </row>
    <row r="440" spans="2:40" ht="23.15" customHeight="1" thickBot="1">
      <c r="B440" s="87"/>
      <c r="C440" s="2" t="s">
        <v>292</v>
      </c>
      <c r="D440" s="15" t="s">
        <v>14</v>
      </c>
      <c r="E440" s="20" t="s">
        <v>165</v>
      </c>
      <c r="F440" s="20" t="s">
        <v>39</v>
      </c>
      <c r="G440" s="11">
        <v>9</v>
      </c>
      <c r="H440" s="11">
        <v>9</v>
      </c>
      <c r="I440" s="18" t="s">
        <v>294</v>
      </c>
      <c r="J440" s="18" t="s">
        <v>294</v>
      </c>
      <c r="K440" s="19">
        <v>60371.345216639995</v>
      </c>
      <c r="L440" s="41">
        <v>0</v>
      </c>
      <c r="M440" s="41" t="s">
        <v>294</v>
      </c>
      <c r="N440" s="18" t="s">
        <v>294</v>
      </c>
      <c r="O440" s="41" t="s">
        <v>294</v>
      </c>
      <c r="P440" s="41" t="s">
        <v>293</v>
      </c>
      <c r="Q440" s="43">
        <v>0</v>
      </c>
      <c r="R440" s="43">
        <v>0</v>
      </c>
      <c r="S440" s="43">
        <v>0</v>
      </c>
      <c r="T440" s="43">
        <v>0</v>
      </c>
      <c r="U440" s="19"/>
      <c r="V440" s="13">
        <f t="shared" si="62"/>
        <v>60371.345216639995</v>
      </c>
      <c r="W440" s="13"/>
      <c r="X440" s="13"/>
      <c r="Y440" s="13"/>
      <c r="Z440" s="13"/>
      <c r="AA440" s="22">
        <v>45901</v>
      </c>
      <c r="AB440" s="22" cm="1">
        <f t="array" ref="AB4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40" s="4"/>
      <c r="AD440" s="4"/>
      <c r="AE440" s="2"/>
      <c r="AF440" s="3"/>
      <c r="AG440" s="3"/>
      <c r="AH440" s="3"/>
      <c r="AI440" s="3"/>
      <c r="AJ440" s="2">
        <f t="shared" si="63"/>
        <v>0</v>
      </c>
      <c r="AK440" s="2">
        <f t="shared" si="58"/>
        <v>0</v>
      </c>
      <c r="AL440" s="2">
        <f t="shared" si="64"/>
        <v>0</v>
      </c>
      <c r="AM440" s="88"/>
      <c r="AN440" s="157" t="s">
        <v>774</v>
      </c>
    </row>
    <row r="441" spans="2:40" ht="23.15" customHeight="1" thickBot="1">
      <c r="B441" s="87"/>
      <c r="C441" s="2" t="s">
        <v>292</v>
      </c>
      <c r="D441" s="15" t="s">
        <v>14</v>
      </c>
      <c r="E441" s="20" t="s">
        <v>165</v>
      </c>
      <c r="F441" s="20" t="s">
        <v>39</v>
      </c>
      <c r="G441" s="11">
        <v>9</v>
      </c>
      <c r="H441" s="11">
        <v>9</v>
      </c>
      <c r="I441" s="18" t="s">
        <v>294</v>
      </c>
      <c r="J441" s="18" t="s">
        <v>294</v>
      </c>
      <c r="K441" s="19">
        <v>60371.345216639995</v>
      </c>
      <c r="L441" s="41"/>
      <c r="M441" s="41" t="s">
        <v>294</v>
      </c>
      <c r="N441" s="41"/>
      <c r="O441" s="41" t="s">
        <v>294</v>
      </c>
      <c r="P441" s="41" t="s">
        <v>301</v>
      </c>
      <c r="Q441" s="41"/>
      <c r="R441" s="41"/>
      <c r="S441" s="41"/>
      <c r="T441" s="41"/>
      <c r="U441" s="19"/>
      <c r="V441" s="13">
        <f t="shared" si="62"/>
        <v>60371.345216639995</v>
      </c>
      <c r="W441" s="13"/>
      <c r="X441" s="13"/>
      <c r="Y441" s="13"/>
      <c r="Z441" s="13"/>
      <c r="AA441" s="22">
        <v>45931</v>
      </c>
      <c r="AB441" s="22" cm="1">
        <f t="array" ref="AB4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41" s="4"/>
      <c r="AD441" s="4"/>
      <c r="AE441" s="2"/>
      <c r="AF441" s="3"/>
      <c r="AG441" s="3"/>
      <c r="AH441" s="3"/>
      <c r="AI441" s="3"/>
      <c r="AJ441" s="2">
        <f t="shared" si="63"/>
        <v>0</v>
      </c>
      <c r="AK441" s="2">
        <f t="shared" si="58"/>
        <v>0</v>
      </c>
      <c r="AL441" s="2">
        <f t="shared" si="64"/>
        <v>0</v>
      </c>
      <c r="AM441" s="88"/>
      <c r="AN441" s="157" t="s">
        <v>774</v>
      </c>
    </row>
    <row r="442" spans="2:40" ht="23.15" customHeight="1" thickBot="1">
      <c r="B442" s="87">
        <v>45908</v>
      </c>
      <c r="C442" s="2" t="s">
        <v>295</v>
      </c>
      <c r="D442" s="15" t="s">
        <v>14</v>
      </c>
      <c r="E442" s="20" t="s">
        <v>32</v>
      </c>
      <c r="F442" s="20" t="s">
        <v>39</v>
      </c>
      <c r="G442" s="11">
        <v>59</v>
      </c>
      <c r="H442" s="11">
        <v>70</v>
      </c>
      <c r="I442" s="18">
        <v>10</v>
      </c>
      <c r="J442" s="18">
        <v>50.5</v>
      </c>
      <c r="K442" s="19">
        <v>546815.06999999995</v>
      </c>
      <c r="L442" s="41">
        <v>0</v>
      </c>
      <c r="M442" s="41">
        <v>-2537.0300000000002</v>
      </c>
      <c r="N442" s="41">
        <v>0</v>
      </c>
      <c r="O442" s="41">
        <v>-1807.59</v>
      </c>
      <c r="P442" s="41">
        <v>-5468.15</v>
      </c>
      <c r="Q442" s="41">
        <v>0</v>
      </c>
      <c r="R442" s="41">
        <v>0</v>
      </c>
      <c r="S442" s="41">
        <v>0</v>
      </c>
      <c r="T442" s="41">
        <v>0</v>
      </c>
      <c r="U442" s="19" t="s">
        <v>295</v>
      </c>
      <c r="V442" s="13">
        <f t="shared" si="62"/>
        <v>537002.29999999993</v>
      </c>
      <c r="W442" s="13"/>
      <c r="X442" s="13"/>
      <c r="Y442" s="13"/>
      <c r="Z442" s="13"/>
      <c r="AA442" s="22">
        <v>45870</v>
      </c>
      <c r="AB442" s="22" cm="1">
        <f t="array" ref="AB4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42" s="4"/>
      <c r="AD442" s="4"/>
      <c r="AE442" s="2"/>
      <c r="AF442" s="3"/>
      <c r="AG442" s="3"/>
      <c r="AH442" s="3"/>
      <c r="AI442" s="3"/>
      <c r="AJ442" s="2">
        <f t="shared" si="63"/>
        <v>2537.0300000000002</v>
      </c>
      <c r="AK442" s="2">
        <f t="shared" si="58"/>
        <v>0</v>
      </c>
      <c r="AL442" s="2">
        <f t="shared" si="64"/>
        <v>9812.7700000000186</v>
      </c>
      <c r="AM442" s="88"/>
      <c r="AN442" s="157" t="s">
        <v>774</v>
      </c>
    </row>
    <row r="443" spans="2:40" ht="23.15" customHeight="1" thickBot="1">
      <c r="B443" s="87">
        <v>45946</v>
      </c>
      <c r="C443" s="2" t="s">
        <v>295</v>
      </c>
      <c r="D443" s="15" t="s">
        <v>14</v>
      </c>
      <c r="E443" s="20" t="s">
        <v>32</v>
      </c>
      <c r="F443" s="20" t="s">
        <v>39</v>
      </c>
      <c r="G443" s="11">
        <v>59</v>
      </c>
      <c r="H443" s="18">
        <v>70</v>
      </c>
      <c r="I443" s="18">
        <v>10</v>
      </c>
      <c r="J443" s="18">
        <v>47.5</v>
      </c>
      <c r="K443" s="19">
        <v>546815.06999999995</v>
      </c>
      <c r="L443" s="41">
        <v>0</v>
      </c>
      <c r="M443" s="41">
        <v>-2137.88</v>
      </c>
      <c r="N443" s="18">
        <v>0</v>
      </c>
      <c r="O443" s="41">
        <v>-1475.66</v>
      </c>
      <c r="P443" s="41">
        <v>-2734.08</v>
      </c>
      <c r="Q443" s="43">
        <v>0</v>
      </c>
      <c r="R443" s="43">
        <v>0</v>
      </c>
      <c r="S443" s="43">
        <v>0</v>
      </c>
      <c r="T443" s="43">
        <v>0</v>
      </c>
      <c r="U443" s="19" t="s">
        <v>295</v>
      </c>
      <c r="V443" s="13">
        <f>IFERROR((K443+O443+R443+S443+T443+#REF!)+IF(U443="Sim",P443+Q443,0),(K443+R443+S443+T443)+IF(U443="Sim",P443+Q443,0))</f>
        <v>544080.99</v>
      </c>
      <c r="W443" s="13"/>
      <c r="X443" s="13"/>
      <c r="Y443" s="13"/>
      <c r="Z443" s="13"/>
      <c r="AA443" s="22">
        <v>45901</v>
      </c>
      <c r="AB443" s="22" cm="1">
        <f t="array" ref="AB4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43" s="4"/>
      <c r="AD443" s="4"/>
      <c r="AE443" s="2"/>
      <c r="AF443" s="3"/>
      <c r="AG443" s="3"/>
      <c r="AH443" s="3"/>
      <c r="AI443" s="3"/>
      <c r="AJ443" s="2">
        <f>IFERROR(L443-O443,0)</f>
        <v>1475.66</v>
      </c>
      <c r="AK443" s="2">
        <f t="shared" si="58"/>
        <v>0</v>
      </c>
      <c r="AL443" s="2">
        <f t="shared" si="64"/>
        <v>2734.0799999999581</v>
      </c>
      <c r="AM443" s="88"/>
      <c r="AN443" s="157" t="s">
        <v>774</v>
      </c>
    </row>
    <row r="444" spans="2:40" ht="23.15" customHeight="1" thickBot="1">
      <c r="B444" s="87"/>
      <c r="C444" s="2"/>
      <c r="D444" s="15" t="s">
        <v>14</v>
      </c>
      <c r="E444" s="20" t="s">
        <v>32</v>
      </c>
      <c r="F444" s="20" t="s">
        <v>39</v>
      </c>
      <c r="G444" s="11">
        <v>59</v>
      </c>
      <c r="H444" s="18"/>
      <c r="I444" s="18" t="s">
        <v>294</v>
      </c>
      <c r="J444" s="18" t="s">
        <v>294</v>
      </c>
      <c r="K444" s="19">
        <v>546815.06999999995</v>
      </c>
      <c r="L444" s="41"/>
      <c r="M444" s="18" t="s">
        <v>294</v>
      </c>
      <c r="N444" s="41"/>
      <c r="O444" s="41" t="s">
        <v>294</v>
      </c>
      <c r="P444" s="41" t="s">
        <v>301</v>
      </c>
      <c r="Q444" s="43"/>
      <c r="R444" s="43"/>
      <c r="S444" s="43"/>
      <c r="T444" s="43"/>
      <c r="U444" s="19"/>
      <c r="V444" s="13">
        <f t="shared" ref="V444:V475" si="65">IFERROR((K444+M444+R444+S444+T444+O444)+IF(U444="Sim",P444+Q444,0),(K444+R444+S444+T444)+IF(U444="Sim",P444+Q444,0))</f>
        <v>546815.06999999995</v>
      </c>
      <c r="W444" s="13"/>
      <c r="X444" s="13"/>
      <c r="Y444" s="13"/>
      <c r="Z444" s="13"/>
      <c r="AA444" s="22">
        <v>45931</v>
      </c>
      <c r="AB444" s="22" cm="1">
        <f t="array" ref="AB4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44" s="4"/>
      <c r="AD444" s="4"/>
      <c r="AE444" s="2"/>
      <c r="AF444" s="3"/>
      <c r="AG444" s="3"/>
      <c r="AH444" s="3"/>
      <c r="AI444" s="3"/>
      <c r="AJ444" s="2">
        <f t="shared" ref="AJ444:AJ507" si="66">IFERROR(L444-M444,0)</f>
        <v>0</v>
      </c>
      <c r="AK444" s="2">
        <f t="shared" si="58"/>
        <v>0</v>
      </c>
      <c r="AL444" s="2">
        <f t="shared" si="64"/>
        <v>0</v>
      </c>
      <c r="AM444" s="88"/>
      <c r="AN444" s="157" t="s">
        <v>774</v>
      </c>
    </row>
    <row r="445" spans="2:40" ht="23.15" customHeight="1" thickBot="1">
      <c r="B445" s="87"/>
      <c r="C445" s="2"/>
      <c r="D445" s="15" t="s">
        <v>14</v>
      </c>
      <c r="E445" s="20" t="s">
        <v>28</v>
      </c>
      <c r="F445" s="20" t="s">
        <v>49</v>
      </c>
      <c r="G445" s="11">
        <v>43</v>
      </c>
      <c r="H445" s="18"/>
      <c r="I445" s="18"/>
      <c r="J445" s="18"/>
      <c r="K445" s="19"/>
      <c r="L445" s="41"/>
      <c r="M445" s="41"/>
      <c r="N445" s="41"/>
      <c r="O445" s="41"/>
      <c r="P445" s="41"/>
      <c r="Q445" s="43"/>
      <c r="R445" s="43"/>
      <c r="S445" s="43"/>
      <c r="T445" s="43"/>
      <c r="U445" s="19"/>
      <c r="V445" s="13">
        <f t="shared" si="65"/>
        <v>0</v>
      </c>
      <c r="W445" s="13"/>
      <c r="X445" s="13"/>
      <c r="Y445" s="13"/>
      <c r="Z445" s="13"/>
      <c r="AA445" s="22">
        <v>45962</v>
      </c>
      <c r="AB445" s="22" cm="1">
        <f t="array" ref="AB4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45" s="4"/>
      <c r="AD445" s="4"/>
      <c r="AE445" s="2"/>
      <c r="AF445" s="3"/>
      <c r="AG445" s="3"/>
      <c r="AH445" s="3"/>
      <c r="AI445" s="3"/>
      <c r="AJ445" s="2">
        <f t="shared" si="66"/>
        <v>0</v>
      </c>
      <c r="AK445" s="2">
        <f t="shared" si="58"/>
        <v>0</v>
      </c>
      <c r="AL445" s="2">
        <f t="shared" si="64"/>
        <v>0</v>
      </c>
      <c r="AM445" s="88"/>
      <c r="AN445" s="157" t="s">
        <v>774</v>
      </c>
    </row>
    <row r="446" spans="2:40" ht="23.15" customHeight="1" thickBot="1">
      <c r="B446" s="87"/>
      <c r="C446" s="2"/>
      <c r="D446" s="15" t="s">
        <v>14</v>
      </c>
      <c r="E446" s="20" t="s">
        <v>33</v>
      </c>
      <c r="F446" s="20" t="s">
        <v>44</v>
      </c>
      <c r="G446" s="11">
        <v>6</v>
      </c>
      <c r="H446" s="18"/>
      <c r="I446" s="18"/>
      <c r="J446" s="18"/>
      <c r="K446" s="19"/>
      <c r="L446" s="41"/>
      <c r="M446" s="41"/>
      <c r="N446" s="41"/>
      <c r="O446" s="41"/>
      <c r="P446" s="41"/>
      <c r="Q446" s="43"/>
      <c r="R446" s="43"/>
      <c r="S446" s="43"/>
      <c r="T446" s="43"/>
      <c r="U446" s="19"/>
      <c r="V446" s="13">
        <f t="shared" si="65"/>
        <v>0</v>
      </c>
      <c r="W446" s="13"/>
      <c r="X446" s="13"/>
      <c r="Y446" s="13"/>
      <c r="Z446" s="13"/>
      <c r="AA446" s="22">
        <v>45962</v>
      </c>
      <c r="AB446" s="22" cm="1">
        <f t="array" ref="AB4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46" s="4"/>
      <c r="AD446" s="4"/>
      <c r="AE446" s="2"/>
      <c r="AF446" s="3"/>
      <c r="AG446" s="3"/>
      <c r="AH446" s="3"/>
      <c r="AI446" s="3"/>
      <c r="AJ446" s="2">
        <f t="shared" si="66"/>
        <v>0</v>
      </c>
      <c r="AK446" s="2">
        <f t="shared" si="58"/>
        <v>0</v>
      </c>
      <c r="AL446" s="2">
        <f t="shared" si="64"/>
        <v>0</v>
      </c>
      <c r="AM446" s="88"/>
      <c r="AN446" s="157" t="s">
        <v>774</v>
      </c>
    </row>
    <row r="447" spans="2:40" ht="23.15" customHeight="1" thickBot="1">
      <c r="B447" s="87"/>
      <c r="C447" s="2"/>
      <c r="D447" s="15" t="s">
        <v>14</v>
      </c>
      <c r="E447" s="20" t="s">
        <v>25</v>
      </c>
      <c r="F447" s="20" t="s">
        <v>40</v>
      </c>
      <c r="G447" s="11">
        <v>38</v>
      </c>
      <c r="H447" s="11"/>
      <c r="I447" s="18"/>
      <c r="J447" s="18"/>
      <c r="K447" s="19"/>
      <c r="L447" s="41"/>
      <c r="M447" s="41"/>
      <c r="N447" s="41"/>
      <c r="O447" s="41"/>
      <c r="P447" s="41"/>
      <c r="Q447" s="43"/>
      <c r="R447" s="43"/>
      <c r="S447" s="43"/>
      <c r="T447" s="43"/>
      <c r="U447" s="19"/>
      <c r="V447" s="13">
        <f t="shared" si="65"/>
        <v>0</v>
      </c>
      <c r="W447" s="13"/>
      <c r="X447" s="13"/>
      <c r="Y447" s="13"/>
      <c r="Z447" s="13"/>
      <c r="AA447" s="22">
        <v>45962</v>
      </c>
      <c r="AB447" s="22" cm="1">
        <f t="array" ref="AB4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47" s="4"/>
      <c r="AD447" s="4"/>
      <c r="AE447" s="2"/>
      <c r="AF447" s="3"/>
      <c r="AG447" s="3"/>
      <c r="AH447" s="3"/>
      <c r="AI447" s="3"/>
      <c r="AJ447" s="2">
        <f t="shared" si="66"/>
        <v>0</v>
      </c>
      <c r="AK447" s="2">
        <f t="shared" si="58"/>
        <v>0</v>
      </c>
      <c r="AL447" s="2">
        <f t="shared" si="64"/>
        <v>0</v>
      </c>
      <c r="AM447" s="88"/>
      <c r="AN447" s="157" t="s">
        <v>774</v>
      </c>
    </row>
    <row r="448" spans="2:40" ht="23.15" customHeight="1" thickBot="1">
      <c r="B448" s="87"/>
      <c r="C448" s="2"/>
      <c r="D448" s="15" t="s">
        <v>14</v>
      </c>
      <c r="E448" s="20" t="s">
        <v>30</v>
      </c>
      <c r="F448" s="20" t="s">
        <v>39</v>
      </c>
      <c r="G448" s="11">
        <v>116</v>
      </c>
      <c r="H448" s="18"/>
      <c r="I448" s="18"/>
      <c r="J448" s="18"/>
      <c r="K448" s="19"/>
      <c r="L448" s="41"/>
      <c r="M448" s="43"/>
      <c r="N448" s="41"/>
      <c r="O448" s="41"/>
      <c r="P448" s="41"/>
      <c r="Q448" s="43"/>
      <c r="R448" s="43"/>
      <c r="S448" s="43"/>
      <c r="T448" s="43"/>
      <c r="U448" s="19"/>
      <c r="V448" s="13">
        <f t="shared" si="65"/>
        <v>0</v>
      </c>
      <c r="W448" s="13"/>
      <c r="X448" s="13"/>
      <c r="Y448" s="13"/>
      <c r="Z448" s="13"/>
      <c r="AA448" s="22">
        <v>45962</v>
      </c>
      <c r="AB448" s="22" cm="1">
        <f t="array" ref="AB4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48" s="4"/>
      <c r="AD448" s="4"/>
      <c r="AE448" s="2"/>
      <c r="AF448" s="3"/>
      <c r="AG448" s="3"/>
      <c r="AH448" s="3"/>
      <c r="AI448" s="3"/>
      <c r="AJ448" s="2">
        <f t="shared" si="66"/>
        <v>0</v>
      </c>
      <c r="AK448" s="2">
        <f t="shared" si="58"/>
        <v>0</v>
      </c>
      <c r="AL448" s="2">
        <f t="shared" si="64"/>
        <v>0</v>
      </c>
      <c r="AM448" s="88"/>
      <c r="AN448" s="157" t="s">
        <v>774</v>
      </c>
    </row>
    <row r="449" spans="2:40" ht="23.15" customHeight="1" thickBot="1">
      <c r="B449" s="87"/>
      <c r="C449" s="2"/>
      <c r="D449" s="15" t="s">
        <v>14</v>
      </c>
      <c r="E449" s="20" t="s">
        <v>26</v>
      </c>
      <c r="F449" s="20" t="s">
        <v>40</v>
      </c>
      <c r="G449" s="11">
        <v>7</v>
      </c>
      <c r="H449" s="18"/>
      <c r="I449" s="18"/>
      <c r="J449" s="18"/>
      <c r="K449" s="19"/>
      <c r="L449" s="41"/>
      <c r="M449" s="41"/>
      <c r="N449" s="41"/>
      <c r="O449" s="41"/>
      <c r="P449" s="41"/>
      <c r="Q449" s="43"/>
      <c r="R449" s="43"/>
      <c r="S449" s="43"/>
      <c r="T449" s="43"/>
      <c r="U449" s="19"/>
      <c r="V449" s="13">
        <f t="shared" si="65"/>
        <v>0</v>
      </c>
      <c r="W449" s="13"/>
      <c r="X449" s="13"/>
      <c r="Y449" s="13"/>
      <c r="Z449" s="13"/>
      <c r="AA449" s="22">
        <v>45962</v>
      </c>
      <c r="AB449" s="22" cm="1">
        <f t="array" ref="AB4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49" s="4"/>
      <c r="AD449" s="4"/>
      <c r="AE449" s="2"/>
      <c r="AF449" s="3"/>
      <c r="AG449" s="3"/>
      <c r="AH449" s="3"/>
      <c r="AI449" s="3"/>
      <c r="AJ449" s="2">
        <f t="shared" si="66"/>
        <v>0</v>
      </c>
      <c r="AK449" s="2">
        <f t="shared" si="58"/>
        <v>0</v>
      </c>
      <c r="AL449" s="2">
        <f t="shared" si="64"/>
        <v>0</v>
      </c>
      <c r="AM449" s="88"/>
      <c r="AN449" s="157" t="s">
        <v>774</v>
      </c>
    </row>
    <row r="450" spans="2:40" ht="23.15" customHeight="1" thickBot="1">
      <c r="B450" s="87"/>
      <c r="C450" s="2"/>
      <c r="D450" s="15" t="s">
        <v>14</v>
      </c>
      <c r="E450" s="20" t="s">
        <v>157</v>
      </c>
      <c r="F450" s="20" t="s">
        <v>40</v>
      </c>
      <c r="G450" s="11">
        <v>2</v>
      </c>
      <c r="H450" s="18"/>
      <c r="I450" s="18"/>
      <c r="J450" s="18"/>
      <c r="K450" s="19"/>
      <c r="L450" s="41"/>
      <c r="M450" s="41"/>
      <c r="N450" s="41"/>
      <c r="O450" s="41"/>
      <c r="P450" s="41"/>
      <c r="Q450" s="43"/>
      <c r="R450" s="43"/>
      <c r="S450" s="43"/>
      <c r="T450" s="43"/>
      <c r="U450" s="19"/>
      <c r="V450" s="13">
        <f t="shared" si="65"/>
        <v>0</v>
      </c>
      <c r="W450" s="13"/>
      <c r="X450" s="13"/>
      <c r="Y450" s="13"/>
      <c r="Z450" s="13"/>
      <c r="AA450" s="22">
        <v>45962</v>
      </c>
      <c r="AB450" s="22" cm="1">
        <f t="array" ref="AB4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50" s="4"/>
      <c r="AD450" s="4"/>
      <c r="AE450" s="2"/>
      <c r="AF450" s="3"/>
      <c r="AG450" s="3"/>
      <c r="AH450" s="3"/>
      <c r="AI450" s="3"/>
      <c r="AJ450" s="2">
        <f t="shared" si="66"/>
        <v>0</v>
      </c>
      <c r="AK450" s="2">
        <f t="shared" si="58"/>
        <v>0</v>
      </c>
      <c r="AL450" s="2">
        <f t="shared" si="64"/>
        <v>0</v>
      </c>
      <c r="AM450" s="88"/>
      <c r="AN450" s="157" t="s">
        <v>774</v>
      </c>
    </row>
    <row r="451" spans="2:40" ht="23.15" customHeight="1" thickBot="1">
      <c r="B451" s="87"/>
      <c r="C451" s="2"/>
      <c r="D451" s="15" t="s">
        <v>14</v>
      </c>
      <c r="E451" s="20" t="s">
        <v>31</v>
      </c>
      <c r="F451" s="20" t="s">
        <v>39</v>
      </c>
      <c r="G451" s="11">
        <v>38</v>
      </c>
      <c r="H451" s="18"/>
      <c r="I451" s="18"/>
      <c r="J451" s="18"/>
      <c r="K451" s="249"/>
      <c r="L451" s="41"/>
      <c r="M451" s="41"/>
      <c r="N451" s="41"/>
      <c r="O451" s="41"/>
      <c r="P451" s="41"/>
      <c r="Q451" s="43"/>
      <c r="R451" s="43"/>
      <c r="S451" s="43"/>
      <c r="T451" s="43"/>
      <c r="U451" s="19"/>
      <c r="V451" s="13">
        <f t="shared" si="65"/>
        <v>0</v>
      </c>
      <c r="W451" s="13"/>
      <c r="X451" s="13"/>
      <c r="Y451" s="13"/>
      <c r="Z451" s="13"/>
      <c r="AA451" s="22">
        <v>45962</v>
      </c>
      <c r="AB451" s="22" cm="1">
        <f t="array" ref="AB4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51" s="4"/>
      <c r="AD451" s="4"/>
      <c r="AE451" s="2"/>
      <c r="AF451" s="3"/>
      <c r="AG451" s="3"/>
      <c r="AH451" s="3"/>
      <c r="AI451" s="3"/>
      <c r="AJ451" s="2">
        <f t="shared" si="66"/>
        <v>0</v>
      </c>
      <c r="AK451" s="2">
        <f t="shared" ref="AK451:AK514" si="67">AC451-AD451</f>
        <v>0</v>
      </c>
      <c r="AL451" s="2">
        <f t="shared" si="64"/>
        <v>0</v>
      </c>
      <c r="AM451" s="88"/>
      <c r="AN451" s="157" t="s">
        <v>774</v>
      </c>
    </row>
    <row r="452" spans="2:40" ht="23.15" customHeight="1" thickBot="1">
      <c r="B452" s="87"/>
      <c r="C452" s="2"/>
      <c r="D452" s="15" t="s">
        <v>14</v>
      </c>
      <c r="E452" s="20" t="s">
        <v>35</v>
      </c>
      <c r="F452" s="20" t="s">
        <v>75</v>
      </c>
      <c r="G452" s="11">
        <v>12</v>
      </c>
      <c r="H452" s="18"/>
      <c r="I452" s="18"/>
      <c r="J452" s="18"/>
      <c r="K452" s="19"/>
      <c r="L452" s="41"/>
      <c r="M452" s="41"/>
      <c r="N452" s="41"/>
      <c r="O452" s="41"/>
      <c r="P452" s="41"/>
      <c r="Q452" s="43"/>
      <c r="R452" s="43"/>
      <c r="S452" s="43"/>
      <c r="T452" s="43"/>
      <c r="U452" s="19"/>
      <c r="V452" s="13">
        <f t="shared" si="65"/>
        <v>0</v>
      </c>
      <c r="W452" s="13"/>
      <c r="X452" s="13"/>
      <c r="Y452" s="13"/>
      <c r="Z452" s="13"/>
      <c r="AA452" s="22">
        <v>45962</v>
      </c>
      <c r="AB452" s="22" cm="1">
        <f t="array" ref="AB4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52" s="4"/>
      <c r="AD452" s="4"/>
      <c r="AE452" s="2"/>
      <c r="AF452" s="3"/>
      <c r="AG452" s="3"/>
      <c r="AH452" s="3"/>
      <c r="AI452" s="3"/>
      <c r="AJ452" s="2">
        <f t="shared" si="66"/>
        <v>0</v>
      </c>
      <c r="AK452" s="2">
        <f t="shared" si="67"/>
        <v>0</v>
      </c>
      <c r="AL452" s="2">
        <f t="shared" si="64"/>
        <v>0</v>
      </c>
      <c r="AM452" s="88"/>
      <c r="AN452" s="157" t="s">
        <v>774</v>
      </c>
    </row>
    <row r="453" spans="2:40" ht="23.15" customHeight="1" thickBot="1">
      <c r="B453" s="87"/>
      <c r="C453" s="2"/>
      <c r="D453" s="15" t="s">
        <v>14</v>
      </c>
      <c r="E453" s="20" t="s">
        <v>165</v>
      </c>
      <c r="F453" s="20" t="s">
        <v>39</v>
      </c>
      <c r="G453" s="11">
        <v>9</v>
      </c>
      <c r="H453" s="18"/>
      <c r="I453" s="18"/>
      <c r="J453" s="18"/>
      <c r="K453" s="176"/>
      <c r="L453" s="41"/>
      <c r="M453" s="41"/>
      <c r="N453" s="41"/>
      <c r="O453" s="41"/>
      <c r="P453" s="41"/>
      <c r="Q453" s="41"/>
      <c r="R453" s="43"/>
      <c r="S453" s="43"/>
      <c r="T453" s="43"/>
      <c r="U453" s="19"/>
      <c r="V453" s="13">
        <f t="shared" si="65"/>
        <v>0</v>
      </c>
      <c r="W453" s="13"/>
      <c r="X453" s="13"/>
      <c r="Y453" s="13"/>
      <c r="Z453" s="13"/>
      <c r="AA453" s="22">
        <v>45962</v>
      </c>
      <c r="AB453" s="22" cm="1">
        <f t="array" ref="AB4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53" s="4"/>
      <c r="AD453" s="4"/>
      <c r="AE453" s="2"/>
      <c r="AF453" s="3"/>
      <c r="AG453" s="3"/>
      <c r="AH453" s="3"/>
      <c r="AI453" s="3"/>
      <c r="AJ453" s="2">
        <f t="shared" si="66"/>
        <v>0</v>
      </c>
      <c r="AK453" s="2">
        <f t="shared" si="67"/>
        <v>0</v>
      </c>
      <c r="AL453" s="2">
        <f t="shared" si="64"/>
        <v>0</v>
      </c>
      <c r="AM453" s="88"/>
      <c r="AN453" s="157" t="s">
        <v>774</v>
      </c>
    </row>
    <row r="454" spans="2:40" ht="23.15" customHeight="1" thickBot="1">
      <c r="B454" s="87"/>
      <c r="C454" s="2"/>
      <c r="D454" s="15" t="s">
        <v>14</v>
      </c>
      <c r="E454" s="20" t="s">
        <v>32</v>
      </c>
      <c r="F454" s="20" t="s">
        <v>39</v>
      </c>
      <c r="G454" s="11">
        <v>59</v>
      </c>
      <c r="H454" s="18"/>
      <c r="I454" s="18"/>
      <c r="J454" s="18"/>
      <c r="K454" s="19"/>
      <c r="L454" s="41"/>
      <c r="M454" s="43"/>
      <c r="N454" s="41"/>
      <c r="O454" s="41"/>
      <c r="P454" s="41"/>
      <c r="Q454" s="43"/>
      <c r="R454" s="43"/>
      <c r="S454" s="43"/>
      <c r="T454" s="43"/>
      <c r="U454" s="19"/>
      <c r="V454" s="13">
        <f t="shared" si="65"/>
        <v>0</v>
      </c>
      <c r="W454" s="13"/>
      <c r="X454" s="13"/>
      <c r="Y454" s="13"/>
      <c r="Z454" s="13"/>
      <c r="AA454" s="22">
        <v>45962</v>
      </c>
      <c r="AB454" s="22" cm="1">
        <f t="array" ref="AB4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54" s="4"/>
      <c r="AD454" s="4"/>
      <c r="AE454" s="2"/>
      <c r="AF454" s="3"/>
      <c r="AG454" s="3"/>
      <c r="AH454" s="3"/>
      <c r="AI454" s="3"/>
      <c r="AJ454" s="2">
        <f t="shared" si="66"/>
        <v>0</v>
      </c>
      <c r="AK454" s="2">
        <f t="shared" si="67"/>
        <v>0</v>
      </c>
      <c r="AL454" s="2">
        <f t="shared" si="64"/>
        <v>0</v>
      </c>
      <c r="AM454" s="88"/>
      <c r="AN454" s="157" t="s">
        <v>774</v>
      </c>
    </row>
    <row r="455" spans="2:40" ht="23.15" customHeight="1" thickBot="1">
      <c r="B455" s="87"/>
      <c r="C455" s="2"/>
      <c r="D455" s="15" t="s">
        <v>14</v>
      </c>
      <c r="E455" s="20" t="s">
        <v>28</v>
      </c>
      <c r="F455" s="20" t="s">
        <v>49</v>
      </c>
      <c r="G455" s="11">
        <v>43</v>
      </c>
      <c r="H455" s="18"/>
      <c r="I455" s="18"/>
      <c r="J455" s="18"/>
      <c r="K455" s="19"/>
      <c r="L455" s="41"/>
      <c r="M455" s="41"/>
      <c r="N455" s="41"/>
      <c r="O455" s="41"/>
      <c r="P455" s="41"/>
      <c r="Q455" s="43"/>
      <c r="R455" s="43"/>
      <c r="S455" s="43"/>
      <c r="T455" s="43"/>
      <c r="U455" s="19"/>
      <c r="V455" s="13">
        <f t="shared" si="65"/>
        <v>0</v>
      </c>
      <c r="W455" s="13"/>
      <c r="X455" s="13"/>
      <c r="Y455" s="13"/>
      <c r="Z455" s="13"/>
      <c r="AA455" s="22">
        <v>45992</v>
      </c>
      <c r="AB455" s="22" cm="1">
        <f t="array" ref="AB4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55" s="4"/>
      <c r="AD455" s="4"/>
      <c r="AE455" s="2"/>
      <c r="AF455" s="3"/>
      <c r="AG455" s="3"/>
      <c r="AH455" s="3"/>
      <c r="AI455" s="3"/>
      <c r="AJ455" s="2">
        <f t="shared" si="66"/>
        <v>0</v>
      </c>
      <c r="AK455" s="2">
        <f t="shared" si="67"/>
        <v>0</v>
      </c>
      <c r="AL455" s="2">
        <f t="shared" si="64"/>
        <v>0</v>
      </c>
      <c r="AM455" s="88"/>
      <c r="AN455" s="157" t="s">
        <v>774</v>
      </c>
    </row>
    <row r="456" spans="2:40" ht="23.15" customHeight="1" thickBot="1">
      <c r="B456" s="87"/>
      <c r="C456" s="2"/>
      <c r="D456" s="15" t="s">
        <v>14</v>
      </c>
      <c r="E456" s="20" t="s">
        <v>33</v>
      </c>
      <c r="F456" s="20" t="s">
        <v>44</v>
      </c>
      <c r="G456" s="11">
        <v>6</v>
      </c>
      <c r="H456" s="18"/>
      <c r="I456" s="18"/>
      <c r="J456" s="18"/>
      <c r="K456" s="19"/>
      <c r="L456" s="41"/>
      <c r="M456" s="41"/>
      <c r="N456" s="41"/>
      <c r="O456" s="41"/>
      <c r="P456" s="41"/>
      <c r="Q456" s="43"/>
      <c r="R456" s="43"/>
      <c r="S456" s="43"/>
      <c r="T456" s="43"/>
      <c r="U456" s="19"/>
      <c r="V456" s="13">
        <f t="shared" si="65"/>
        <v>0</v>
      </c>
      <c r="W456" s="13"/>
      <c r="X456" s="13"/>
      <c r="Y456" s="13"/>
      <c r="Z456" s="13"/>
      <c r="AA456" s="22">
        <v>45992</v>
      </c>
      <c r="AB456" s="22" cm="1">
        <f t="array" ref="AB4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56" s="4"/>
      <c r="AD456" s="4"/>
      <c r="AE456" s="2"/>
      <c r="AF456" s="3"/>
      <c r="AG456" s="3"/>
      <c r="AH456" s="3"/>
      <c r="AI456" s="3"/>
      <c r="AJ456" s="2">
        <f t="shared" si="66"/>
        <v>0</v>
      </c>
      <c r="AK456" s="2">
        <f t="shared" si="67"/>
        <v>0</v>
      </c>
      <c r="AL456" s="2">
        <f t="shared" si="64"/>
        <v>0</v>
      </c>
      <c r="AM456" s="88"/>
      <c r="AN456" s="157" t="s">
        <v>774</v>
      </c>
    </row>
    <row r="457" spans="2:40" ht="23.15" customHeight="1" thickBot="1">
      <c r="B457" s="87"/>
      <c r="C457" s="2"/>
      <c r="D457" s="15" t="s">
        <v>14</v>
      </c>
      <c r="E457" s="20" t="s">
        <v>25</v>
      </c>
      <c r="F457" s="20" t="s">
        <v>40</v>
      </c>
      <c r="G457" s="11">
        <v>38</v>
      </c>
      <c r="H457" s="11"/>
      <c r="I457" s="18"/>
      <c r="J457" s="18"/>
      <c r="K457" s="19"/>
      <c r="L457" s="41"/>
      <c r="M457" s="41"/>
      <c r="N457" s="41"/>
      <c r="O457" s="41"/>
      <c r="P457" s="41"/>
      <c r="Q457" s="43"/>
      <c r="R457" s="43"/>
      <c r="S457" s="43"/>
      <c r="T457" s="43"/>
      <c r="U457" s="19"/>
      <c r="V457" s="13">
        <f t="shared" si="65"/>
        <v>0</v>
      </c>
      <c r="W457" s="13"/>
      <c r="X457" s="13"/>
      <c r="Y457" s="13"/>
      <c r="Z457" s="13"/>
      <c r="AA457" s="22">
        <v>45992</v>
      </c>
      <c r="AB457" s="22" cm="1">
        <f t="array" ref="AB4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57" s="4"/>
      <c r="AD457" s="4"/>
      <c r="AE457" s="2"/>
      <c r="AF457" s="3"/>
      <c r="AG457" s="3"/>
      <c r="AH457" s="3"/>
      <c r="AI457" s="3"/>
      <c r="AJ457" s="2">
        <f t="shared" si="66"/>
        <v>0</v>
      </c>
      <c r="AK457" s="2">
        <f t="shared" si="67"/>
        <v>0</v>
      </c>
      <c r="AL457" s="2">
        <f t="shared" si="64"/>
        <v>0</v>
      </c>
      <c r="AM457" s="88"/>
      <c r="AN457" s="157" t="s">
        <v>774</v>
      </c>
    </row>
    <row r="458" spans="2:40" ht="23.15" customHeight="1" thickBot="1">
      <c r="B458" s="87"/>
      <c r="C458" s="2"/>
      <c r="D458" s="15" t="s">
        <v>14</v>
      </c>
      <c r="E458" s="20" t="s">
        <v>30</v>
      </c>
      <c r="F458" s="20" t="s">
        <v>39</v>
      </c>
      <c r="G458" s="11">
        <v>116</v>
      </c>
      <c r="H458" s="11"/>
      <c r="I458" s="18"/>
      <c r="J458" s="18"/>
      <c r="K458" s="19"/>
      <c r="L458" s="41"/>
      <c r="M458" s="41"/>
      <c r="N458" s="41"/>
      <c r="O458" s="41"/>
      <c r="P458" s="41"/>
      <c r="Q458" s="43"/>
      <c r="R458" s="43"/>
      <c r="S458" s="43"/>
      <c r="T458" s="43"/>
      <c r="U458" s="19"/>
      <c r="V458" s="13">
        <f t="shared" si="65"/>
        <v>0</v>
      </c>
      <c r="W458" s="13"/>
      <c r="X458" s="13"/>
      <c r="Y458" s="13"/>
      <c r="Z458" s="13"/>
      <c r="AA458" s="22">
        <v>45992</v>
      </c>
      <c r="AB458" s="22" cm="1">
        <f t="array" ref="AB4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58" s="4"/>
      <c r="AD458" s="4"/>
      <c r="AE458" s="2"/>
      <c r="AF458" s="3"/>
      <c r="AG458" s="3"/>
      <c r="AH458" s="3"/>
      <c r="AI458" s="3"/>
      <c r="AJ458" s="2">
        <f t="shared" si="66"/>
        <v>0</v>
      </c>
      <c r="AK458" s="2">
        <f t="shared" si="67"/>
        <v>0</v>
      </c>
      <c r="AL458" s="2">
        <f t="shared" si="64"/>
        <v>0</v>
      </c>
      <c r="AM458" s="88"/>
      <c r="AN458" s="157" t="s">
        <v>774</v>
      </c>
    </row>
    <row r="459" spans="2:40" ht="23.15" customHeight="1" thickBot="1">
      <c r="B459" s="87"/>
      <c r="C459" s="2"/>
      <c r="D459" s="15" t="s">
        <v>14</v>
      </c>
      <c r="E459" s="20" t="s">
        <v>26</v>
      </c>
      <c r="F459" s="20" t="s">
        <v>40</v>
      </c>
      <c r="G459" s="11">
        <v>7</v>
      </c>
      <c r="H459" s="11"/>
      <c r="I459" s="18"/>
      <c r="J459" s="18"/>
      <c r="K459" s="19"/>
      <c r="L459" s="41"/>
      <c r="M459" s="41"/>
      <c r="N459" s="41"/>
      <c r="O459" s="41"/>
      <c r="P459" s="41"/>
      <c r="Q459" s="43"/>
      <c r="R459" s="43"/>
      <c r="S459" s="43"/>
      <c r="T459" s="43"/>
      <c r="U459" s="19"/>
      <c r="V459" s="13">
        <f t="shared" si="65"/>
        <v>0</v>
      </c>
      <c r="W459" s="13"/>
      <c r="X459" s="13"/>
      <c r="Y459" s="13"/>
      <c r="Z459" s="13"/>
      <c r="AA459" s="22">
        <v>45992</v>
      </c>
      <c r="AB459" s="22" cm="1">
        <f t="array" ref="AB4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59" s="4"/>
      <c r="AD459" s="4"/>
      <c r="AE459" s="2"/>
      <c r="AF459" s="3"/>
      <c r="AG459" s="3"/>
      <c r="AH459" s="3"/>
      <c r="AI459" s="3"/>
      <c r="AJ459" s="2">
        <f t="shared" si="66"/>
        <v>0</v>
      </c>
      <c r="AK459" s="2">
        <f t="shared" si="67"/>
        <v>0</v>
      </c>
      <c r="AL459" s="2">
        <f t="shared" si="64"/>
        <v>0</v>
      </c>
      <c r="AM459" s="88"/>
      <c r="AN459" s="157" t="s">
        <v>774</v>
      </c>
    </row>
    <row r="460" spans="2:40" ht="23.15" customHeight="1" thickBot="1">
      <c r="B460" s="87"/>
      <c r="C460" s="2"/>
      <c r="D460" s="15" t="s">
        <v>14</v>
      </c>
      <c r="E460" s="20" t="s">
        <v>157</v>
      </c>
      <c r="F460" s="20" t="s">
        <v>40</v>
      </c>
      <c r="G460" s="11">
        <v>2</v>
      </c>
      <c r="H460" s="11"/>
      <c r="I460" s="18"/>
      <c r="J460" s="18"/>
      <c r="K460" s="19"/>
      <c r="L460" s="41"/>
      <c r="M460" s="41"/>
      <c r="N460" s="41"/>
      <c r="O460" s="41"/>
      <c r="P460" s="41"/>
      <c r="Q460" s="43"/>
      <c r="R460" s="43"/>
      <c r="S460" s="43"/>
      <c r="T460" s="43"/>
      <c r="U460" s="19"/>
      <c r="V460" s="13">
        <f t="shared" si="65"/>
        <v>0</v>
      </c>
      <c r="W460" s="13"/>
      <c r="X460" s="13"/>
      <c r="Y460" s="13"/>
      <c r="Z460" s="13"/>
      <c r="AA460" s="22">
        <v>45992</v>
      </c>
      <c r="AB460" s="22" cm="1">
        <f t="array" ref="AB4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60" s="4"/>
      <c r="AD460" s="4"/>
      <c r="AE460" s="2"/>
      <c r="AF460" s="3"/>
      <c r="AG460" s="3"/>
      <c r="AH460" s="3"/>
      <c r="AI460" s="3"/>
      <c r="AJ460" s="2">
        <f t="shared" si="66"/>
        <v>0</v>
      </c>
      <c r="AK460" s="2">
        <f t="shared" si="67"/>
        <v>0</v>
      </c>
      <c r="AL460" s="2">
        <f t="shared" si="64"/>
        <v>0</v>
      </c>
      <c r="AM460" s="88"/>
      <c r="AN460" s="157" t="s">
        <v>774</v>
      </c>
    </row>
    <row r="461" spans="2:40" ht="23.15" customHeight="1" thickBot="1">
      <c r="B461" s="87"/>
      <c r="C461" s="2"/>
      <c r="D461" s="15" t="s">
        <v>14</v>
      </c>
      <c r="E461" s="20" t="s">
        <v>31</v>
      </c>
      <c r="F461" s="20" t="s">
        <v>39</v>
      </c>
      <c r="G461" s="11">
        <v>38</v>
      </c>
      <c r="H461" s="11"/>
      <c r="I461" s="18"/>
      <c r="J461" s="18"/>
      <c r="K461" s="19"/>
      <c r="L461" s="41"/>
      <c r="M461" s="41"/>
      <c r="N461" s="41"/>
      <c r="O461" s="41"/>
      <c r="P461" s="41"/>
      <c r="Q461" s="43"/>
      <c r="R461" s="43"/>
      <c r="S461" s="43"/>
      <c r="T461" s="43"/>
      <c r="U461" s="19"/>
      <c r="V461" s="13">
        <f t="shared" si="65"/>
        <v>0</v>
      </c>
      <c r="W461" s="13"/>
      <c r="X461" s="13"/>
      <c r="Y461" s="13"/>
      <c r="Z461" s="13"/>
      <c r="AA461" s="22">
        <v>45992</v>
      </c>
      <c r="AB461" s="22" cm="1">
        <f t="array" ref="AB4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61" s="4"/>
      <c r="AD461" s="4"/>
      <c r="AE461" s="2"/>
      <c r="AF461" s="3"/>
      <c r="AG461" s="3"/>
      <c r="AH461" s="3"/>
      <c r="AI461" s="3"/>
      <c r="AJ461" s="2">
        <f t="shared" si="66"/>
        <v>0</v>
      </c>
      <c r="AK461" s="2">
        <f t="shared" si="67"/>
        <v>0</v>
      </c>
      <c r="AL461" s="2">
        <f t="shared" si="64"/>
        <v>0</v>
      </c>
      <c r="AM461" s="88"/>
      <c r="AN461" s="157" t="s">
        <v>774</v>
      </c>
    </row>
    <row r="462" spans="2:40" ht="23.15" customHeight="1" thickBot="1">
      <c r="B462" s="87"/>
      <c r="C462" s="2"/>
      <c r="D462" s="15" t="s">
        <v>14</v>
      </c>
      <c r="E462" s="20" t="s">
        <v>35</v>
      </c>
      <c r="F462" s="20" t="s">
        <v>75</v>
      </c>
      <c r="G462" s="11">
        <v>12</v>
      </c>
      <c r="H462" s="11"/>
      <c r="I462" s="18"/>
      <c r="J462" s="18"/>
      <c r="K462" s="19"/>
      <c r="L462" s="41"/>
      <c r="M462" s="41"/>
      <c r="N462" s="41"/>
      <c r="O462" s="41"/>
      <c r="P462" s="41"/>
      <c r="Q462" s="43"/>
      <c r="R462" s="43"/>
      <c r="S462" s="43"/>
      <c r="T462" s="43"/>
      <c r="U462" s="19"/>
      <c r="V462" s="13">
        <f t="shared" si="65"/>
        <v>0</v>
      </c>
      <c r="W462" s="13"/>
      <c r="X462" s="13"/>
      <c r="Y462" s="13"/>
      <c r="Z462" s="13"/>
      <c r="AA462" s="22">
        <v>45992</v>
      </c>
      <c r="AB462" s="22" cm="1">
        <f t="array" ref="AB4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62" s="4"/>
      <c r="AD462" s="4"/>
      <c r="AE462" s="2"/>
      <c r="AF462" s="3"/>
      <c r="AG462" s="3"/>
      <c r="AH462" s="3"/>
      <c r="AI462" s="3"/>
      <c r="AJ462" s="2">
        <f t="shared" si="66"/>
        <v>0</v>
      </c>
      <c r="AK462" s="2">
        <f t="shared" si="67"/>
        <v>0</v>
      </c>
      <c r="AL462" s="2">
        <f t="shared" si="64"/>
        <v>0</v>
      </c>
      <c r="AM462" s="88"/>
      <c r="AN462" s="157" t="s">
        <v>774</v>
      </c>
    </row>
    <row r="463" spans="2:40" ht="23.15" customHeight="1" thickBot="1">
      <c r="B463" s="87"/>
      <c r="C463" s="2"/>
      <c r="D463" s="15" t="s">
        <v>14</v>
      </c>
      <c r="E463" s="20" t="s">
        <v>165</v>
      </c>
      <c r="F463" s="20" t="s">
        <v>39</v>
      </c>
      <c r="G463" s="11">
        <v>9</v>
      </c>
      <c r="H463" s="11"/>
      <c r="I463" s="18"/>
      <c r="J463" s="18"/>
      <c r="K463" s="19"/>
      <c r="L463" s="41"/>
      <c r="M463" s="41"/>
      <c r="N463" s="41"/>
      <c r="O463" s="41"/>
      <c r="P463" s="41"/>
      <c r="Q463" s="43"/>
      <c r="R463" s="43"/>
      <c r="S463" s="43"/>
      <c r="T463" s="43"/>
      <c r="U463" s="19"/>
      <c r="V463" s="13">
        <f t="shared" si="65"/>
        <v>0</v>
      </c>
      <c r="W463" s="13"/>
      <c r="X463" s="13"/>
      <c r="Y463" s="13"/>
      <c r="Z463" s="13"/>
      <c r="AA463" s="22">
        <v>45992</v>
      </c>
      <c r="AB463" s="22" cm="1">
        <f t="array" ref="AB4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63" s="4"/>
      <c r="AD463" s="4"/>
      <c r="AE463" s="2"/>
      <c r="AF463" s="3"/>
      <c r="AG463" s="3"/>
      <c r="AH463" s="3"/>
      <c r="AI463" s="3"/>
      <c r="AJ463" s="2">
        <f t="shared" si="66"/>
        <v>0</v>
      </c>
      <c r="AK463" s="2">
        <f t="shared" si="67"/>
        <v>0</v>
      </c>
      <c r="AL463" s="2">
        <f t="shared" si="64"/>
        <v>0</v>
      </c>
      <c r="AM463" s="88"/>
      <c r="AN463" s="157" t="s">
        <v>774</v>
      </c>
    </row>
    <row r="464" spans="2:40" ht="23.15" customHeight="1" thickBot="1">
      <c r="B464" s="87"/>
      <c r="C464" s="2"/>
      <c r="D464" s="15" t="s">
        <v>14</v>
      </c>
      <c r="E464" s="20" t="s">
        <v>32</v>
      </c>
      <c r="F464" s="20" t="s">
        <v>39</v>
      </c>
      <c r="G464" s="11">
        <v>59</v>
      </c>
      <c r="H464" s="18"/>
      <c r="I464" s="18"/>
      <c r="J464" s="18"/>
      <c r="K464" s="19"/>
      <c r="L464" s="41"/>
      <c r="M464" s="41"/>
      <c r="N464" s="41"/>
      <c r="O464" s="41"/>
      <c r="P464" s="41"/>
      <c r="Q464" s="43"/>
      <c r="R464" s="43"/>
      <c r="S464" s="43"/>
      <c r="T464" s="43"/>
      <c r="U464" s="19"/>
      <c r="V464" s="13">
        <f t="shared" si="65"/>
        <v>0</v>
      </c>
      <c r="W464" s="13"/>
      <c r="X464" s="13"/>
      <c r="Y464" s="13"/>
      <c r="Z464" s="13"/>
      <c r="AA464" s="22">
        <v>45992</v>
      </c>
      <c r="AB464" s="22" cm="1">
        <f t="array" ref="AB4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64" s="4"/>
      <c r="AD464" s="4"/>
      <c r="AE464" s="2"/>
      <c r="AF464" s="3"/>
      <c r="AG464" s="3"/>
      <c r="AH464" s="3"/>
      <c r="AI464" s="3"/>
      <c r="AJ464" s="2">
        <f t="shared" si="66"/>
        <v>0</v>
      </c>
      <c r="AK464" s="2">
        <f t="shared" si="67"/>
        <v>0</v>
      </c>
      <c r="AL464" s="2">
        <f t="shared" si="64"/>
        <v>0</v>
      </c>
      <c r="AM464" s="88"/>
      <c r="AN464" s="157" t="s">
        <v>774</v>
      </c>
    </row>
    <row r="465" spans="2:40" ht="23.15" customHeight="1" thickBot="1">
      <c r="B465" s="87"/>
      <c r="C465" s="2" t="s">
        <v>295</v>
      </c>
      <c r="D465" s="15" t="s">
        <v>15</v>
      </c>
      <c r="E465" s="20" t="s">
        <v>26</v>
      </c>
      <c r="F465" s="20" t="s">
        <v>70</v>
      </c>
      <c r="G465" s="11">
        <v>2</v>
      </c>
      <c r="H465" s="18">
        <v>2</v>
      </c>
      <c r="I465" s="18" t="s">
        <v>294</v>
      </c>
      <c r="J465" s="18" t="s">
        <v>294</v>
      </c>
      <c r="K465" s="19">
        <v>11684.41</v>
      </c>
      <c r="L465" s="41">
        <v>0</v>
      </c>
      <c r="M465" s="41" t="s">
        <v>294</v>
      </c>
      <c r="N465" s="41">
        <v>0</v>
      </c>
      <c r="O465" s="41" t="s">
        <v>294</v>
      </c>
      <c r="P465" s="41">
        <v>0</v>
      </c>
      <c r="Q465" s="43">
        <v>0</v>
      </c>
      <c r="R465" s="43">
        <v>0</v>
      </c>
      <c r="S465" s="43">
        <v>0</v>
      </c>
      <c r="T465" s="43">
        <v>0</v>
      </c>
      <c r="U465" s="19" t="s">
        <v>295</v>
      </c>
      <c r="V465" s="13">
        <f t="shared" si="65"/>
        <v>11684.41</v>
      </c>
      <c r="W465" s="13"/>
      <c r="X465" s="13"/>
      <c r="Y465" s="13"/>
      <c r="Z465" s="13"/>
      <c r="AA465" s="22">
        <v>45658</v>
      </c>
      <c r="AB465" s="22" cm="1">
        <f t="array" ref="AB4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65" s="4"/>
      <c r="AD465" s="4"/>
      <c r="AE465" s="2"/>
      <c r="AF465" s="3"/>
      <c r="AG465" s="3"/>
      <c r="AH465" s="3"/>
      <c r="AI465" s="3"/>
      <c r="AJ465" s="2">
        <f t="shared" si="66"/>
        <v>0</v>
      </c>
      <c r="AK465" s="2">
        <f t="shared" si="67"/>
        <v>0</v>
      </c>
      <c r="AL465" s="2">
        <f t="shared" si="64"/>
        <v>0</v>
      </c>
      <c r="AM465" s="88"/>
      <c r="AN465" s="157" t="s">
        <v>774</v>
      </c>
    </row>
    <row r="466" spans="2:40" ht="23.15" customHeight="1" thickBot="1">
      <c r="B466" s="87"/>
      <c r="C466" s="2" t="s">
        <v>292</v>
      </c>
      <c r="D466" s="15" t="s">
        <v>15</v>
      </c>
      <c r="E466" s="20" t="s">
        <v>26</v>
      </c>
      <c r="F466" s="20" t="s">
        <v>70</v>
      </c>
      <c r="G466" s="11">
        <v>2</v>
      </c>
      <c r="H466" s="18">
        <v>2</v>
      </c>
      <c r="I466" s="18">
        <v>0</v>
      </c>
      <c r="J466" s="18">
        <v>0</v>
      </c>
      <c r="K466" s="19">
        <v>11684.41</v>
      </c>
      <c r="L466" s="41">
        <v>0</v>
      </c>
      <c r="M466" s="43">
        <v>0</v>
      </c>
      <c r="N466" s="41">
        <v>0</v>
      </c>
      <c r="O466" s="41">
        <v>0</v>
      </c>
      <c r="P466" s="41">
        <v>0</v>
      </c>
      <c r="Q466" s="43">
        <v>0</v>
      </c>
      <c r="R466" s="43">
        <v>0</v>
      </c>
      <c r="S466" s="43">
        <v>0</v>
      </c>
      <c r="T466" s="43">
        <v>0</v>
      </c>
      <c r="U466" s="19"/>
      <c r="V466" s="13">
        <f t="shared" si="65"/>
        <v>11684.41</v>
      </c>
      <c r="W466" s="13"/>
      <c r="X466" s="13"/>
      <c r="Y466" s="13"/>
      <c r="Z466" s="13"/>
      <c r="AA466" s="22">
        <v>45689</v>
      </c>
      <c r="AB466" s="22" cm="1">
        <f t="array" ref="AB4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66" s="4"/>
      <c r="AD466" s="4"/>
      <c r="AE466" s="2"/>
      <c r="AF466" s="3"/>
      <c r="AG466" s="3"/>
      <c r="AH466" s="3"/>
      <c r="AI466" s="3"/>
      <c r="AJ466" s="2">
        <f t="shared" si="66"/>
        <v>0</v>
      </c>
      <c r="AK466" s="2">
        <f t="shared" si="67"/>
        <v>0</v>
      </c>
      <c r="AL466" s="2">
        <f t="shared" si="64"/>
        <v>0</v>
      </c>
      <c r="AM466" s="88"/>
      <c r="AN466" s="157" t="s">
        <v>774</v>
      </c>
    </row>
    <row r="467" spans="2:40" ht="23.15" customHeight="1" thickBot="1">
      <c r="B467" s="87"/>
      <c r="C467" s="2" t="s">
        <v>295</v>
      </c>
      <c r="D467" s="15" t="s">
        <v>15</v>
      </c>
      <c r="E467" s="20" t="s">
        <v>26</v>
      </c>
      <c r="F467" s="20" t="s">
        <v>70</v>
      </c>
      <c r="G467" s="11">
        <v>2</v>
      </c>
      <c r="H467" s="18">
        <v>2</v>
      </c>
      <c r="I467" s="18">
        <v>0</v>
      </c>
      <c r="J467" s="18">
        <v>0</v>
      </c>
      <c r="K467" s="19">
        <v>11684.41</v>
      </c>
      <c r="L467" s="41">
        <v>0</v>
      </c>
      <c r="M467" s="43">
        <v>0</v>
      </c>
      <c r="N467" s="41">
        <v>0</v>
      </c>
      <c r="O467" s="41">
        <v>0</v>
      </c>
      <c r="P467" s="41">
        <v>0</v>
      </c>
      <c r="Q467" s="43">
        <v>0</v>
      </c>
      <c r="R467" s="43">
        <v>0</v>
      </c>
      <c r="S467" s="43">
        <v>0</v>
      </c>
      <c r="T467" s="43">
        <v>0</v>
      </c>
      <c r="U467" s="19"/>
      <c r="V467" s="13">
        <f t="shared" si="65"/>
        <v>11684.41</v>
      </c>
      <c r="W467" s="13"/>
      <c r="X467" s="13"/>
      <c r="Y467" s="13"/>
      <c r="Z467" s="13"/>
      <c r="AA467" s="22">
        <v>45717</v>
      </c>
      <c r="AB467" s="22" cm="1">
        <f t="array" ref="AB4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67" s="4"/>
      <c r="AD467" s="4"/>
      <c r="AE467" s="2"/>
      <c r="AF467" s="3"/>
      <c r="AG467" s="3"/>
      <c r="AH467" s="3"/>
      <c r="AI467" s="3"/>
      <c r="AJ467" s="2">
        <f t="shared" si="66"/>
        <v>0</v>
      </c>
      <c r="AK467" s="2">
        <f t="shared" si="67"/>
        <v>0</v>
      </c>
      <c r="AL467" s="2">
        <f t="shared" si="64"/>
        <v>0</v>
      </c>
      <c r="AM467" s="88"/>
      <c r="AN467" s="157" t="s">
        <v>774</v>
      </c>
    </row>
    <row r="468" spans="2:40" ht="23.15" customHeight="1" thickBot="1">
      <c r="B468" s="87"/>
      <c r="C468" s="2" t="s">
        <v>292</v>
      </c>
      <c r="D468" s="15" t="s">
        <v>15</v>
      </c>
      <c r="E468" s="20" t="s">
        <v>26</v>
      </c>
      <c r="F468" s="20" t="s">
        <v>70</v>
      </c>
      <c r="G468" s="11">
        <v>2</v>
      </c>
      <c r="H468" s="18">
        <v>2</v>
      </c>
      <c r="I468" s="18">
        <v>0</v>
      </c>
      <c r="J468" s="18">
        <v>0</v>
      </c>
      <c r="K468" s="19">
        <v>11684.41</v>
      </c>
      <c r="L468" s="41">
        <v>0</v>
      </c>
      <c r="M468" s="41">
        <v>0</v>
      </c>
      <c r="N468" s="41">
        <v>0</v>
      </c>
      <c r="O468" s="41">
        <v>0</v>
      </c>
      <c r="P468" s="41">
        <v>0</v>
      </c>
      <c r="Q468" s="43">
        <v>0</v>
      </c>
      <c r="R468" s="43">
        <v>0</v>
      </c>
      <c r="S468" s="43">
        <v>0</v>
      </c>
      <c r="T468" s="43">
        <v>0</v>
      </c>
      <c r="U468" s="19" t="s">
        <v>295</v>
      </c>
      <c r="V468" s="13">
        <f t="shared" si="65"/>
        <v>11684.41</v>
      </c>
      <c r="W468" s="13"/>
      <c r="X468" s="13"/>
      <c r="Y468" s="13"/>
      <c r="Z468" s="13"/>
      <c r="AA468" s="22">
        <v>45748</v>
      </c>
      <c r="AB468" s="22" cm="1">
        <f t="array" ref="AB4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68" s="4"/>
      <c r="AD468" s="4"/>
      <c r="AE468" s="2"/>
      <c r="AF468" s="3"/>
      <c r="AG468" s="3"/>
      <c r="AH468" s="3"/>
      <c r="AI468" s="3"/>
      <c r="AJ468" s="2">
        <f t="shared" si="66"/>
        <v>0</v>
      </c>
      <c r="AK468" s="2">
        <f t="shared" si="67"/>
        <v>0</v>
      </c>
      <c r="AL468" s="2">
        <f t="shared" si="64"/>
        <v>0</v>
      </c>
      <c r="AM468" s="88"/>
      <c r="AN468" s="157" t="s">
        <v>774</v>
      </c>
    </row>
    <row r="469" spans="2:40" ht="23.15" customHeight="1" thickBot="1">
      <c r="B469" s="87">
        <v>45779</v>
      </c>
      <c r="C469" s="2" t="s">
        <v>295</v>
      </c>
      <c r="D469" s="15" t="s">
        <v>15</v>
      </c>
      <c r="E469" s="20" t="s">
        <v>26</v>
      </c>
      <c r="F469" s="20" t="s">
        <v>70</v>
      </c>
      <c r="G469" s="11">
        <v>2</v>
      </c>
      <c r="H469" s="18">
        <v>2</v>
      </c>
      <c r="I469" s="18">
        <v>0</v>
      </c>
      <c r="J469" s="18">
        <v>0</v>
      </c>
      <c r="K469" s="19">
        <v>11684.41</v>
      </c>
      <c r="L469" s="41">
        <v>0</v>
      </c>
      <c r="M469" s="43">
        <v>0</v>
      </c>
      <c r="N469" s="41">
        <v>0</v>
      </c>
      <c r="O469" s="41">
        <v>0</v>
      </c>
      <c r="P469" s="41">
        <v>0</v>
      </c>
      <c r="Q469" s="43">
        <v>0</v>
      </c>
      <c r="R469" s="43">
        <v>0</v>
      </c>
      <c r="S469" s="43">
        <v>0</v>
      </c>
      <c r="T469" s="43">
        <v>0</v>
      </c>
      <c r="U469" s="19" t="s">
        <v>295</v>
      </c>
      <c r="V469" s="13">
        <f t="shared" si="65"/>
        <v>11684.41</v>
      </c>
      <c r="W469" s="13"/>
      <c r="X469" s="13"/>
      <c r="Y469" s="13"/>
      <c r="Z469" s="13"/>
      <c r="AA469" s="22">
        <v>45778</v>
      </c>
      <c r="AB469" s="22" cm="1">
        <f t="array" ref="AB4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69" s="4"/>
      <c r="AD469" s="4"/>
      <c r="AE469" s="2"/>
      <c r="AF469" s="3"/>
      <c r="AG469" s="3"/>
      <c r="AH469" s="3"/>
      <c r="AI469" s="3"/>
      <c r="AJ469" s="2">
        <f t="shared" si="66"/>
        <v>0</v>
      </c>
      <c r="AK469" s="2">
        <f t="shared" si="67"/>
        <v>0</v>
      </c>
      <c r="AL469" s="2">
        <f t="shared" si="64"/>
        <v>0</v>
      </c>
      <c r="AM469" s="88"/>
      <c r="AN469" s="157" t="s">
        <v>774</v>
      </c>
    </row>
    <row r="470" spans="2:40" ht="23.15" customHeight="1" thickBot="1">
      <c r="B470" s="87">
        <v>45839</v>
      </c>
      <c r="C470" s="2" t="s">
        <v>295</v>
      </c>
      <c r="D470" s="15" t="s">
        <v>15</v>
      </c>
      <c r="E470" s="20" t="s">
        <v>26</v>
      </c>
      <c r="F470" s="20" t="s">
        <v>70</v>
      </c>
      <c r="G470" s="11">
        <v>2</v>
      </c>
      <c r="H470" s="11">
        <v>2</v>
      </c>
      <c r="I470" s="18">
        <v>0</v>
      </c>
      <c r="J470" s="18">
        <v>0</v>
      </c>
      <c r="K470" s="19">
        <v>11684.41</v>
      </c>
      <c r="L470" s="41">
        <v>0</v>
      </c>
      <c r="M470" s="43">
        <v>0</v>
      </c>
      <c r="N470" s="41">
        <v>0</v>
      </c>
      <c r="O470" s="41">
        <v>0</v>
      </c>
      <c r="P470" s="41">
        <v>-19.48</v>
      </c>
      <c r="Q470" s="43">
        <v>0</v>
      </c>
      <c r="R470" s="43">
        <v>0</v>
      </c>
      <c r="S470" s="43">
        <v>0</v>
      </c>
      <c r="T470" s="43">
        <v>0</v>
      </c>
      <c r="U470" s="19" t="s">
        <v>295</v>
      </c>
      <c r="V470" s="13">
        <f t="shared" si="65"/>
        <v>11664.93</v>
      </c>
      <c r="W470" s="13"/>
      <c r="X470" s="13"/>
      <c r="Y470" s="13"/>
      <c r="Z470" s="13"/>
      <c r="AA470" s="22">
        <v>45809</v>
      </c>
      <c r="AB470" s="22" cm="1">
        <f t="array" ref="AB4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70" s="4"/>
      <c r="AD470" s="4"/>
      <c r="AE470" s="2"/>
      <c r="AF470" s="3"/>
      <c r="AG470" s="3"/>
      <c r="AH470" s="3"/>
      <c r="AI470" s="3"/>
      <c r="AJ470" s="2">
        <f t="shared" si="66"/>
        <v>0</v>
      </c>
      <c r="AK470" s="2">
        <f t="shared" si="67"/>
        <v>0</v>
      </c>
      <c r="AL470" s="2">
        <f t="shared" si="64"/>
        <v>19.479999999999563</v>
      </c>
      <c r="AM470" s="88"/>
      <c r="AN470" s="157" t="s">
        <v>774</v>
      </c>
    </row>
    <row r="471" spans="2:40" ht="23.15" customHeight="1" thickBot="1">
      <c r="B471" s="87">
        <v>45870</v>
      </c>
      <c r="C471" s="2" t="s">
        <v>295</v>
      </c>
      <c r="D471" s="15" t="s">
        <v>15</v>
      </c>
      <c r="E471" s="20" t="s">
        <v>26</v>
      </c>
      <c r="F471" s="20" t="s">
        <v>70</v>
      </c>
      <c r="G471" s="11">
        <v>2</v>
      </c>
      <c r="H471" s="11">
        <v>2</v>
      </c>
      <c r="I471" s="18">
        <v>0</v>
      </c>
      <c r="J471" s="18">
        <v>0</v>
      </c>
      <c r="K471" s="19">
        <v>11684.41</v>
      </c>
      <c r="L471" s="41">
        <v>0</v>
      </c>
      <c r="M471" s="41">
        <v>0</v>
      </c>
      <c r="N471" s="41">
        <v>0</v>
      </c>
      <c r="O471" s="41">
        <v>0</v>
      </c>
      <c r="P471" s="41">
        <v>-38.96</v>
      </c>
      <c r="Q471" s="43">
        <v>0</v>
      </c>
      <c r="R471" s="43">
        <v>0</v>
      </c>
      <c r="S471" s="43">
        <v>0</v>
      </c>
      <c r="T471" s="43">
        <v>0</v>
      </c>
      <c r="U471" s="19" t="s">
        <v>295</v>
      </c>
      <c r="V471" s="13">
        <f t="shared" si="65"/>
        <v>11645.45</v>
      </c>
      <c r="W471" s="13"/>
      <c r="X471" s="13"/>
      <c r="Y471" s="13"/>
      <c r="Z471" s="13"/>
      <c r="AA471" s="22">
        <v>45839</v>
      </c>
      <c r="AB471" s="22" cm="1">
        <f t="array" ref="AB4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71" s="4"/>
      <c r="AD471" s="4"/>
      <c r="AE471" s="2"/>
      <c r="AF471" s="3"/>
      <c r="AG471" s="3"/>
      <c r="AH471" s="3"/>
      <c r="AI471" s="3"/>
      <c r="AJ471" s="2">
        <f t="shared" si="66"/>
        <v>0</v>
      </c>
      <c r="AK471" s="2">
        <f t="shared" si="67"/>
        <v>0</v>
      </c>
      <c r="AL471" s="2">
        <f t="shared" si="64"/>
        <v>38.959999999999127</v>
      </c>
      <c r="AM471" s="88"/>
      <c r="AN471" s="157" t="s">
        <v>774</v>
      </c>
    </row>
    <row r="472" spans="2:40" ht="23.15" customHeight="1" thickBot="1">
      <c r="B472" s="87">
        <v>45904</v>
      </c>
      <c r="C472" s="2" t="s">
        <v>295</v>
      </c>
      <c r="D472" s="15" t="s">
        <v>15</v>
      </c>
      <c r="E472" s="20" t="s">
        <v>28</v>
      </c>
      <c r="F472" s="20" t="s">
        <v>63</v>
      </c>
      <c r="G472" s="11">
        <v>4</v>
      </c>
      <c r="H472" s="11">
        <v>4.3</v>
      </c>
      <c r="I472" s="18">
        <v>0</v>
      </c>
      <c r="J472" s="18">
        <v>0</v>
      </c>
      <c r="K472" s="19">
        <v>30350.195893999997</v>
      </c>
      <c r="L472" s="41">
        <v>0</v>
      </c>
      <c r="M472" s="41">
        <v>0</v>
      </c>
      <c r="N472" s="41">
        <v>0</v>
      </c>
      <c r="O472" s="41">
        <v>0</v>
      </c>
      <c r="P472" s="41">
        <v>0</v>
      </c>
      <c r="Q472" s="43">
        <v>0</v>
      </c>
      <c r="R472" s="43">
        <v>0</v>
      </c>
      <c r="S472" s="43">
        <v>0</v>
      </c>
      <c r="T472" s="43">
        <v>0</v>
      </c>
      <c r="U472" s="19"/>
      <c r="V472" s="13">
        <f t="shared" si="65"/>
        <v>30350.195893999997</v>
      </c>
      <c r="W472" s="13"/>
      <c r="X472" s="13"/>
      <c r="Y472" s="13"/>
      <c r="Z472" s="13"/>
      <c r="AA472" s="22">
        <v>45870</v>
      </c>
      <c r="AB472" s="22" cm="1">
        <f t="array" ref="AB4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72" s="4"/>
      <c r="AD472" s="4"/>
      <c r="AE472" s="2"/>
      <c r="AF472" s="3"/>
      <c r="AG472" s="3"/>
      <c r="AH472" s="3"/>
      <c r="AI472" s="3"/>
      <c r="AJ472" s="2">
        <f t="shared" si="66"/>
        <v>0</v>
      </c>
      <c r="AK472" s="2">
        <f t="shared" si="67"/>
        <v>0</v>
      </c>
      <c r="AL472" s="2">
        <f t="shared" si="64"/>
        <v>0</v>
      </c>
      <c r="AM472" s="88"/>
      <c r="AN472" s="157" t="s">
        <v>774</v>
      </c>
    </row>
    <row r="473" spans="2:40" ht="23.15" customHeight="1" thickBot="1">
      <c r="B473" s="87">
        <v>45699</v>
      </c>
      <c r="C473" s="2" t="s">
        <v>295</v>
      </c>
      <c r="D473" s="15" t="s">
        <v>15</v>
      </c>
      <c r="E473" s="20" t="s">
        <v>32</v>
      </c>
      <c r="F473" s="20" t="s">
        <v>73</v>
      </c>
      <c r="G473" s="11">
        <v>4</v>
      </c>
      <c r="H473" s="18">
        <v>4</v>
      </c>
      <c r="I473" s="18">
        <v>0</v>
      </c>
      <c r="J473" s="18">
        <v>0</v>
      </c>
      <c r="K473" s="19">
        <v>22724.586043735679</v>
      </c>
      <c r="L473" s="41">
        <v>0</v>
      </c>
      <c r="M473" s="41">
        <v>0</v>
      </c>
      <c r="N473" s="41">
        <v>0</v>
      </c>
      <c r="O473" s="41">
        <v>0</v>
      </c>
      <c r="P473" s="41">
        <v>0</v>
      </c>
      <c r="Q473" s="43">
        <v>0</v>
      </c>
      <c r="R473" s="43">
        <v>0</v>
      </c>
      <c r="S473" s="43">
        <v>0</v>
      </c>
      <c r="T473" s="43">
        <v>0</v>
      </c>
      <c r="U473" s="19" t="s">
        <v>295</v>
      </c>
      <c r="V473" s="13">
        <f t="shared" si="65"/>
        <v>22724.586043735679</v>
      </c>
      <c r="W473" s="13"/>
      <c r="X473" s="13"/>
      <c r="Y473" s="13"/>
      <c r="Z473" s="13"/>
      <c r="AA473" s="22">
        <v>45658</v>
      </c>
      <c r="AB473" s="22" cm="1">
        <f t="array" ref="AB4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73" s="4"/>
      <c r="AD473" s="4"/>
      <c r="AE473" s="2"/>
      <c r="AF473" s="3"/>
      <c r="AG473" s="3"/>
      <c r="AH473" s="3"/>
      <c r="AI473" s="3"/>
      <c r="AJ473" s="2">
        <f t="shared" si="66"/>
        <v>0</v>
      </c>
      <c r="AK473" s="2">
        <f t="shared" si="67"/>
        <v>0</v>
      </c>
      <c r="AL473" s="2">
        <f t="shared" si="64"/>
        <v>0</v>
      </c>
      <c r="AM473" s="88"/>
      <c r="AN473" s="157" t="s">
        <v>774</v>
      </c>
    </row>
    <row r="474" spans="2:40" ht="23.15" customHeight="1" thickBot="1">
      <c r="B474" s="87">
        <v>45716</v>
      </c>
      <c r="C474" s="2" t="s">
        <v>295</v>
      </c>
      <c r="D474" s="15" t="s">
        <v>15</v>
      </c>
      <c r="E474" s="20" t="s">
        <v>32</v>
      </c>
      <c r="F474" s="20" t="s">
        <v>73</v>
      </c>
      <c r="G474" s="11">
        <v>4</v>
      </c>
      <c r="H474" s="11">
        <v>4</v>
      </c>
      <c r="I474" s="18">
        <v>0</v>
      </c>
      <c r="J474" s="18">
        <v>0</v>
      </c>
      <c r="K474" s="19">
        <v>22724.586043735679</v>
      </c>
      <c r="L474" s="41">
        <v>0</v>
      </c>
      <c r="M474" s="43">
        <v>0</v>
      </c>
      <c r="N474" s="41">
        <v>0</v>
      </c>
      <c r="O474" s="41">
        <v>0</v>
      </c>
      <c r="P474" s="41">
        <v>0</v>
      </c>
      <c r="Q474" s="43">
        <v>0</v>
      </c>
      <c r="R474" s="43">
        <v>0</v>
      </c>
      <c r="S474" s="43">
        <v>0</v>
      </c>
      <c r="T474" s="43">
        <v>0</v>
      </c>
      <c r="U474" s="19" t="s">
        <v>295</v>
      </c>
      <c r="V474" s="13">
        <f t="shared" si="65"/>
        <v>22724.586043735679</v>
      </c>
      <c r="W474" s="13"/>
      <c r="X474" s="13"/>
      <c r="Y474" s="13"/>
      <c r="Z474" s="13"/>
      <c r="AA474" s="22">
        <v>45689</v>
      </c>
      <c r="AB474" s="22" cm="1">
        <f t="array" ref="AB4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74" s="4"/>
      <c r="AD474" s="4"/>
      <c r="AE474" s="2"/>
      <c r="AF474" s="3"/>
      <c r="AG474" s="3"/>
      <c r="AH474" s="3"/>
      <c r="AI474" s="3"/>
      <c r="AJ474" s="2">
        <f t="shared" si="66"/>
        <v>0</v>
      </c>
      <c r="AK474" s="2">
        <f t="shared" si="67"/>
        <v>0</v>
      </c>
      <c r="AL474" s="2">
        <f t="shared" si="64"/>
        <v>0</v>
      </c>
      <c r="AM474" s="88"/>
      <c r="AN474" s="157" t="s">
        <v>774</v>
      </c>
    </row>
    <row r="475" spans="2:40" ht="23.15" customHeight="1" thickBot="1">
      <c r="B475" s="87">
        <v>45761</v>
      </c>
      <c r="C475" s="2" t="s">
        <v>295</v>
      </c>
      <c r="D475" s="15" t="s">
        <v>15</v>
      </c>
      <c r="E475" s="20" t="s">
        <v>32</v>
      </c>
      <c r="F475" s="20" t="s">
        <v>73</v>
      </c>
      <c r="G475" s="11">
        <v>4</v>
      </c>
      <c r="H475" s="18">
        <v>4</v>
      </c>
      <c r="I475" s="18">
        <v>0</v>
      </c>
      <c r="J475" s="18">
        <v>0</v>
      </c>
      <c r="K475" s="19">
        <v>22724.586043735679</v>
      </c>
      <c r="L475" s="41">
        <v>0</v>
      </c>
      <c r="M475" s="41">
        <v>0</v>
      </c>
      <c r="N475" s="41">
        <v>0</v>
      </c>
      <c r="O475" s="41">
        <v>0</v>
      </c>
      <c r="P475" s="41">
        <v>0</v>
      </c>
      <c r="Q475" s="41">
        <v>0</v>
      </c>
      <c r="R475" s="41">
        <v>0</v>
      </c>
      <c r="S475" s="41">
        <v>0</v>
      </c>
      <c r="T475" s="41">
        <v>0</v>
      </c>
      <c r="U475" s="19" t="s">
        <v>295</v>
      </c>
      <c r="V475" s="13">
        <f t="shared" si="65"/>
        <v>22724.586043735679</v>
      </c>
      <c r="W475" s="13"/>
      <c r="X475" s="13"/>
      <c r="Y475" s="13"/>
      <c r="Z475" s="13"/>
      <c r="AA475" s="22">
        <v>45717</v>
      </c>
      <c r="AB475" s="22" cm="1">
        <f t="array" ref="AB4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75" s="4"/>
      <c r="AD475" s="4"/>
      <c r="AE475" s="2"/>
      <c r="AF475" s="3"/>
      <c r="AG475" s="3"/>
      <c r="AH475" s="3"/>
      <c r="AI475" s="3"/>
      <c r="AJ475" s="2">
        <f t="shared" si="66"/>
        <v>0</v>
      </c>
      <c r="AK475" s="2">
        <f t="shared" si="67"/>
        <v>0</v>
      </c>
      <c r="AL475" s="2">
        <f t="shared" si="64"/>
        <v>0</v>
      </c>
      <c r="AM475" s="88"/>
      <c r="AN475" s="157" t="s">
        <v>774</v>
      </c>
    </row>
    <row r="476" spans="2:40" ht="23.15" customHeight="1" thickBot="1">
      <c r="B476" s="87"/>
      <c r="C476" s="2" t="s">
        <v>292</v>
      </c>
      <c r="D476" s="15" t="s">
        <v>15</v>
      </c>
      <c r="E476" s="20" t="s">
        <v>32</v>
      </c>
      <c r="F476" s="20" t="s">
        <v>73</v>
      </c>
      <c r="G476" s="11">
        <v>4</v>
      </c>
      <c r="H476" s="18">
        <v>4</v>
      </c>
      <c r="I476" s="18">
        <v>0</v>
      </c>
      <c r="J476" s="18">
        <v>0</v>
      </c>
      <c r="K476" s="19">
        <v>22724.586043735679</v>
      </c>
      <c r="L476" s="41">
        <v>0</v>
      </c>
      <c r="M476" s="43">
        <v>0</v>
      </c>
      <c r="N476" s="41">
        <v>0</v>
      </c>
      <c r="O476" s="41">
        <v>0</v>
      </c>
      <c r="P476" s="41">
        <v>0</v>
      </c>
      <c r="Q476" s="43">
        <v>0</v>
      </c>
      <c r="R476" s="43">
        <v>0</v>
      </c>
      <c r="S476" s="43">
        <v>0</v>
      </c>
      <c r="T476" s="43">
        <v>0</v>
      </c>
      <c r="U476" s="19"/>
      <c r="V476" s="13">
        <f t="shared" ref="V476:V507" si="68">IFERROR((K476+M476+R476+S476+T476+O476)+IF(U476="Sim",P476+Q476,0),(K476+R476+S476+T476)+IF(U476="Sim",P476+Q476,0))</f>
        <v>22724.586043735679</v>
      </c>
      <c r="W476" s="13"/>
      <c r="X476" s="13"/>
      <c r="Y476" s="13"/>
      <c r="Z476" s="13"/>
      <c r="AA476" s="22">
        <v>45748</v>
      </c>
      <c r="AB476" s="22" cm="1">
        <f t="array" ref="AB4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76" s="4"/>
      <c r="AD476" s="4"/>
      <c r="AE476" s="2"/>
      <c r="AF476" s="3"/>
      <c r="AG476" s="3"/>
      <c r="AH476" s="3"/>
      <c r="AI476" s="3"/>
      <c r="AJ476" s="2">
        <f t="shared" si="66"/>
        <v>0</v>
      </c>
      <c r="AK476" s="2">
        <f t="shared" si="67"/>
        <v>0</v>
      </c>
      <c r="AL476" s="2">
        <f t="shared" si="64"/>
        <v>0</v>
      </c>
      <c r="AM476" s="88"/>
      <c r="AN476" s="157" t="s">
        <v>774</v>
      </c>
    </row>
    <row r="477" spans="2:40" ht="23.15" customHeight="1" thickBot="1">
      <c r="B477" s="87">
        <v>45811</v>
      </c>
      <c r="C477" s="2" t="s">
        <v>295</v>
      </c>
      <c r="D477" s="15" t="s">
        <v>15</v>
      </c>
      <c r="E477" s="20" t="s">
        <v>32</v>
      </c>
      <c r="F477" s="20" t="s">
        <v>73</v>
      </c>
      <c r="G477" s="11">
        <v>4</v>
      </c>
      <c r="H477" s="18">
        <v>4</v>
      </c>
      <c r="I477" s="18">
        <v>0</v>
      </c>
      <c r="J477" s="18">
        <v>0</v>
      </c>
      <c r="K477" s="10">
        <v>22724.586043735679</v>
      </c>
      <c r="L477" s="41">
        <v>0</v>
      </c>
      <c r="M477" s="43">
        <v>0</v>
      </c>
      <c r="N477" s="41">
        <v>0</v>
      </c>
      <c r="O477" s="41">
        <v>0</v>
      </c>
      <c r="P477" s="41">
        <v>0</v>
      </c>
      <c r="Q477" s="43">
        <v>0</v>
      </c>
      <c r="R477" s="43">
        <v>0</v>
      </c>
      <c r="S477" s="43">
        <v>0</v>
      </c>
      <c r="T477" s="43">
        <v>0</v>
      </c>
      <c r="U477" s="19" t="s">
        <v>295</v>
      </c>
      <c r="V477" s="13">
        <f t="shared" si="68"/>
        <v>22724.586043735679</v>
      </c>
      <c r="W477" s="13"/>
      <c r="X477" s="13"/>
      <c r="Y477" s="13"/>
      <c r="Z477" s="13"/>
      <c r="AA477" s="22">
        <v>45778</v>
      </c>
      <c r="AB477" s="22" cm="1">
        <f t="array" ref="AB4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77" s="4"/>
      <c r="AD477" s="4"/>
      <c r="AE477" s="2"/>
      <c r="AF477" s="3"/>
      <c r="AG477" s="3"/>
      <c r="AH477" s="3"/>
      <c r="AI477" s="3"/>
      <c r="AJ477" s="2">
        <f t="shared" si="66"/>
        <v>0</v>
      </c>
      <c r="AK477" s="2">
        <f t="shared" si="67"/>
        <v>0</v>
      </c>
      <c r="AL477" s="2">
        <f t="shared" si="64"/>
        <v>0</v>
      </c>
      <c r="AM477" s="88"/>
      <c r="AN477" s="157" t="s">
        <v>774</v>
      </c>
    </row>
    <row r="478" spans="2:40" ht="23.15" customHeight="1" thickBot="1">
      <c r="B478" s="87">
        <v>45839</v>
      </c>
      <c r="C478" s="2" t="s">
        <v>295</v>
      </c>
      <c r="D478" s="15" t="s">
        <v>15</v>
      </c>
      <c r="E478" s="20" t="s">
        <v>32</v>
      </c>
      <c r="F478" s="20" t="s">
        <v>73</v>
      </c>
      <c r="G478" s="11">
        <v>4</v>
      </c>
      <c r="H478" s="11">
        <v>4</v>
      </c>
      <c r="I478" s="18">
        <v>0</v>
      </c>
      <c r="J478" s="18">
        <v>0</v>
      </c>
      <c r="K478" s="19">
        <v>22724.586043735679</v>
      </c>
      <c r="L478" s="41">
        <v>0</v>
      </c>
      <c r="M478" s="41">
        <v>0</v>
      </c>
      <c r="N478" s="41">
        <v>0</v>
      </c>
      <c r="O478" s="41">
        <v>0</v>
      </c>
      <c r="P478" s="41">
        <v>-37.869999999999997</v>
      </c>
      <c r="Q478" s="43">
        <v>0</v>
      </c>
      <c r="R478" s="43">
        <v>0</v>
      </c>
      <c r="S478" s="43">
        <v>0</v>
      </c>
      <c r="T478" s="41">
        <v>0</v>
      </c>
      <c r="U478" s="19" t="s">
        <v>295</v>
      </c>
      <c r="V478" s="13">
        <f t="shared" si="68"/>
        <v>22686.71604373568</v>
      </c>
      <c r="W478" s="13"/>
      <c r="X478" s="13"/>
      <c r="Y478" s="13"/>
      <c r="Z478" s="13"/>
      <c r="AA478" s="22">
        <v>45809</v>
      </c>
      <c r="AB478" s="22" cm="1">
        <f t="array" ref="AB4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78" s="4"/>
      <c r="AD478" s="4"/>
      <c r="AE478" s="2"/>
      <c r="AF478" s="3"/>
      <c r="AG478" s="3"/>
      <c r="AH478" s="3"/>
      <c r="AI478" s="3"/>
      <c r="AJ478" s="2">
        <f t="shared" si="66"/>
        <v>0</v>
      </c>
      <c r="AK478" s="2">
        <f t="shared" si="67"/>
        <v>0</v>
      </c>
      <c r="AL478" s="2">
        <f t="shared" si="64"/>
        <v>37.869999999998981</v>
      </c>
      <c r="AM478" s="88"/>
      <c r="AN478" s="157" t="s">
        <v>774</v>
      </c>
    </row>
    <row r="479" spans="2:40" ht="23.15" customHeight="1" thickBot="1">
      <c r="B479" s="87">
        <v>45873</v>
      </c>
      <c r="C479" s="2" t="s">
        <v>295</v>
      </c>
      <c r="D479" s="15" t="s">
        <v>15</v>
      </c>
      <c r="E479" s="20" t="s">
        <v>32</v>
      </c>
      <c r="F479" s="20" t="s">
        <v>73</v>
      </c>
      <c r="G479" s="11">
        <v>4</v>
      </c>
      <c r="H479" s="18">
        <v>4</v>
      </c>
      <c r="I479" s="18">
        <v>0</v>
      </c>
      <c r="J479" s="18">
        <v>0</v>
      </c>
      <c r="K479" s="19">
        <v>22724.586043735679</v>
      </c>
      <c r="L479" s="41">
        <v>0</v>
      </c>
      <c r="M479" s="41">
        <v>0</v>
      </c>
      <c r="N479" s="41">
        <v>0</v>
      </c>
      <c r="O479" s="41">
        <v>0</v>
      </c>
      <c r="P479" s="41">
        <v>-37.869999999999997</v>
      </c>
      <c r="Q479" s="43">
        <v>0</v>
      </c>
      <c r="R479" s="43">
        <v>0</v>
      </c>
      <c r="S479" s="43">
        <v>0</v>
      </c>
      <c r="T479" s="43">
        <v>0</v>
      </c>
      <c r="U479" s="19" t="s">
        <v>295</v>
      </c>
      <c r="V479" s="13">
        <f t="shared" si="68"/>
        <v>22686.71604373568</v>
      </c>
      <c r="W479" s="13"/>
      <c r="X479" s="13"/>
      <c r="Y479" s="13"/>
      <c r="Z479" s="13"/>
      <c r="AA479" s="22">
        <v>45839</v>
      </c>
      <c r="AB479" s="22" cm="1">
        <f t="array" ref="AB4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79" s="4"/>
      <c r="AD479" s="4"/>
      <c r="AE479" s="2"/>
      <c r="AF479" s="3"/>
      <c r="AG479" s="3"/>
      <c r="AH479" s="3"/>
      <c r="AI479" s="3"/>
      <c r="AJ479" s="2">
        <f t="shared" si="66"/>
        <v>0</v>
      </c>
      <c r="AK479" s="2">
        <f t="shared" si="67"/>
        <v>0</v>
      </c>
      <c r="AL479" s="2">
        <f t="shared" si="64"/>
        <v>37.869999999998981</v>
      </c>
      <c r="AM479" s="88"/>
      <c r="AN479" s="157" t="s">
        <v>774</v>
      </c>
    </row>
    <row r="480" spans="2:40" ht="23.15" customHeight="1" thickBot="1">
      <c r="B480" s="87">
        <v>45933</v>
      </c>
      <c r="C480" s="2" t="s">
        <v>295</v>
      </c>
      <c r="D480" s="15" t="s">
        <v>15</v>
      </c>
      <c r="E480" s="20" t="s">
        <v>28</v>
      </c>
      <c r="F480" s="20" t="s">
        <v>63</v>
      </c>
      <c r="G480" s="11">
        <v>4</v>
      </c>
      <c r="H480" s="18">
        <v>4.3</v>
      </c>
      <c r="I480" s="18">
        <v>0</v>
      </c>
      <c r="J480" s="18">
        <v>0</v>
      </c>
      <c r="K480" s="19">
        <v>30350.195893999997</v>
      </c>
      <c r="L480" s="41"/>
      <c r="M480" s="41">
        <v>0</v>
      </c>
      <c r="N480" s="41"/>
      <c r="O480" s="41">
        <v>0</v>
      </c>
      <c r="P480" s="41">
        <v>0</v>
      </c>
      <c r="Q480" s="43">
        <v>0</v>
      </c>
      <c r="R480" s="43">
        <v>0</v>
      </c>
      <c r="S480" s="43">
        <v>0</v>
      </c>
      <c r="T480" s="43">
        <v>0</v>
      </c>
      <c r="U480" s="19"/>
      <c r="V480" s="13">
        <f t="shared" si="68"/>
        <v>30350.195893999997</v>
      </c>
      <c r="W480" s="13"/>
      <c r="X480" s="13"/>
      <c r="Y480" s="13"/>
      <c r="Z480" s="13"/>
      <c r="AA480" s="22">
        <v>45901</v>
      </c>
      <c r="AB480" s="22" cm="1">
        <f t="array" ref="AB4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80" s="4"/>
      <c r="AD480" s="4"/>
      <c r="AE480" s="2"/>
      <c r="AF480" s="3"/>
      <c r="AG480" s="3"/>
      <c r="AH480" s="3"/>
      <c r="AI480" s="3"/>
      <c r="AJ480" s="2">
        <f t="shared" si="66"/>
        <v>0</v>
      </c>
      <c r="AK480" s="2">
        <f t="shared" si="67"/>
        <v>0</v>
      </c>
      <c r="AL480" s="2">
        <f t="shared" si="64"/>
        <v>0</v>
      </c>
      <c r="AM480" s="88"/>
      <c r="AN480" s="157" t="s">
        <v>774</v>
      </c>
    </row>
    <row r="481" spans="2:40" ht="23.15" customHeight="1" thickBot="1">
      <c r="B481" s="87">
        <v>45699</v>
      </c>
      <c r="C481" s="2" t="s">
        <v>295</v>
      </c>
      <c r="D481" s="15" t="s">
        <v>15</v>
      </c>
      <c r="E481" s="20" t="s">
        <v>31</v>
      </c>
      <c r="F481" s="20" t="s">
        <v>73</v>
      </c>
      <c r="G481" s="11">
        <v>6</v>
      </c>
      <c r="H481" s="11">
        <v>6</v>
      </c>
      <c r="I481" s="18">
        <v>0</v>
      </c>
      <c r="J481" s="18">
        <v>0</v>
      </c>
      <c r="K481" s="19">
        <v>24553.06</v>
      </c>
      <c r="L481" s="41">
        <v>0</v>
      </c>
      <c r="M481" s="41">
        <v>0</v>
      </c>
      <c r="N481" s="41">
        <v>0</v>
      </c>
      <c r="O481" s="41">
        <v>0</v>
      </c>
      <c r="P481" s="41">
        <v>0</v>
      </c>
      <c r="Q481" s="43">
        <v>0</v>
      </c>
      <c r="R481" s="43">
        <v>0</v>
      </c>
      <c r="S481" s="43">
        <v>0</v>
      </c>
      <c r="T481" s="43">
        <v>0</v>
      </c>
      <c r="U481" s="19" t="s">
        <v>295</v>
      </c>
      <c r="V481" s="13">
        <f t="shared" si="68"/>
        <v>24553.06</v>
      </c>
      <c r="W481" s="13"/>
      <c r="X481" s="13"/>
      <c r="Y481" s="13"/>
      <c r="Z481" s="13"/>
      <c r="AA481" s="22">
        <v>45658</v>
      </c>
      <c r="AB481" s="22" cm="1">
        <f t="array" ref="AB4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81" s="4"/>
      <c r="AD481" s="4"/>
      <c r="AE481" s="2"/>
      <c r="AF481" s="3"/>
      <c r="AG481" s="3"/>
      <c r="AH481" s="3"/>
      <c r="AI481" s="3"/>
      <c r="AJ481" s="2">
        <f t="shared" si="66"/>
        <v>0</v>
      </c>
      <c r="AK481" s="2">
        <f t="shared" si="67"/>
        <v>0</v>
      </c>
      <c r="AL481" s="2">
        <f t="shared" si="64"/>
        <v>0</v>
      </c>
      <c r="AM481" s="88"/>
      <c r="AN481" s="157" t="s">
        <v>774</v>
      </c>
    </row>
    <row r="482" spans="2:40" ht="23.15" customHeight="1" thickBot="1">
      <c r="B482" s="87"/>
      <c r="C482" s="2" t="s">
        <v>292</v>
      </c>
      <c r="D482" s="15" t="s">
        <v>15</v>
      </c>
      <c r="E482" s="20" t="s">
        <v>31</v>
      </c>
      <c r="F482" s="20" t="s">
        <v>73</v>
      </c>
      <c r="G482" s="11">
        <v>6</v>
      </c>
      <c r="H482" s="18">
        <v>6</v>
      </c>
      <c r="I482" s="18">
        <v>0</v>
      </c>
      <c r="J482" s="18">
        <v>0</v>
      </c>
      <c r="K482" s="19">
        <v>24553.06</v>
      </c>
      <c r="L482" s="41">
        <v>0</v>
      </c>
      <c r="M482" s="41">
        <v>0</v>
      </c>
      <c r="N482" s="41">
        <v>0</v>
      </c>
      <c r="O482" s="41">
        <v>0</v>
      </c>
      <c r="P482" s="41">
        <v>0</v>
      </c>
      <c r="Q482" s="43">
        <v>0</v>
      </c>
      <c r="R482" s="43">
        <v>0</v>
      </c>
      <c r="S482" s="43">
        <v>0</v>
      </c>
      <c r="T482" s="43">
        <v>0</v>
      </c>
      <c r="U482" s="19" t="s">
        <v>295</v>
      </c>
      <c r="V482" s="13">
        <f t="shared" si="68"/>
        <v>24553.06</v>
      </c>
      <c r="W482" s="13"/>
      <c r="X482" s="13"/>
      <c r="Y482" s="13"/>
      <c r="Z482" s="13"/>
      <c r="AA482" s="22">
        <v>45689</v>
      </c>
      <c r="AB482" s="22" cm="1">
        <f t="array" ref="AB4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82" s="4"/>
      <c r="AD482" s="4"/>
      <c r="AE482" s="2"/>
      <c r="AF482" s="3"/>
      <c r="AG482" s="3"/>
      <c r="AH482" s="3"/>
      <c r="AI482" s="3"/>
      <c r="AJ482" s="2">
        <f t="shared" si="66"/>
        <v>0</v>
      </c>
      <c r="AK482" s="2">
        <f t="shared" si="67"/>
        <v>0</v>
      </c>
      <c r="AL482" s="2">
        <f t="shared" si="64"/>
        <v>0</v>
      </c>
      <c r="AM482" s="88"/>
      <c r="AN482" s="157" t="s">
        <v>774</v>
      </c>
    </row>
    <row r="483" spans="2:40" ht="23.15" customHeight="1" thickBot="1">
      <c r="B483" s="87">
        <v>45761</v>
      </c>
      <c r="C483" s="2" t="s">
        <v>295</v>
      </c>
      <c r="D483" s="15" t="s">
        <v>15</v>
      </c>
      <c r="E483" s="20" t="s">
        <v>31</v>
      </c>
      <c r="F483" s="20" t="s">
        <v>73</v>
      </c>
      <c r="G483" s="11">
        <v>6</v>
      </c>
      <c r="H483" s="18">
        <v>6</v>
      </c>
      <c r="I483" s="18">
        <v>0</v>
      </c>
      <c r="J483" s="18">
        <v>0</v>
      </c>
      <c r="K483" s="19">
        <v>24553.06</v>
      </c>
      <c r="L483" s="41">
        <v>0</v>
      </c>
      <c r="M483" s="41">
        <v>0</v>
      </c>
      <c r="N483" s="41">
        <v>0</v>
      </c>
      <c r="O483" s="41">
        <v>0</v>
      </c>
      <c r="P483" s="41">
        <v>0</v>
      </c>
      <c r="Q483" s="43">
        <v>0</v>
      </c>
      <c r="R483" s="43">
        <v>0</v>
      </c>
      <c r="S483" s="43">
        <v>0</v>
      </c>
      <c r="T483" s="43">
        <v>0</v>
      </c>
      <c r="U483" s="19" t="s">
        <v>295</v>
      </c>
      <c r="V483" s="13">
        <f t="shared" si="68"/>
        <v>24553.06</v>
      </c>
      <c r="W483" s="13"/>
      <c r="X483" s="13"/>
      <c r="Y483" s="13"/>
      <c r="Z483" s="13"/>
      <c r="AA483" s="22">
        <v>45717</v>
      </c>
      <c r="AB483" s="22" cm="1">
        <f t="array" ref="AB4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83" s="4"/>
      <c r="AD483" s="4"/>
      <c r="AE483" s="2"/>
      <c r="AF483" s="3"/>
      <c r="AG483" s="3"/>
      <c r="AH483" s="3"/>
      <c r="AI483" s="3"/>
      <c r="AJ483" s="2">
        <f t="shared" si="66"/>
        <v>0</v>
      </c>
      <c r="AK483" s="2">
        <f t="shared" si="67"/>
        <v>0</v>
      </c>
      <c r="AL483" s="2">
        <f t="shared" si="64"/>
        <v>0</v>
      </c>
      <c r="AM483" s="88"/>
      <c r="AN483" s="157" t="s">
        <v>774</v>
      </c>
    </row>
    <row r="484" spans="2:40" ht="23.15" customHeight="1" thickBot="1">
      <c r="B484" s="87"/>
      <c r="C484" s="2" t="s">
        <v>292</v>
      </c>
      <c r="D484" s="15" t="s">
        <v>15</v>
      </c>
      <c r="E484" s="20" t="s">
        <v>31</v>
      </c>
      <c r="F484" s="20" t="s">
        <v>73</v>
      </c>
      <c r="G484" s="11">
        <v>6</v>
      </c>
      <c r="H484" s="11">
        <v>6</v>
      </c>
      <c r="I484" s="18">
        <v>0</v>
      </c>
      <c r="J484" s="18">
        <v>0</v>
      </c>
      <c r="K484" s="19">
        <v>24553.06</v>
      </c>
      <c r="L484" s="41">
        <v>0</v>
      </c>
      <c r="M484" s="41">
        <v>0</v>
      </c>
      <c r="N484" s="41">
        <v>0</v>
      </c>
      <c r="O484" s="41">
        <v>0</v>
      </c>
      <c r="P484" s="41">
        <v>0</v>
      </c>
      <c r="Q484" s="41">
        <v>0</v>
      </c>
      <c r="R484" s="41">
        <v>0</v>
      </c>
      <c r="S484" s="41">
        <v>0</v>
      </c>
      <c r="T484" s="41">
        <v>0</v>
      </c>
      <c r="U484" s="19"/>
      <c r="V484" s="13">
        <f t="shared" si="68"/>
        <v>24553.06</v>
      </c>
      <c r="W484" s="13"/>
      <c r="X484" s="13"/>
      <c r="Y484" s="13"/>
      <c r="Z484" s="13"/>
      <c r="AA484" s="22">
        <v>45748</v>
      </c>
      <c r="AB484" s="22" cm="1">
        <f t="array" ref="AB4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84" s="4"/>
      <c r="AD484" s="4"/>
      <c r="AE484" s="2"/>
      <c r="AF484" s="3"/>
      <c r="AG484" s="3"/>
      <c r="AH484" s="3"/>
      <c r="AI484" s="3"/>
      <c r="AJ484" s="2">
        <f t="shared" si="66"/>
        <v>0</v>
      </c>
      <c r="AK484" s="2">
        <f t="shared" si="67"/>
        <v>0</v>
      </c>
      <c r="AL484" s="2">
        <f t="shared" si="64"/>
        <v>0</v>
      </c>
      <c r="AM484" s="88"/>
      <c r="AN484" s="157" t="s">
        <v>774</v>
      </c>
    </row>
    <row r="485" spans="2:40" ht="23.15" customHeight="1" thickBot="1">
      <c r="B485" s="87"/>
      <c r="C485" s="2" t="s">
        <v>295</v>
      </c>
      <c r="D485" s="15" t="s">
        <v>15</v>
      </c>
      <c r="E485" s="20" t="s">
        <v>28</v>
      </c>
      <c r="F485" s="20" t="s">
        <v>36</v>
      </c>
      <c r="G485" s="11">
        <v>4</v>
      </c>
      <c r="H485" s="11">
        <v>4</v>
      </c>
      <c r="I485" s="18" t="s">
        <v>294</v>
      </c>
      <c r="J485" s="18" t="s">
        <v>294</v>
      </c>
      <c r="K485" s="10">
        <v>25554.05</v>
      </c>
      <c r="L485" s="41">
        <v>0</v>
      </c>
      <c r="M485" s="41" t="s">
        <v>294</v>
      </c>
      <c r="N485" s="41">
        <v>0</v>
      </c>
      <c r="O485" s="41" t="s">
        <v>294</v>
      </c>
      <c r="P485" s="41">
        <v>-42.41</v>
      </c>
      <c r="Q485" s="43">
        <v>0</v>
      </c>
      <c r="R485" s="43">
        <v>0</v>
      </c>
      <c r="S485" s="43">
        <v>0</v>
      </c>
      <c r="T485" s="43">
        <v>0</v>
      </c>
      <c r="U485" s="19" t="s">
        <v>295</v>
      </c>
      <c r="V485" s="13">
        <f t="shared" si="68"/>
        <v>25511.64</v>
      </c>
      <c r="W485" s="13"/>
      <c r="X485" s="13"/>
      <c r="Y485" s="13"/>
      <c r="Z485" s="13"/>
      <c r="AA485" s="22">
        <v>45658</v>
      </c>
      <c r="AB485" s="22" cm="1">
        <f t="array" ref="AB4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85" s="4"/>
      <c r="AD485" s="4"/>
      <c r="AE485" s="2"/>
      <c r="AF485" s="3"/>
      <c r="AG485" s="3"/>
      <c r="AH485" s="3"/>
      <c r="AI485" s="3"/>
      <c r="AJ485" s="2">
        <f t="shared" si="66"/>
        <v>0</v>
      </c>
      <c r="AK485" s="2">
        <f t="shared" si="67"/>
        <v>0</v>
      </c>
      <c r="AL485" s="2">
        <f t="shared" si="64"/>
        <v>42.409999999999854</v>
      </c>
      <c r="AM485" s="88"/>
      <c r="AN485" s="157" t="s">
        <v>774</v>
      </c>
    </row>
    <row r="486" spans="2:40" ht="23.15" customHeight="1" thickBot="1">
      <c r="B486" s="87">
        <v>45811</v>
      </c>
      <c r="C486" s="2" t="s">
        <v>295</v>
      </c>
      <c r="D486" s="15" t="s">
        <v>15</v>
      </c>
      <c r="E486" s="20" t="s">
        <v>31</v>
      </c>
      <c r="F486" s="20" t="s">
        <v>73</v>
      </c>
      <c r="G486" s="11">
        <v>6</v>
      </c>
      <c r="H486" s="11">
        <v>6</v>
      </c>
      <c r="I486" s="18">
        <v>0</v>
      </c>
      <c r="J486" s="18">
        <v>0</v>
      </c>
      <c r="K486" s="19">
        <v>26379.93158870536</v>
      </c>
      <c r="L486" s="41">
        <v>0</v>
      </c>
      <c r="M486" s="41">
        <v>0</v>
      </c>
      <c r="N486" s="41">
        <v>0</v>
      </c>
      <c r="O486" s="41">
        <v>0</v>
      </c>
      <c r="P486" s="41">
        <v>0</v>
      </c>
      <c r="Q486" s="43">
        <v>0</v>
      </c>
      <c r="R486" s="43">
        <v>0</v>
      </c>
      <c r="S486" s="43">
        <v>0</v>
      </c>
      <c r="T486" s="43">
        <v>0</v>
      </c>
      <c r="U486" s="19" t="s">
        <v>295</v>
      </c>
      <c r="V486" s="13">
        <f t="shared" si="68"/>
        <v>26379.93158870536</v>
      </c>
      <c r="W486" s="13"/>
      <c r="X486" s="13"/>
      <c r="Y486" s="13">
        <v>1820.7822796408436</v>
      </c>
      <c r="Z486" s="13" t="s">
        <v>302</v>
      </c>
      <c r="AA486" s="22">
        <v>45778</v>
      </c>
      <c r="AB486" s="22" cm="1">
        <f t="array" ref="AB4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86" s="4"/>
      <c r="AD486" s="4"/>
      <c r="AE486" s="2"/>
      <c r="AF486" s="3"/>
      <c r="AG486" s="3"/>
      <c r="AH486" s="3"/>
      <c r="AI486" s="3"/>
      <c r="AJ486" s="2">
        <f t="shared" si="66"/>
        <v>0</v>
      </c>
      <c r="AK486" s="2">
        <f t="shared" si="67"/>
        <v>0</v>
      </c>
      <c r="AL486" s="2">
        <f>K487-V486</f>
        <v>0</v>
      </c>
      <c r="AM486" s="88"/>
      <c r="AN486" s="157" t="s">
        <v>774</v>
      </c>
    </row>
    <row r="487" spans="2:40" ht="23.15" customHeight="1" thickBot="1">
      <c r="B487" s="87">
        <v>45839</v>
      </c>
      <c r="C487" s="2" t="s">
        <v>295</v>
      </c>
      <c r="D487" s="15" t="s">
        <v>15</v>
      </c>
      <c r="E487" s="20" t="s">
        <v>31</v>
      </c>
      <c r="F487" s="20" t="s">
        <v>73</v>
      </c>
      <c r="G487" s="11">
        <v>6</v>
      </c>
      <c r="H487" s="11">
        <v>6</v>
      </c>
      <c r="I487" s="18">
        <v>0</v>
      </c>
      <c r="J487" s="18">
        <v>0</v>
      </c>
      <c r="K487" s="19">
        <v>26379.93158870536</v>
      </c>
      <c r="L487" s="41">
        <v>0</v>
      </c>
      <c r="M487" s="41">
        <v>0</v>
      </c>
      <c r="N487" s="41">
        <v>0</v>
      </c>
      <c r="O487" s="41">
        <v>0</v>
      </c>
      <c r="P487" s="41">
        <f>-43.97</f>
        <v>-43.97</v>
      </c>
      <c r="Q487" s="43">
        <v>0</v>
      </c>
      <c r="R487" s="43">
        <v>0</v>
      </c>
      <c r="S487" s="43">
        <v>0</v>
      </c>
      <c r="T487" s="43">
        <v>0</v>
      </c>
      <c r="U487" s="19" t="s">
        <v>295</v>
      </c>
      <c r="V487" s="13">
        <f t="shared" si="68"/>
        <v>26335.961588705359</v>
      </c>
      <c r="W487" s="13"/>
      <c r="X487" s="13"/>
      <c r="Y487" s="13"/>
      <c r="Z487" s="13"/>
      <c r="AA487" s="22">
        <v>45809</v>
      </c>
      <c r="AB487" s="22" cm="1">
        <f t="array" ref="AB4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87" s="4"/>
      <c r="AD487" s="4"/>
      <c r="AE487" s="2"/>
      <c r="AF487" s="3"/>
      <c r="AG487" s="3"/>
      <c r="AH487" s="3"/>
      <c r="AI487" s="3"/>
      <c r="AJ487" s="2">
        <f t="shared" si="66"/>
        <v>0</v>
      </c>
      <c r="AK487" s="2">
        <f t="shared" si="67"/>
        <v>0</v>
      </c>
      <c r="AL487" s="2" t="e">
        <f>#REF!-V487</f>
        <v>#REF!</v>
      </c>
      <c r="AM487" s="88"/>
      <c r="AN487" s="157" t="s">
        <v>774</v>
      </c>
    </row>
    <row r="488" spans="2:40" ht="23.15" customHeight="1" thickBot="1">
      <c r="B488" s="87">
        <v>45873</v>
      </c>
      <c r="C488" s="2" t="s">
        <v>295</v>
      </c>
      <c r="D488" s="15" t="s">
        <v>15</v>
      </c>
      <c r="E488" s="20" t="s">
        <v>31</v>
      </c>
      <c r="F488" s="20" t="s">
        <v>73</v>
      </c>
      <c r="G488" s="11">
        <v>6</v>
      </c>
      <c r="H488" s="11">
        <v>6</v>
      </c>
      <c r="I488" s="18">
        <v>0</v>
      </c>
      <c r="J488" s="18">
        <v>0</v>
      </c>
      <c r="K488" s="19">
        <v>26379.93158870536</v>
      </c>
      <c r="L488" s="41">
        <v>0</v>
      </c>
      <c r="M488" s="41">
        <v>0</v>
      </c>
      <c r="N488" s="41">
        <v>0</v>
      </c>
      <c r="O488" s="41">
        <v>0</v>
      </c>
      <c r="P488" s="41">
        <v>-43.97</v>
      </c>
      <c r="Q488" s="41">
        <v>0</v>
      </c>
      <c r="R488" s="41">
        <v>0</v>
      </c>
      <c r="S488" s="41">
        <v>0</v>
      </c>
      <c r="T488" s="41">
        <v>0</v>
      </c>
      <c r="U488" s="19" t="s">
        <v>295</v>
      </c>
      <c r="V488" s="13">
        <f t="shared" si="68"/>
        <v>26335.961588705359</v>
      </c>
      <c r="W488" s="13"/>
      <c r="X488" s="13"/>
      <c r="Y488" s="13"/>
      <c r="Z488" s="13"/>
      <c r="AA488" s="22">
        <v>45839</v>
      </c>
      <c r="AB488" s="22" cm="1">
        <f t="array" ref="AB4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88" s="4"/>
      <c r="AD488" s="4"/>
      <c r="AE488" s="2"/>
      <c r="AF488" s="3"/>
      <c r="AG488" s="3"/>
      <c r="AH488" s="3"/>
      <c r="AI488" s="3"/>
      <c r="AJ488" s="2">
        <f t="shared" si="66"/>
        <v>0</v>
      </c>
      <c r="AK488" s="2">
        <f t="shared" si="67"/>
        <v>0</v>
      </c>
      <c r="AL488" s="2">
        <f t="shared" ref="AL488:AL551" si="69">K488-V488</f>
        <v>43.970000000001164</v>
      </c>
      <c r="AM488" s="88"/>
      <c r="AN488" s="157" t="s">
        <v>774</v>
      </c>
    </row>
    <row r="489" spans="2:40" ht="23.15" customHeight="1" thickBot="1">
      <c r="B489" s="87"/>
      <c r="C489" s="2" t="s">
        <v>292</v>
      </c>
      <c r="D489" s="15" t="s">
        <v>15</v>
      </c>
      <c r="E489" s="20" t="s">
        <v>28</v>
      </c>
      <c r="F489" s="20" t="s">
        <v>63</v>
      </c>
      <c r="G489" s="11">
        <v>4</v>
      </c>
      <c r="H489" s="18"/>
      <c r="I489" s="18" t="s">
        <v>294</v>
      </c>
      <c r="J489" s="18" t="s">
        <v>294</v>
      </c>
      <c r="K489" s="19">
        <v>30350.2</v>
      </c>
      <c r="L489" s="41"/>
      <c r="M489" s="41" t="s">
        <v>294</v>
      </c>
      <c r="N489" s="41"/>
      <c r="O489" s="41" t="s">
        <v>294</v>
      </c>
      <c r="P489" s="41" t="s">
        <v>301</v>
      </c>
      <c r="Q489" s="41"/>
      <c r="R489" s="41"/>
      <c r="S489" s="41"/>
      <c r="T489" s="41"/>
      <c r="U489" s="19"/>
      <c r="V489" s="13">
        <f t="shared" si="68"/>
        <v>30350.2</v>
      </c>
      <c r="W489" s="13"/>
      <c r="X489" s="13"/>
      <c r="Y489" s="13"/>
      <c r="Z489" s="13"/>
      <c r="AA489" s="22">
        <v>45931</v>
      </c>
      <c r="AB489" s="22" cm="1">
        <f t="array" ref="AB4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89" s="4"/>
      <c r="AD489" s="4"/>
      <c r="AE489" s="2"/>
      <c r="AF489" s="3"/>
      <c r="AG489" s="3"/>
      <c r="AH489" s="3"/>
      <c r="AI489" s="3"/>
      <c r="AJ489" s="2">
        <f t="shared" si="66"/>
        <v>0</v>
      </c>
      <c r="AK489" s="2">
        <f t="shared" si="67"/>
        <v>0</v>
      </c>
      <c r="AL489" s="2">
        <f t="shared" si="69"/>
        <v>0</v>
      </c>
      <c r="AM489" s="88"/>
      <c r="AN489" s="157" t="s">
        <v>774</v>
      </c>
    </row>
    <row r="490" spans="2:40" ht="23.15" customHeight="1" thickBot="1">
      <c r="B490" s="87">
        <v>45727</v>
      </c>
      <c r="C490" s="2" t="s">
        <v>295</v>
      </c>
      <c r="D490" s="15" t="s">
        <v>15</v>
      </c>
      <c r="E490" s="20" t="s">
        <v>28</v>
      </c>
      <c r="F490" s="20" t="s">
        <v>63</v>
      </c>
      <c r="G490" s="11">
        <v>4</v>
      </c>
      <c r="H490" s="18">
        <v>4.3</v>
      </c>
      <c r="I490" s="18">
        <v>0</v>
      </c>
      <c r="J490" s="18">
        <v>0</v>
      </c>
      <c r="K490" s="19">
        <v>28844.171475600004</v>
      </c>
      <c r="L490" s="41">
        <v>0</v>
      </c>
      <c r="M490" s="41">
        <v>0</v>
      </c>
      <c r="N490" s="41">
        <v>0</v>
      </c>
      <c r="O490" s="41">
        <v>0</v>
      </c>
      <c r="P490" s="41">
        <v>-48.07</v>
      </c>
      <c r="Q490" s="41">
        <v>0</v>
      </c>
      <c r="R490" s="43">
        <v>0</v>
      </c>
      <c r="S490" s="41">
        <v>0</v>
      </c>
      <c r="T490" s="41">
        <v>0</v>
      </c>
      <c r="U490" s="19" t="s">
        <v>295</v>
      </c>
      <c r="V490" s="13">
        <f t="shared" si="68"/>
        <v>28796.101475600004</v>
      </c>
      <c r="W490" s="13"/>
      <c r="X490" s="13"/>
      <c r="Y490" s="13"/>
      <c r="Z490" s="13"/>
      <c r="AA490" s="22">
        <v>45689</v>
      </c>
      <c r="AB490" s="22" cm="1">
        <f t="array" ref="AB4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90" s="4"/>
      <c r="AD490" s="4"/>
      <c r="AE490" s="2"/>
      <c r="AF490" s="3"/>
      <c r="AG490" s="3"/>
      <c r="AH490" s="3"/>
      <c r="AI490" s="3"/>
      <c r="AJ490" s="2">
        <f t="shared" si="66"/>
        <v>0</v>
      </c>
      <c r="AK490" s="2">
        <f t="shared" si="67"/>
        <v>0</v>
      </c>
      <c r="AL490" s="2">
        <f t="shared" si="69"/>
        <v>48.069999999999709</v>
      </c>
      <c r="AM490" s="88"/>
      <c r="AN490" s="157" t="s">
        <v>774</v>
      </c>
    </row>
    <row r="491" spans="2:40" ht="23.15" customHeight="1" thickBot="1">
      <c r="B491" s="87">
        <v>45758</v>
      </c>
      <c r="C491" s="2" t="s">
        <v>295</v>
      </c>
      <c r="D491" s="15" t="s">
        <v>15</v>
      </c>
      <c r="E491" s="20" t="s">
        <v>28</v>
      </c>
      <c r="F491" s="20" t="s">
        <v>63</v>
      </c>
      <c r="G491" s="11">
        <v>4</v>
      </c>
      <c r="H491" s="11">
        <v>4.3</v>
      </c>
      <c r="I491" s="18">
        <v>0</v>
      </c>
      <c r="J491" s="18">
        <v>0</v>
      </c>
      <c r="K491" s="19">
        <v>28844.171475600004</v>
      </c>
      <c r="L491" s="41">
        <v>0</v>
      </c>
      <c r="M491" s="41">
        <v>0</v>
      </c>
      <c r="N491" s="41">
        <v>0</v>
      </c>
      <c r="O491" s="41">
        <v>0</v>
      </c>
      <c r="P491" s="41">
        <v>-48.07</v>
      </c>
      <c r="Q491" s="41">
        <v>0</v>
      </c>
      <c r="R491" s="41">
        <v>0</v>
      </c>
      <c r="S491" s="41">
        <v>0</v>
      </c>
      <c r="T491" s="41">
        <v>0</v>
      </c>
      <c r="U491" s="19" t="s">
        <v>295</v>
      </c>
      <c r="V491" s="13">
        <f t="shared" si="68"/>
        <v>28796.101475600004</v>
      </c>
      <c r="W491" s="13"/>
      <c r="X491" s="13"/>
      <c r="Y491" s="13"/>
      <c r="Z491" s="13"/>
      <c r="AA491" s="22">
        <v>45717</v>
      </c>
      <c r="AB491" s="22" cm="1">
        <f t="array" ref="AB4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91" s="4"/>
      <c r="AD491" s="4"/>
      <c r="AE491" s="2"/>
      <c r="AF491" s="3"/>
      <c r="AG491" s="3"/>
      <c r="AH491" s="3"/>
      <c r="AI491" s="3"/>
      <c r="AJ491" s="2">
        <f t="shared" si="66"/>
        <v>0</v>
      </c>
      <c r="AK491" s="2">
        <f t="shared" si="67"/>
        <v>0</v>
      </c>
      <c r="AL491" s="2">
        <f t="shared" si="69"/>
        <v>48.069999999999709</v>
      </c>
      <c r="AM491" s="88"/>
      <c r="AN491" s="157" t="s">
        <v>774</v>
      </c>
    </row>
    <row r="492" spans="2:40" ht="23.15" customHeight="1" thickBot="1">
      <c r="B492" s="87">
        <v>45789</v>
      </c>
      <c r="C492" s="2" t="s">
        <v>295</v>
      </c>
      <c r="D492" s="15" t="s">
        <v>15</v>
      </c>
      <c r="E492" s="20" t="s">
        <v>28</v>
      </c>
      <c r="F492" s="20" t="s">
        <v>63</v>
      </c>
      <c r="G492" s="11">
        <v>4</v>
      </c>
      <c r="H492" s="18">
        <v>4.3</v>
      </c>
      <c r="I492" s="18">
        <v>0</v>
      </c>
      <c r="J492" s="18">
        <v>0</v>
      </c>
      <c r="K492" s="19">
        <v>28844.171475600004</v>
      </c>
      <c r="L492" s="41">
        <v>0</v>
      </c>
      <c r="M492" s="41">
        <v>0</v>
      </c>
      <c r="N492" s="41">
        <v>0</v>
      </c>
      <c r="O492" s="41">
        <v>0</v>
      </c>
      <c r="P492" s="41">
        <v>-48.07</v>
      </c>
      <c r="Q492" s="41">
        <v>0</v>
      </c>
      <c r="R492" s="41">
        <v>0</v>
      </c>
      <c r="S492" s="41">
        <v>0</v>
      </c>
      <c r="T492" s="41">
        <v>0</v>
      </c>
      <c r="U492" s="19" t="s">
        <v>295</v>
      </c>
      <c r="V492" s="13">
        <f t="shared" si="68"/>
        <v>28796.101475600004</v>
      </c>
      <c r="W492" s="13"/>
      <c r="X492" s="13"/>
      <c r="Y492" s="13"/>
      <c r="Z492" s="13"/>
      <c r="AA492" s="22">
        <v>45748</v>
      </c>
      <c r="AB492" s="22" cm="1">
        <f t="array" ref="AB4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92" s="4"/>
      <c r="AD492" s="4"/>
      <c r="AE492" s="2"/>
      <c r="AF492" s="3"/>
      <c r="AG492" s="3"/>
      <c r="AH492" s="3"/>
      <c r="AI492" s="3"/>
      <c r="AJ492" s="2">
        <f t="shared" si="66"/>
        <v>0</v>
      </c>
      <c r="AK492" s="2">
        <f t="shared" si="67"/>
        <v>0</v>
      </c>
      <c r="AL492" s="2">
        <f t="shared" si="69"/>
        <v>48.069999999999709</v>
      </c>
      <c r="AM492" s="88"/>
      <c r="AN492" s="157" t="s">
        <v>774</v>
      </c>
    </row>
    <row r="493" spans="2:40" ht="23.15" customHeight="1" thickBot="1">
      <c r="B493" s="87">
        <v>45820</v>
      </c>
      <c r="C493" s="2" t="s">
        <v>295</v>
      </c>
      <c r="D493" s="15" t="s">
        <v>15</v>
      </c>
      <c r="E493" s="20" t="s">
        <v>28</v>
      </c>
      <c r="F493" s="20" t="s">
        <v>63</v>
      </c>
      <c r="G493" s="11">
        <v>4</v>
      </c>
      <c r="H493" s="18">
        <v>4.3</v>
      </c>
      <c r="I493" s="18">
        <v>0</v>
      </c>
      <c r="J493" s="18">
        <v>0</v>
      </c>
      <c r="K493" s="19">
        <v>28844.171475600004</v>
      </c>
      <c r="L493" s="41">
        <v>0</v>
      </c>
      <c r="M493" s="41">
        <v>0</v>
      </c>
      <c r="N493" s="41">
        <v>0</v>
      </c>
      <c r="O493" s="41">
        <v>0</v>
      </c>
      <c r="P493" s="41">
        <v>-48.07</v>
      </c>
      <c r="Q493" s="41">
        <v>0</v>
      </c>
      <c r="R493" s="41">
        <v>0</v>
      </c>
      <c r="S493" s="41">
        <v>0</v>
      </c>
      <c r="T493" s="41">
        <v>0</v>
      </c>
      <c r="U493" s="19" t="s">
        <v>295</v>
      </c>
      <c r="V493" s="13">
        <f t="shared" si="68"/>
        <v>28796.101475600004</v>
      </c>
      <c r="W493" s="13"/>
      <c r="X493" s="13"/>
      <c r="Y493" s="13"/>
      <c r="Z493" s="13"/>
      <c r="AA493" s="22">
        <v>45778</v>
      </c>
      <c r="AB493" s="22" cm="1">
        <f t="array" ref="AB4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93" s="4"/>
      <c r="AD493" s="4"/>
      <c r="AE493" s="2"/>
      <c r="AF493" s="3"/>
      <c r="AG493" s="3"/>
      <c r="AH493" s="3"/>
      <c r="AI493" s="3"/>
      <c r="AJ493" s="2">
        <f t="shared" si="66"/>
        <v>0</v>
      </c>
      <c r="AK493" s="2">
        <f t="shared" si="67"/>
        <v>0</v>
      </c>
      <c r="AL493" s="2">
        <f t="shared" si="69"/>
        <v>48.069999999999709</v>
      </c>
      <c r="AM493" s="88"/>
      <c r="AN493" s="157" t="s">
        <v>774</v>
      </c>
    </row>
    <row r="494" spans="2:40" ht="23.15" customHeight="1" thickBot="1">
      <c r="B494" s="87">
        <v>45842</v>
      </c>
      <c r="C494" s="2" t="s">
        <v>295</v>
      </c>
      <c r="D494" s="15" t="s">
        <v>15</v>
      </c>
      <c r="E494" s="20" t="s">
        <v>28</v>
      </c>
      <c r="F494" s="20" t="s">
        <v>63</v>
      </c>
      <c r="G494" s="11">
        <v>4</v>
      </c>
      <c r="H494" s="11">
        <v>4.3</v>
      </c>
      <c r="I494" s="18">
        <v>0</v>
      </c>
      <c r="J494" s="18">
        <v>0</v>
      </c>
      <c r="K494" s="19">
        <v>30350.195893999997</v>
      </c>
      <c r="L494" s="41">
        <v>0</v>
      </c>
      <c r="M494" s="41">
        <v>0</v>
      </c>
      <c r="N494" s="41">
        <v>0</v>
      </c>
      <c r="O494" s="41">
        <v>0</v>
      </c>
      <c r="P494" s="41">
        <f>-48.07</f>
        <v>-48.07</v>
      </c>
      <c r="Q494" s="43">
        <v>0</v>
      </c>
      <c r="R494" s="43">
        <v>0</v>
      </c>
      <c r="S494" s="43">
        <v>0</v>
      </c>
      <c r="T494" s="43">
        <v>0</v>
      </c>
      <c r="U494" s="19" t="s">
        <v>295</v>
      </c>
      <c r="V494" s="13">
        <f t="shared" si="68"/>
        <v>30302.125893999997</v>
      </c>
      <c r="W494" s="13"/>
      <c r="X494" s="13"/>
      <c r="Y494" s="13"/>
      <c r="Z494" s="13"/>
      <c r="AA494" s="22">
        <v>45809</v>
      </c>
      <c r="AB494" s="22" cm="1">
        <f t="array" ref="AB4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94" s="4"/>
      <c r="AD494" s="4"/>
      <c r="AE494" s="2"/>
      <c r="AF494" s="3"/>
      <c r="AG494" s="3"/>
      <c r="AH494" s="3"/>
      <c r="AI494" s="3"/>
      <c r="AJ494" s="2">
        <f t="shared" si="66"/>
        <v>0</v>
      </c>
      <c r="AK494" s="2">
        <f t="shared" si="67"/>
        <v>0</v>
      </c>
      <c r="AL494" s="2">
        <f t="shared" si="69"/>
        <v>48.069999999999709</v>
      </c>
      <c r="AM494" s="88"/>
      <c r="AN494" s="157" t="s">
        <v>774</v>
      </c>
    </row>
    <row r="495" spans="2:40" ht="23.15" customHeight="1" thickBot="1">
      <c r="B495" s="87">
        <v>45888</v>
      </c>
      <c r="C495" s="2" t="s">
        <v>295</v>
      </c>
      <c r="D495" s="15" t="s">
        <v>15</v>
      </c>
      <c r="E495" s="20" t="s">
        <v>28</v>
      </c>
      <c r="F495" s="20" t="s">
        <v>63</v>
      </c>
      <c r="G495" s="11">
        <v>4</v>
      </c>
      <c r="H495" s="11">
        <v>4.3</v>
      </c>
      <c r="I495" s="18">
        <v>0</v>
      </c>
      <c r="J495" s="18">
        <v>0</v>
      </c>
      <c r="K495" s="19">
        <v>30350.195893999997</v>
      </c>
      <c r="L495" s="41">
        <v>0</v>
      </c>
      <c r="M495" s="41">
        <v>0</v>
      </c>
      <c r="N495" s="41">
        <v>0</v>
      </c>
      <c r="O495" s="41">
        <v>0</v>
      </c>
      <c r="P495" s="41">
        <v>-50.58</v>
      </c>
      <c r="Q495" s="43">
        <v>0</v>
      </c>
      <c r="R495" s="43">
        <v>0</v>
      </c>
      <c r="S495" s="43">
        <v>0</v>
      </c>
      <c r="T495" s="43">
        <v>0</v>
      </c>
      <c r="U495" s="19" t="s">
        <v>295</v>
      </c>
      <c r="V495" s="13">
        <f t="shared" si="68"/>
        <v>30299.615893999995</v>
      </c>
      <c r="W495" s="13"/>
      <c r="X495" s="13"/>
      <c r="Y495" s="13"/>
      <c r="Z495" s="13"/>
      <c r="AA495" s="22">
        <v>45839</v>
      </c>
      <c r="AB495" s="22" cm="1">
        <f t="array" ref="AB4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95" s="4"/>
      <c r="AD495" s="4"/>
      <c r="AE495" s="2"/>
      <c r="AF495" s="3"/>
      <c r="AG495" s="3"/>
      <c r="AH495" s="3"/>
      <c r="AI495" s="3"/>
      <c r="AJ495" s="2">
        <f t="shared" si="66"/>
        <v>0</v>
      </c>
      <c r="AK495" s="2">
        <f t="shared" si="67"/>
        <v>0</v>
      </c>
      <c r="AL495" s="2">
        <f t="shared" si="69"/>
        <v>50.580000000001746</v>
      </c>
      <c r="AM495" s="88"/>
      <c r="AN495" s="157" t="s">
        <v>774</v>
      </c>
    </row>
    <row r="496" spans="2:40" ht="23.15" customHeight="1" thickBot="1">
      <c r="B496" s="87">
        <v>45901</v>
      </c>
      <c r="C496" s="2" t="s">
        <v>295</v>
      </c>
      <c r="D496" s="15" t="s">
        <v>15</v>
      </c>
      <c r="E496" s="20" t="s">
        <v>30</v>
      </c>
      <c r="F496" s="20" t="s">
        <v>73</v>
      </c>
      <c r="G496" s="11">
        <v>11</v>
      </c>
      <c r="H496" s="18">
        <v>9</v>
      </c>
      <c r="I496" s="18">
        <v>0</v>
      </c>
      <c r="J496" s="41">
        <v>0</v>
      </c>
      <c r="K496" s="19">
        <v>51135.896763160003</v>
      </c>
      <c r="L496" s="41">
        <v>0</v>
      </c>
      <c r="M496" s="41">
        <v>0</v>
      </c>
      <c r="N496" s="41">
        <v>0</v>
      </c>
      <c r="O496" s="41">
        <v>0</v>
      </c>
      <c r="P496" s="41">
        <v>-85.23</v>
      </c>
      <c r="Q496" s="41">
        <v>0</v>
      </c>
      <c r="R496" s="41">
        <v>0</v>
      </c>
      <c r="S496" s="41">
        <v>0</v>
      </c>
      <c r="T496" s="41">
        <v>0</v>
      </c>
      <c r="U496" s="19" t="s">
        <v>295</v>
      </c>
      <c r="V496" s="13">
        <f t="shared" si="68"/>
        <v>51050.666763159999</v>
      </c>
      <c r="W496" s="13"/>
      <c r="X496" s="13"/>
      <c r="Y496" s="13"/>
      <c r="Z496" s="13"/>
      <c r="AA496" s="22">
        <v>45870</v>
      </c>
      <c r="AB496" s="22" cm="1">
        <f t="array" ref="AB4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96" s="4"/>
      <c r="AD496" s="4"/>
      <c r="AE496" s="4"/>
      <c r="AF496" s="3"/>
      <c r="AG496" s="3"/>
      <c r="AH496" s="3"/>
      <c r="AI496" s="3"/>
      <c r="AJ496" s="2">
        <f t="shared" si="66"/>
        <v>0</v>
      </c>
      <c r="AK496" s="2">
        <f t="shared" si="67"/>
        <v>0</v>
      </c>
      <c r="AL496" s="2">
        <f t="shared" si="69"/>
        <v>85.230000000003201</v>
      </c>
      <c r="AM496" s="88"/>
      <c r="AN496" s="157" t="s">
        <v>774</v>
      </c>
    </row>
    <row r="497" spans="2:40" ht="23.15" customHeight="1" thickBot="1">
      <c r="B497" s="87">
        <v>45761</v>
      </c>
      <c r="C497" s="2" t="s">
        <v>295</v>
      </c>
      <c r="D497" s="15" t="s">
        <v>15</v>
      </c>
      <c r="E497" s="20" t="s">
        <v>30</v>
      </c>
      <c r="F497" s="20" t="s">
        <v>73</v>
      </c>
      <c r="G497" s="11">
        <v>11</v>
      </c>
      <c r="H497" s="18">
        <v>9</v>
      </c>
      <c r="I497" s="18">
        <v>0</v>
      </c>
      <c r="J497" s="18">
        <v>0</v>
      </c>
      <c r="K497" s="19">
        <v>47661.025410820002</v>
      </c>
      <c r="L497" s="41">
        <v>0</v>
      </c>
      <c r="M497" s="41">
        <v>0</v>
      </c>
      <c r="N497" s="41">
        <v>0</v>
      </c>
      <c r="O497" s="41">
        <v>0</v>
      </c>
      <c r="P497" s="41">
        <v>-79.44</v>
      </c>
      <c r="Q497" s="43">
        <f>-556.05</f>
        <v>-556.04999999999995</v>
      </c>
      <c r="R497" s="43">
        <v>0</v>
      </c>
      <c r="S497" s="43">
        <v>0</v>
      </c>
      <c r="T497" s="43">
        <v>0</v>
      </c>
      <c r="U497" s="19" t="s">
        <v>295</v>
      </c>
      <c r="V497" s="13">
        <f t="shared" si="68"/>
        <v>47025.535410820004</v>
      </c>
      <c r="W497" s="13"/>
      <c r="X497" s="13"/>
      <c r="Y497" s="13"/>
      <c r="Z497" s="13"/>
      <c r="AA497" s="22">
        <v>45717</v>
      </c>
      <c r="AB497" s="22" cm="1">
        <f t="array" ref="AB4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97" s="4"/>
      <c r="AD497" s="4"/>
      <c r="AE497" s="2"/>
      <c r="AF497" s="3"/>
      <c r="AG497" s="3"/>
      <c r="AH497" s="3"/>
      <c r="AI497" s="3"/>
      <c r="AJ497" s="2">
        <f t="shared" si="66"/>
        <v>0</v>
      </c>
      <c r="AK497" s="2">
        <f t="shared" si="67"/>
        <v>0</v>
      </c>
      <c r="AL497" s="2">
        <f t="shared" si="69"/>
        <v>635.48999999999796</v>
      </c>
      <c r="AM497" s="88"/>
      <c r="AN497" s="157" t="s">
        <v>774</v>
      </c>
    </row>
    <row r="498" spans="2:40" ht="23.15" customHeight="1" thickBot="1">
      <c r="B498" s="87">
        <v>45873</v>
      </c>
      <c r="C498" s="2" t="s">
        <v>295</v>
      </c>
      <c r="D498" s="15" t="s">
        <v>15</v>
      </c>
      <c r="E498" s="20" t="s">
        <v>30</v>
      </c>
      <c r="F498" s="20" t="s">
        <v>73</v>
      </c>
      <c r="G498" s="11">
        <v>11</v>
      </c>
      <c r="H498" s="18">
        <v>9</v>
      </c>
      <c r="I498" s="18">
        <v>0</v>
      </c>
      <c r="J498" s="18">
        <v>0</v>
      </c>
      <c r="K498" s="10">
        <v>51135.896763160003</v>
      </c>
      <c r="L498" s="41">
        <v>0</v>
      </c>
      <c r="M498" s="41">
        <v>0</v>
      </c>
      <c r="N498" s="41">
        <v>0</v>
      </c>
      <c r="O498" s="41">
        <v>0</v>
      </c>
      <c r="P498" s="41">
        <v>-85.23</v>
      </c>
      <c r="Q498" s="41">
        <f>-85.23</f>
        <v>-85.23</v>
      </c>
      <c r="R498" s="41">
        <v>0</v>
      </c>
      <c r="S498" s="41">
        <v>0</v>
      </c>
      <c r="T498" s="41">
        <v>0</v>
      </c>
      <c r="U498" s="19" t="s">
        <v>295</v>
      </c>
      <c r="V498" s="13">
        <f t="shared" si="68"/>
        <v>50965.436763160003</v>
      </c>
      <c r="W498" s="13"/>
      <c r="X498" s="13"/>
      <c r="Y498" s="13"/>
      <c r="Z498" s="13"/>
      <c r="AA498" s="22">
        <v>45839</v>
      </c>
      <c r="AB498" s="22" cm="1">
        <f t="array" ref="AB4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98" s="4"/>
      <c r="AD498" s="4"/>
      <c r="AE498" s="2"/>
      <c r="AF498" s="3"/>
      <c r="AG498" s="3"/>
      <c r="AH498" s="3"/>
      <c r="AI498" s="3"/>
      <c r="AJ498" s="2">
        <f t="shared" si="66"/>
        <v>0</v>
      </c>
      <c r="AK498" s="2">
        <f t="shared" si="67"/>
        <v>0</v>
      </c>
      <c r="AL498" s="2">
        <f t="shared" si="69"/>
        <v>170.45999999999913</v>
      </c>
      <c r="AM498" s="88"/>
      <c r="AN498" s="157" t="s">
        <v>774</v>
      </c>
    </row>
    <row r="499" spans="2:40" ht="23.15" customHeight="1" thickBot="1">
      <c r="B499" s="87"/>
      <c r="C499" s="2" t="s">
        <v>292</v>
      </c>
      <c r="D499" s="15" t="s">
        <v>15</v>
      </c>
      <c r="E499" s="20" t="s">
        <v>30</v>
      </c>
      <c r="F499" s="20" t="s">
        <v>73</v>
      </c>
      <c r="G499" s="11">
        <v>11</v>
      </c>
      <c r="H499" s="11">
        <v>9</v>
      </c>
      <c r="I499" s="18">
        <v>0</v>
      </c>
      <c r="J499" s="18">
        <v>0</v>
      </c>
      <c r="K499" s="19">
        <v>47661.025410820002</v>
      </c>
      <c r="L499" s="41">
        <v>0</v>
      </c>
      <c r="M499" s="41">
        <v>0</v>
      </c>
      <c r="N499" s="41">
        <v>0</v>
      </c>
      <c r="O499" s="41">
        <v>0</v>
      </c>
      <c r="P499" s="41">
        <f>-79.44</f>
        <v>-79.44</v>
      </c>
      <c r="Q499" s="43">
        <v>0</v>
      </c>
      <c r="R499" s="43">
        <v>0</v>
      </c>
      <c r="S499" s="43">
        <v>0</v>
      </c>
      <c r="T499" s="43">
        <v>0</v>
      </c>
      <c r="U499" s="19"/>
      <c r="V499" s="13">
        <f t="shared" si="68"/>
        <v>47661.025410820002</v>
      </c>
      <c r="W499" s="13"/>
      <c r="X499" s="13"/>
      <c r="Y499" s="13"/>
      <c r="Z499" s="13"/>
      <c r="AA499" s="22">
        <v>45748</v>
      </c>
      <c r="AB499" s="22" cm="1">
        <f t="array" ref="AB4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99" s="4"/>
      <c r="AD499" s="4"/>
      <c r="AE499" s="2"/>
      <c r="AF499" s="3"/>
      <c r="AG499" s="3"/>
      <c r="AH499" s="3"/>
      <c r="AI499" s="3"/>
      <c r="AJ499" s="2">
        <f t="shared" si="66"/>
        <v>0</v>
      </c>
      <c r="AK499" s="2">
        <f t="shared" si="67"/>
        <v>0</v>
      </c>
      <c r="AL499" s="2">
        <f t="shared" si="69"/>
        <v>0</v>
      </c>
      <c r="AM499" s="88"/>
      <c r="AN499" s="157" t="s">
        <v>774</v>
      </c>
    </row>
    <row r="500" spans="2:40" ht="23.15" customHeight="1" thickBot="1">
      <c r="B500" s="87">
        <v>45699</v>
      </c>
      <c r="C500" s="2" t="s">
        <v>295</v>
      </c>
      <c r="D500" s="15" t="s">
        <v>15</v>
      </c>
      <c r="E500" s="20" t="s">
        <v>30</v>
      </c>
      <c r="F500" s="20" t="s">
        <v>73</v>
      </c>
      <c r="G500" s="11">
        <v>11</v>
      </c>
      <c r="H500" s="18">
        <v>9</v>
      </c>
      <c r="I500" s="18">
        <v>0</v>
      </c>
      <c r="J500" s="18">
        <v>0</v>
      </c>
      <c r="K500" s="19">
        <v>47661.025410820002</v>
      </c>
      <c r="L500" s="41">
        <v>0</v>
      </c>
      <c r="M500" s="41">
        <v>0</v>
      </c>
      <c r="N500" s="41">
        <v>0</v>
      </c>
      <c r="O500" s="41">
        <v>0</v>
      </c>
      <c r="P500" s="41">
        <v>0</v>
      </c>
      <c r="Q500" s="43">
        <v>0</v>
      </c>
      <c r="R500" s="43">
        <v>0</v>
      </c>
      <c r="S500" s="43">
        <v>0</v>
      </c>
      <c r="T500" s="43">
        <v>0</v>
      </c>
      <c r="U500" s="19" t="s">
        <v>295</v>
      </c>
      <c r="V500" s="13">
        <f t="shared" si="68"/>
        <v>47661.025410820002</v>
      </c>
      <c r="W500" s="13"/>
      <c r="X500" s="13"/>
      <c r="Y500" s="13"/>
      <c r="Z500" s="13"/>
      <c r="AA500" s="22">
        <v>45658</v>
      </c>
      <c r="AB500" s="22" cm="1">
        <f t="array" ref="AB5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00" s="4"/>
      <c r="AD500" s="4"/>
      <c r="AE500" s="2"/>
      <c r="AF500" s="3"/>
      <c r="AG500" s="3"/>
      <c r="AH500" s="3"/>
      <c r="AI500" s="3"/>
      <c r="AJ500" s="2">
        <f t="shared" si="66"/>
        <v>0</v>
      </c>
      <c r="AK500" s="2">
        <f t="shared" si="67"/>
        <v>0</v>
      </c>
      <c r="AL500" s="2">
        <f t="shared" si="69"/>
        <v>0</v>
      </c>
      <c r="AM500" s="88"/>
      <c r="AN500" s="157" t="s">
        <v>774</v>
      </c>
    </row>
    <row r="501" spans="2:40" ht="23.15" customHeight="1" thickBot="1">
      <c r="B501" s="87">
        <v>45716</v>
      </c>
      <c r="C501" s="2" t="s">
        <v>295</v>
      </c>
      <c r="D501" s="15" t="s">
        <v>15</v>
      </c>
      <c r="E501" s="20" t="s">
        <v>30</v>
      </c>
      <c r="F501" s="20" t="s">
        <v>73</v>
      </c>
      <c r="G501" s="11">
        <v>11</v>
      </c>
      <c r="H501" s="11">
        <v>9</v>
      </c>
      <c r="I501" s="18">
        <v>0</v>
      </c>
      <c r="J501" s="18">
        <v>0</v>
      </c>
      <c r="K501" s="19">
        <v>47661.025410820002</v>
      </c>
      <c r="L501" s="41">
        <v>0</v>
      </c>
      <c r="M501" s="41">
        <v>0</v>
      </c>
      <c r="N501" s="41">
        <v>0</v>
      </c>
      <c r="O501" s="41">
        <v>0</v>
      </c>
      <c r="P501" s="41">
        <v>0</v>
      </c>
      <c r="Q501" s="41">
        <v>0</v>
      </c>
      <c r="R501" s="41">
        <v>0</v>
      </c>
      <c r="S501" s="41">
        <v>0</v>
      </c>
      <c r="T501" s="41">
        <v>0</v>
      </c>
      <c r="U501" s="19" t="s">
        <v>295</v>
      </c>
      <c r="V501" s="13">
        <f t="shared" si="68"/>
        <v>47661.025410820002</v>
      </c>
      <c r="W501" s="13"/>
      <c r="X501" s="13"/>
      <c r="Y501" s="13"/>
      <c r="Z501" s="13"/>
      <c r="AA501" s="22">
        <v>45689</v>
      </c>
      <c r="AB501" s="22" cm="1">
        <f t="array" ref="AB5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01" s="4"/>
      <c r="AD501" s="4"/>
      <c r="AE501" s="2"/>
      <c r="AF501" s="3"/>
      <c r="AG501" s="3"/>
      <c r="AH501" s="3"/>
      <c r="AI501" s="3"/>
      <c r="AJ501" s="2">
        <f t="shared" si="66"/>
        <v>0</v>
      </c>
      <c r="AK501" s="2">
        <f t="shared" si="67"/>
        <v>0</v>
      </c>
      <c r="AL501" s="2">
        <f t="shared" si="69"/>
        <v>0</v>
      </c>
      <c r="AM501" s="88"/>
      <c r="AN501" s="157" t="s">
        <v>774</v>
      </c>
    </row>
    <row r="502" spans="2:40" ht="23.15" customHeight="1" thickBot="1">
      <c r="B502" s="87"/>
      <c r="C502" s="2" t="s">
        <v>292</v>
      </c>
      <c r="D502" s="15" t="s">
        <v>15</v>
      </c>
      <c r="E502" s="20" t="s">
        <v>25</v>
      </c>
      <c r="F502" s="20" t="s">
        <v>40</v>
      </c>
      <c r="G502" s="11">
        <v>18</v>
      </c>
      <c r="H502" s="18">
        <v>9</v>
      </c>
      <c r="I502" s="41" t="s">
        <v>294</v>
      </c>
      <c r="J502" s="18" t="s">
        <v>294</v>
      </c>
      <c r="K502" s="19">
        <v>61743.759351094537</v>
      </c>
      <c r="L502" s="41">
        <v>0</v>
      </c>
      <c r="M502" s="41" t="s">
        <v>294</v>
      </c>
      <c r="N502" s="41">
        <v>0</v>
      </c>
      <c r="O502" s="41" t="s">
        <v>294</v>
      </c>
      <c r="P502" s="41">
        <v>0</v>
      </c>
      <c r="Q502" s="41">
        <v>0</v>
      </c>
      <c r="R502" s="41">
        <v>0</v>
      </c>
      <c r="S502" s="41">
        <v>0</v>
      </c>
      <c r="T502" s="41">
        <v>0</v>
      </c>
      <c r="U502" s="19"/>
      <c r="V502" s="13">
        <f t="shared" si="68"/>
        <v>61743.759351094537</v>
      </c>
      <c r="W502" s="13"/>
      <c r="X502" s="13"/>
      <c r="Y502" s="13"/>
      <c r="Z502" s="13"/>
      <c r="AA502" s="22">
        <v>45839</v>
      </c>
      <c r="AB502" s="22" cm="1">
        <f t="array" ref="AB5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02" s="4"/>
      <c r="AD502" s="4"/>
      <c r="AE502" s="2"/>
      <c r="AF502" s="3"/>
      <c r="AG502" s="3"/>
      <c r="AH502" s="3"/>
      <c r="AI502" s="3"/>
      <c r="AJ502" s="2">
        <f t="shared" si="66"/>
        <v>0</v>
      </c>
      <c r="AK502" s="2">
        <f t="shared" si="67"/>
        <v>0</v>
      </c>
      <c r="AL502" s="2">
        <f t="shared" si="69"/>
        <v>0</v>
      </c>
      <c r="AM502" s="88"/>
      <c r="AN502" s="157" t="s">
        <v>774</v>
      </c>
    </row>
    <row r="503" spans="2:40" ht="23.15" customHeight="1" thickBot="1">
      <c r="B503" s="87">
        <v>45811</v>
      </c>
      <c r="C503" s="2" t="s">
        <v>295</v>
      </c>
      <c r="D503" s="15" t="s">
        <v>15</v>
      </c>
      <c r="E503" s="20" t="s">
        <v>30</v>
      </c>
      <c r="F503" s="20" t="s">
        <v>73</v>
      </c>
      <c r="G503" s="11">
        <v>11</v>
      </c>
      <c r="H503" s="11">
        <v>9</v>
      </c>
      <c r="I503" s="18">
        <v>0</v>
      </c>
      <c r="J503" s="18">
        <v>0</v>
      </c>
      <c r="K503" s="19">
        <v>51135.896763160003</v>
      </c>
      <c r="L503" s="41">
        <v>0</v>
      </c>
      <c r="M503" s="41">
        <v>0</v>
      </c>
      <c r="N503" s="41">
        <v>0</v>
      </c>
      <c r="O503" s="41">
        <v>0</v>
      </c>
      <c r="P503" s="41">
        <f>-79.44</f>
        <v>-79.44</v>
      </c>
      <c r="Q503" s="43">
        <v>0</v>
      </c>
      <c r="R503" s="41">
        <v>0</v>
      </c>
      <c r="S503" s="43">
        <v>0</v>
      </c>
      <c r="T503" s="43">
        <v>0</v>
      </c>
      <c r="U503" s="41" t="s">
        <v>295</v>
      </c>
      <c r="V503" s="13">
        <f t="shared" si="68"/>
        <v>51056.45676316</v>
      </c>
      <c r="W503" s="13"/>
      <c r="X503" s="13"/>
      <c r="Y503" s="13">
        <v>3422.7475508123389</v>
      </c>
      <c r="Z503" s="13" t="s">
        <v>302</v>
      </c>
      <c r="AA503" s="22">
        <v>45778</v>
      </c>
      <c r="AB503" s="22" cm="1">
        <f t="array" ref="AB5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03" s="4"/>
      <c r="AD503" s="4"/>
      <c r="AE503" s="2"/>
      <c r="AF503" s="3"/>
      <c r="AG503" s="3"/>
      <c r="AH503" s="3"/>
      <c r="AI503" s="3"/>
      <c r="AJ503" s="2">
        <f t="shared" si="66"/>
        <v>0</v>
      </c>
      <c r="AK503" s="2">
        <f t="shared" si="67"/>
        <v>0</v>
      </c>
      <c r="AL503" s="2">
        <f t="shared" si="69"/>
        <v>79.440000000002328</v>
      </c>
      <c r="AM503" s="88"/>
      <c r="AN503" s="157" t="s">
        <v>774</v>
      </c>
    </row>
    <row r="504" spans="2:40" ht="23.15" customHeight="1" thickBot="1">
      <c r="B504" s="87">
        <v>45839</v>
      </c>
      <c r="C504" s="2" t="s">
        <v>295</v>
      </c>
      <c r="D504" s="15" t="s">
        <v>15</v>
      </c>
      <c r="E504" s="20" t="s">
        <v>30</v>
      </c>
      <c r="F504" s="20" t="s">
        <v>73</v>
      </c>
      <c r="G504" s="11">
        <v>11</v>
      </c>
      <c r="H504" s="11">
        <v>9</v>
      </c>
      <c r="I504" s="18">
        <v>0</v>
      </c>
      <c r="J504" s="18">
        <v>0</v>
      </c>
      <c r="K504" s="19">
        <v>51135.896763160003</v>
      </c>
      <c r="L504" s="41">
        <v>0</v>
      </c>
      <c r="M504" s="41">
        <v>0</v>
      </c>
      <c r="N504" s="41">
        <v>0</v>
      </c>
      <c r="O504" s="41">
        <v>0</v>
      </c>
      <c r="P504" s="41">
        <v>0</v>
      </c>
      <c r="Q504" s="43">
        <v>0</v>
      </c>
      <c r="R504" s="41">
        <v>0</v>
      </c>
      <c r="S504" s="43">
        <v>0</v>
      </c>
      <c r="T504" s="43">
        <v>0</v>
      </c>
      <c r="U504" s="19" t="s">
        <v>295</v>
      </c>
      <c r="V504" s="13">
        <f t="shared" si="68"/>
        <v>51135.896763160003</v>
      </c>
      <c r="W504" s="13"/>
      <c r="X504" s="13"/>
      <c r="Y504" s="13"/>
      <c r="Z504" s="13"/>
      <c r="AA504" s="22">
        <v>45809</v>
      </c>
      <c r="AB504" s="22" cm="1">
        <f t="array" ref="AB5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04" s="4"/>
      <c r="AD504" s="4"/>
      <c r="AE504" s="2"/>
      <c r="AF504" s="3"/>
      <c r="AG504" s="3"/>
      <c r="AH504" s="3"/>
      <c r="AI504" s="3"/>
      <c r="AJ504" s="2">
        <f t="shared" si="66"/>
        <v>0</v>
      </c>
      <c r="AK504" s="2">
        <f t="shared" si="67"/>
        <v>0</v>
      </c>
      <c r="AL504" s="2">
        <f t="shared" si="69"/>
        <v>0</v>
      </c>
      <c r="AM504" s="88"/>
      <c r="AN504" s="157" t="s">
        <v>774</v>
      </c>
    </row>
    <row r="505" spans="2:40" ht="23.15" customHeight="1" thickBot="1">
      <c r="B505" s="87">
        <v>45933</v>
      </c>
      <c r="C505" s="38" t="s">
        <v>295</v>
      </c>
      <c r="D505" s="15" t="s">
        <v>15</v>
      </c>
      <c r="E505" s="20" t="s">
        <v>30</v>
      </c>
      <c r="F505" s="20" t="s">
        <v>73</v>
      </c>
      <c r="G505" s="11">
        <v>11</v>
      </c>
      <c r="H505" s="18">
        <v>9</v>
      </c>
      <c r="I505" s="11">
        <v>0</v>
      </c>
      <c r="J505" s="11">
        <v>0</v>
      </c>
      <c r="K505" s="19">
        <v>51135.896763160003</v>
      </c>
      <c r="L505" s="41"/>
      <c r="M505" s="41">
        <v>0</v>
      </c>
      <c r="N505" s="41"/>
      <c r="O505" s="41">
        <v>0</v>
      </c>
      <c r="P505" s="41">
        <v>-596.58550000000105</v>
      </c>
      <c r="Q505" s="43">
        <v>0</v>
      </c>
      <c r="R505" s="41">
        <v>0</v>
      </c>
      <c r="S505" s="43">
        <v>0</v>
      </c>
      <c r="T505" s="43">
        <v>0</v>
      </c>
      <c r="U505" s="19" t="s">
        <v>295</v>
      </c>
      <c r="V505" s="13">
        <f t="shared" si="68"/>
        <v>50539.311263160002</v>
      </c>
      <c r="W505" s="13"/>
      <c r="X505" s="13"/>
      <c r="Y505" s="13"/>
      <c r="Z505" s="13"/>
      <c r="AA505" s="22">
        <v>45901</v>
      </c>
      <c r="AB505" s="22" cm="1">
        <f t="array" ref="AB5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05" s="4"/>
      <c r="AD505" s="4"/>
      <c r="AE505" s="2"/>
      <c r="AF505" s="3"/>
      <c r="AG505" s="3"/>
      <c r="AH505" s="3"/>
      <c r="AI505" s="3"/>
      <c r="AJ505" s="2">
        <f t="shared" si="66"/>
        <v>0</v>
      </c>
      <c r="AK505" s="2">
        <f t="shared" si="67"/>
        <v>0</v>
      </c>
      <c r="AL505" s="2">
        <f t="shared" si="69"/>
        <v>596.58550000000105</v>
      </c>
      <c r="AM505" s="88"/>
      <c r="AN505" s="157" t="s">
        <v>774</v>
      </c>
    </row>
    <row r="506" spans="2:40" ht="23.15" customHeight="1" thickBot="1">
      <c r="B506" s="87"/>
      <c r="C506" s="2" t="s">
        <v>292</v>
      </c>
      <c r="D506" s="15" t="s">
        <v>15</v>
      </c>
      <c r="E506" s="20" t="s">
        <v>25</v>
      </c>
      <c r="F506" s="20" t="s">
        <v>40</v>
      </c>
      <c r="G506" s="11">
        <v>18</v>
      </c>
      <c r="H506" s="18">
        <v>9</v>
      </c>
      <c r="I506" s="18">
        <v>0</v>
      </c>
      <c r="J506" s="18">
        <v>0</v>
      </c>
      <c r="K506" s="10">
        <v>58582.594662871226</v>
      </c>
      <c r="L506" s="41">
        <v>0</v>
      </c>
      <c r="M506" s="41">
        <v>0</v>
      </c>
      <c r="N506" s="41">
        <v>0</v>
      </c>
      <c r="O506" s="41">
        <v>0</v>
      </c>
      <c r="P506" s="41">
        <v>0</v>
      </c>
      <c r="Q506" s="43">
        <v>0</v>
      </c>
      <c r="R506" s="41">
        <v>0</v>
      </c>
      <c r="S506" s="43">
        <v>0</v>
      </c>
      <c r="T506" s="43">
        <v>0</v>
      </c>
      <c r="U506" s="19"/>
      <c r="V506" s="13">
        <f t="shared" si="68"/>
        <v>58582.594662871226</v>
      </c>
      <c r="W506" s="13"/>
      <c r="X506" s="13"/>
      <c r="Y506" s="13"/>
      <c r="Z506" s="13"/>
      <c r="AA506" s="22">
        <v>45748</v>
      </c>
      <c r="AB506" s="22" cm="1">
        <f t="array" ref="AB5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06" s="4"/>
      <c r="AD506" s="4"/>
      <c r="AE506" s="2"/>
      <c r="AF506" s="3"/>
      <c r="AG506" s="3"/>
      <c r="AH506" s="3"/>
      <c r="AI506" s="3"/>
      <c r="AJ506" s="2">
        <f t="shared" si="66"/>
        <v>0</v>
      </c>
      <c r="AK506" s="2">
        <f t="shared" si="67"/>
        <v>0</v>
      </c>
      <c r="AL506" s="2">
        <f t="shared" si="69"/>
        <v>0</v>
      </c>
      <c r="AM506" s="88"/>
      <c r="AN506" s="157" t="s">
        <v>774</v>
      </c>
    </row>
    <row r="507" spans="2:40" ht="23.15" customHeight="1" thickBot="1">
      <c r="B507" s="87"/>
      <c r="C507" s="2" t="s">
        <v>292</v>
      </c>
      <c r="D507" s="15" t="s">
        <v>15</v>
      </c>
      <c r="E507" s="20" t="s">
        <v>25</v>
      </c>
      <c r="F507" s="20" t="s">
        <v>40</v>
      </c>
      <c r="G507" s="11">
        <v>18</v>
      </c>
      <c r="H507" s="11">
        <v>9</v>
      </c>
      <c r="I507" s="18">
        <v>0</v>
      </c>
      <c r="J507" s="18">
        <v>0</v>
      </c>
      <c r="K507" s="19">
        <v>58582.594662871226</v>
      </c>
      <c r="L507" s="41">
        <v>0</v>
      </c>
      <c r="M507" s="41">
        <v>0</v>
      </c>
      <c r="N507" s="41">
        <v>0</v>
      </c>
      <c r="O507" s="41">
        <v>0</v>
      </c>
      <c r="P507" s="41">
        <v>0</v>
      </c>
      <c r="Q507" s="43">
        <v>0</v>
      </c>
      <c r="R507" s="41">
        <v>0</v>
      </c>
      <c r="S507" s="43">
        <v>0</v>
      </c>
      <c r="T507" s="43">
        <v>0</v>
      </c>
      <c r="U507" s="19" t="s">
        <v>292</v>
      </c>
      <c r="V507" s="13">
        <f t="shared" si="68"/>
        <v>58582.594662871226</v>
      </c>
      <c r="W507" s="13"/>
      <c r="X507" s="13"/>
      <c r="Y507" s="13"/>
      <c r="Z507" s="13"/>
      <c r="AA507" s="22">
        <v>45778</v>
      </c>
      <c r="AB507" s="22" cm="1">
        <f t="array" ref="AB5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07" s="4"/>
      <c r="AD507" s="4"/>
      <c r="AE507" s="2"/>
      <c r="AF507" s="3"/>
      <c r="AG507" s="3"/>
      <c r="AH507" s="3"/>
      <c r="AI507" s="3"/>
      <c r="AJ507" s="2">
        <f t="shared" si="66"/>
        <v>0</v>
      </c>
      <c r="AK507" s="2">
        <f t="shared" si="67"/>
        <v>0</v>
      </c>
      <c r="AL507" s="2">
        <f t="shared" si="69"/>
        <v>0</v>
      </c>
      <c r="AM507" s="88"/>
      <c r="AN507" s="157" t="s">
        <v>774</v>
      </c>
    </row>
    <row r="508" spans="2:40" ht="23.15" customHeight="1" thickBot="1">
      <c r="B508" s="87">
        <v>45842</v>
      </c>
      <c r="C508" s="2" t="s">
        <v>295</v>
      </c>
      <c r="D508" s="15" t="s">
        <v>15</v>
      </c>
      <c r="E508" s="20" t="s">
        <v>25</v>
      </c>
      <c r="F508" s="20" t="s">
        <v>40</v>
      </c>
      <c r="G508" s="11">
        <v>18</v>
      </c>
      <c r="H508" s="18">
        <v>9</v>
      </c>
      <c r="I508" s="18">
        <v>0</v>
      </c>
      <c r="J508" s="18">
        <v>0</v>
      </c>
      <c r="K508" s="19">
        <v>61743.759351094537</v>
      </c>
      <c r="L508" s="41">
        <v>0</v>
      </c>
      <c r="M508" s="41">
        <v>0</v>
      </c>
      <c r="N508" s="41">
        <v>0</v>
      </c>
      <c r="O508" s="41">
        <v>0</v>
      </c>
      <c r="P508" s="41">
        <v>0</v>
      </c>
      <c r="Q508" s="43">
        <v>0</v>
      </c>
      <c r="R508" s="41">
        <v>0</v>
      </c>
      <c r="S508" s="43">
        <v>0</v>
      </c>
      <c r="T508" s="43">
        <v>0</v>
      </c>
      <c r="U508" s="19" t="s">
        <v>295</v>
      </c>
      <c r="V508" s="13">
        <f t="shared" ref="V508:V539" si="70">IFERROR((K508+M508+R508+S508+T508+O508)+IF(U508="Sim",P508+Q508,0),(K508+R508+S508+T508)+IF(U508="Sim",P508+Q508,0))</f>
        <v>61743.759351094537</v>
      </c>
      <c r="W508" s="13"/>
      <c r="X508" s="13"/>
      <c r="Y508" s="13"/>
      <c r="Z508" s="13"/>
      <c r="AA508" s="22">
        <v>45809</v>
      </c>
      <c r="AB508" s="22" cm="1">
        <f t="array" ref="AB5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08" s="4"/>
      <c r="AD508" s="4"/>
      <c r="AE508" s="2"/>
      <c r="AF508" s="3"/>
      <c r="AG508" s="3"/>
      <c r="AH508" s="3"/>
      <c r="AI508" s="3"/>
      <c r="AJ508" s="2">
        <f t="shared" ref="AJ508:AJ571" si="71">IFERROR(L508-M508,0)</f>
        <v>0</v>
      </c>
      <c r="AK508" s="2">
        <f t="shared" si="67"/>
        <v>0</v>
      </c>
      <c r="AL508" s="2">
        <f t="shared" si="69"/>
        <v>0</v>
      </c>
      <c r="AM508" s="88"/>
      <c r="AN508" s="157" t="s">
        <v>774</v>
      </c>
    </row>
    <row r="509" spans="2:40" ht="23.15" customHeight="1" thickBot="1">
      <c r="B509" s="87">
        <v>45889</v>
      </c>
      <c r="C509" s="2" t="s">
        <v>295</v>
      </c>
      <c r="D509" s="15" t="s">
        <v>17</v>
      </c>
      <c r="E509" s="20" t="s">
        <v>26</v>
      </c>
      <c r="F509" s="20" t="s">
        <v>128</v>
      </c>
      <c r="G509" s="11">
        <v>3</v>
      </c>
      <c r="H509" s="11">
        <v>1</v>
      </c>
      <c r="I509" s="11">
        <v>0</v>
      </c>
      <c r="J509" s="11">
        <v>0</v>
      </c>
      <c r="K509" s="13">
        <v>5100</v>
      </c>
      <c r="L509" s="41">
        <v>0</v>
      </c>
      <c r="M509" s="41">
        <v>0</v>
      </c>
      <c r="N509" s="41">
        <v>0</v>
      </c>
      <c r="O509" s="41">
        <v>0</v>
      </c>
      <c r="P509" s="41">
        <v>0</v>
      </c>
      <c r="Q509" s="43">
        <v>0</v>
      </c>
      <c r="R509" s="41">
        <v>0</v>
      </c>
      <c r="S509" s="43">
        <v>0</v>
      </c>
      <c r="T509" s="43">
        <v>0</v>
      </c>
      <c r="U509" s="19"/>
      <c r="V509" s="13">
        <f t="shared" si="70"/>
        <v>5100</v>
      </c>
      <c r="W509" s="13"/>
      <c r="X509" s="13"/>
      <c r="Y509" s="13"/>
      <c r="Z509" s="13"/>
      <c r="AA509" s="22">
        <v>45839</v>
      </c>
      <c r="AB509" s="22" cm="1">
        <f t="array" ref="AB5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09" s="4"/>
      <c r="AD509" s="4"/>
      <c r="AE509" s="2"/>
      <c r="AF509" s="3"/>
      <c r="AG509" s="3"/>
      <c r="AH509" s="3"/>
      <c r="AI509" s="3"/>
      <c r="AJ509" s="2">
        <f t="shared" si="71"/>
        <v>0</v>
      </c>
      <c r="AK509" s="2">
        <f t="shared" si="67"/>
        <v>0</v>
      </c>
      <c r="AL509" s="2">
        <f t="shared" si="69"/>
        <v>0</v>
      </c>
      <c r="AM509" s="88"/>
      <c r="AN509" s="157" t="s">
        <v>774</v>
      </c>
    </row>
    <row r="510" spans="2:40" ht="23.15" customHeight="1" thickBot="1">
      <c r="B510" s="87"/>
      <c r="C510" s="2" t="s">
        <v>292</v>
      </c>
      <c r="D510" s="15" t="s">
        <v>15</v>
      </c>
      <c r="E510" s="20" t="s">
        <v>30</v>
      </c>
      <c r="F510" s="20" t="s">
        <v>73</v>
      </c>
      <c r="G510" s="11">
        <v>11</v>
      </c>
      <c r="H510" s="18"/>
      <c r="I510" s="18" t="s">
        <v>294</v>
      </c>
      <c r="J510" s="18" t="s">
        <v>294</v>
      </c>
      <c r="K510" s="19">
        <v>51135.896763160003</v>
      </c>
      <c r="L510" s="41"/>
      <c r="M510" s="41" t="s">
        <v>294</v>
      </c>
      <c r="N510" s="41"/>
      <c r="O510" s="41" t="s">
        <v>294</v>
      </c>
      <c r="P510" s="41" t="s">
        <v>301</v>
      </c>
      <c r="Q510" s="43"/>
      <c r="R510" s="41"/>
      <c r="S510" s="43"/>
      <c r="T510" s="43"/>
      <c r="U510" s="19"/>
      <c r="V510" s="13">
        <f t="shared" si="70"/>
        <v>51135.896763160003</v>
      </c>
      <c r="W510" s="13"/>
      <c r="X510" s="13"/>
      <c r="Y510" s="13"/>
      <c r="Z510" s="13"/>
      <c r="AA510" s="22">
        <v>45931</v>
      </c>
      <c r="AB510" s="22" cm="1">
        <f t="array" ref="AB5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10" s="4"/>
      <c r="AD510" s="4"/>
      <c r="AE510" s="2"/>
      <c r="AF510" s="3"/>
      <c r="AG510" s="3"/>
      <c r="AH510" s="3"/>
      <c r="AI510" s="3"/>
      <c r="AJ510" s="2">
        <f t="shared" si="71"/>
        <v>0</v>
      </c>
      <c r="AK510" s="2">
        <f t="shared" si="67"/>
        <v>0</v>
      </c>
      <c r="AL510" s="2">
        <f t="shared" si="69"/>
        <v>0</v>
      </c>
      <c r="AM510" s="88"/>
      <c r="AN510" s="157" t="s">
        <v>774</v>
      </c>
    </row>
    <row r="511" spans="2:40" ht="23.15" customHeight="1" thickBot="1">
      <c r="B511" s="87"/>
      <c r="C511" s="2" t="s">
        <v>295</v>
      </c>
      <c r="D511" s="15" t="s">
        <v>15</v>
      </c>
      <c r="E511" s="20" t="s">
        <v>25</v>
      </c>
      <c r="F511" s="20" t="s">
        <v>40</v>
      </c>
      <c r="G511" s="11">
        <v>18</v>
      </c>
      <c r="H511" s="11">
        <v>9</v>
      </c>
      <c r="I511" s="11">
        <v>0</v>
      </c>
      <c r="J511" s="11">
        <v>0</v>
      </c>
      <c r="K511" s="19">
        <v>62801.534895369703</v>
      </c>
      <c r="L511" s="41">
        <v>0</v>
      </c>
      <c r="M511" s="41">
        <v>0</v>
      </c>
      <c r="N511" s="41">
        <v>0</v>
      </c>
      <c r="O511" s="41">
        <v>0</v>
      </c>
      <c r="P511" s="41">
        <v>0</v>
      </c>
      <c r="Q511" s="43">
        <v>0</v>
      </c>
      <c r="R511" s="41">
        <v>0</v>
      </c>
      <c r="S511" s="43">
        <v>0</v>
      </c>
      <c r="T511" s="43">
        <v>0</v>
      </c>
      <c r="U511" s="19"/>
      <c r="V511" s="13">
        <f t="shared" si="70"/>
        <v>62801.534895369703</v>
      </c>
      <c r="W511" s="13"/>
      <c r="X511" s="13"/>
      <c r="Y511" s="13"/>
      <c r="Z511" s="13"/>
      <c r="AA511" s="22">
        <v>45717</v>
      </c>
      <c r="AB511" s="22" cm="1">
        <f t="array" ref="AB5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11" s="4"/>
      <c r="AD511" s="4"/>
      <c r="AE511" s="2"/>
      <c r="AF511" s="3"/>
      <c r="AG511" s="3"/>
      <c r="AH511" s="3"/>
      <c r="AI511" s="3"/>
      <c r="AJ511" s="2">
        <f t="shared" si="71"/>
        <v>0</v>
      </c>
      <c r="AK511" s="2">
        <f t="shared" si="67"/>
        <v>0</v>
      </c>
      <c r="AL511" s="2">
        <f t="shared" si="69"/>
        <v>0</v>
      </c>
      <c r="AM511" s="88"/>
      <c r="AN511" s="157" t="s">
        <v>774</v>
      </c>
    </row>
    <row r="512" spans="2:40" ht="23.15" customHeight="1" thickBot="1">
      <c r="B512" s="87"/>
      <c r="C512" s="2" t="s">
        <v>295</v>
      </c>
      <c r="D512" s="15" t="s">
        <v>15</v>
      </c>
      <c r="E512" s="20" t="s">
        <v>25</v>
      </c>
      <c r="F512" s="20" t="s">
        <v>40</v>
      </c>
      <c r="G512" s="11">
        <v>18</v>
      </c>
      <c r="H512" s="18">
        <v>9</v>
      </c>
      <c r="I512" s="11" t="s">
        <v>294</v>
      </c>
      <c r="J512" s="11" t="s">
        <v>294</v>
      </c>
      <c r="K512" s="19">
        <v>62801.534895369725</v>
      </c>
      <c r="L512" s="41">
        <v>0</v>
      </c>
      <c r="M512" s="41" t="s">
        <v>294</v>
      </c>
      <c r="N512" s="41">
        <v>0</v>
      </c>
      <c r="O512" s="41" t="s">
        <v>294</v>
      </c>
      <c r="P512" s="41">
        <v>0</v>
      </c>
      <c r="Q512" s="43">
        <v>0</v>
      </c>
      <c r="R512" s="41">
        <v>0</v>
      </c>
      <c r="S512" s="43">
        <v>0</v>
      </c>
      <c r="T512" s="43">
        <v>0</v>
      </c>
      <c r="U512" s="19" t="s">
        <v>295</v>
      </c>
      <c r="V512" s="13">
        <f t="shared" si="70"/>
        <v>62801.534895369725</v>
      </c>
      <c r="W512" s="13"/>
      <c r="X512" s="13"/>
      <c r="Y512" s="13"/>
      <c r="Z512" s="13"/>
      <c r="AA512" s="22">
        <v>45658</v>
      </c>
      <c r="AB512" s="22" cm="1">
        <f t="array" ref="AB5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12" s="4"/>
      <c r="AD512" s="4"/>
      <c r="AE512" s="2"/>
      <c r="AF512" s="3"/>
      <c r="AG512" s="3"/>
      <c r="AH512" s="3"/>
      <c r="AI512" s="3"/>
      <c r="AJ512" s="2">
        <f t="shared" si="71"/>
        <v>0</v>
      </c>
      <c r="AK512" s="2">
        <f t="shared" si="67"/>
        <v>0</v>
      </c>
      <c r="AL512" s="2">
        <f t="shared" si="69"/>
        <v>0</v>
      </c>
      <c r="AM512" s="88"/>
      <c r="AN512" s="157" t="s">
        <v>774</v>
      </c>
    </row>
    <row r="513" spans="2:40" ht="23.15" customHeight="1" thickBot="1">
      <c r="B513" s="87"/>
      <c r="C513" s="2" t="s">
        <v>292</v>
      </c>
      <c r="D513" s="15" t="s">
        <v>15</v>
      </c>
      <c r="E513" s="20" t="s">
        <v>25</v>
      </c>
      <c r="F513" s="20" t="s">
        <v>40</v>
      </c>
      <c r="G513" s="11">
        <v>18</v>
      </c>
      <c r="H513" s="18">
        <v>9</v>
      </c>
      <c r="I513" s="11">
        <v>0</v>
      </c>
      <c r="J513" s="11">
        <v>0</v>
      </c>
      <c r="K513" s="19">
        <v>62801.534895369725</v>
      </c>
      <c r="L513" s="41">
        <v>0</v>
      </c>
      <c r="M513" s="41">
        <v>0</v>
      </c>
      <c r="N513" s="41">
        <v>0</v>
      </c>
      <c r="O513" s="41">
        <v>0</v>
      </c>
      <c r="P513" s="41">
        <v>0</v>
      </c>
      <c r="Q513" s="43">
        <v>0</v>
      </c>
      <c r="R513" s="41">
        <v>0</v>
      </c>
      <c r="S513" s="43">
        <v>0</v>
      </c>
      <c r="T513" s="43">
        <v>0</v>
      </c>
      <c r="U513" s="19"/>
      <c r="V513" s="13">
        <f t="shared" si="70"/>
        <v>62801.534895369725</v>
      </c>
      <c r="W513" s="13"/>
      <c r="X513" s="13"/>
      <c r="Y513" s="13"/>
      <c r="Z513" s="13"/>
      <c r="AA513" s="22">
        <v>45689</v>
      </c>
      <c r="AB513" s="22" cm="1">
        <f t="array" ref="AB5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13" s="4"/>
      <c r="AD513" s="4"/>
      <c r="AE513" s="2"/>
      <c r="AF513" s="3"/>
      <c r="AG513" s="3"/>
      <c r="AH513" s="3"/>
      <c r="AI513" s="3"/>
      <c r="AJ513" s="2">
        <f t="shared" si="71"/>
        <v>0</v>
      </c>
      <c r="AK513" s="2">
        <f t="shared" si="67"/>
        <v>0</v>
      </c>
      <c r="AL513" s="2">
        <f t="shared" si="69"/>
        <v>0</v>
      </c>
      <c r="AM513" s="88"/>
      <c r="AN513" s="157" t="s">
        <v>774</v>
      </c>
    </row>
    <row r="514" spans="2:40" ht="23.15" customHeight="1" thickBot="1">
      <c r="B514" s="87">
        <v>45902</v>
      </c>
      <c r="C514" s="2" t="s">
        <v>295</v>
      </c>
      <c r="D514" s="15" t="s">
        <v>15</v>
      </c>
      <c r="E514" s="20" t="s">
        <v>25</v>
      </c>
      <c r="F514" s="20" t="s">
        <v>40</v>
      </c>
      <c r="G514" s="11">
        <v>18</v>
      </c>
      <c r="H514" s="18">
        <v>8</v>
      </c>
      <c r="I514" s="11">
        <v>0</v>
      </c>
      <c r="J514" s="43">
        <v>0</v>
      </c>
      <c r="K514" s="19">
        <v>61743.759351094537</v>
      </c>
      <c r="L514" s="41">
        <v>0</v>
      </c>
      <c r="M514" s="41">
        <v>0</v>
      </c>
      <c r="N514" s="41">
        <v>0</v>
      </c>
      <c r="O514" s="41">
        <v>0</v>
      </c>
      <c r="P514" s="41">
        <v>0</v>
      </c>
      <c r="Q514" s="43">
        <v>0</v>
      </c>
      <c r="R514" s="41">
        <v>0</v>
      </c>
      <c r="S514" s="43">
        <v>0</v>
      </c>
      <c r="T514" s="43">
        <v>0</v>
      </c>
      <c r="U514" s="19"/>
      <c r="V514" s="13">
        <f t="shared" si="70"/>
        <v>61743.759351094537</v>
      </c>
      <c r="W514" s="13"/>
      <c r="X514" s="13"/>
      <c r="Y514" s="13"/>
      <c r="Z514" s="13"/>
      <c r="AA514" s="22">
        <v>45870</v>
      </c>
      <c r="AB514" s="22" cm="1">
        <f t="array" ref="AB5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14" s="4"/>
      <c r="AD514" s="4"/>
      <c r="AE514" s="2"/>
      <c r="AF514" s="3"/>
      <c r="AG514" s="3"/>
      <c r="AH514" s="3"/>
      <c r="AI514" s="3"/>
      <c r="AJ514" s="2">
        <f t="shared" si="71"/>
        <v>0</v>
      </c>
      <c r="AK514" s="2">
        <f t="shared" si="67"/>
        <v>0</v>
      </c>
      <c r="AL514" s="2">
        <f t="shared" si="69"/>
        <v>0</v>
      </c>
      <c r="AM514" s="88"/>
      <c r="AN514" s="157" t="s">
        <v>774</v>
      </c>
    </row>
    <row r="515" spans="2:40" ht="23.15" customHeight="1" thickBot="1">
      <c r="B515" s="87">
        <v>45936</v>
      </c>
      <c r="C515" s="2" t="s">
        <v>295</v>
      </c>
      <c r="D515" s="15" t="s">
        <v>15</v>
      </c>
      <c r="E515" s="20" t="s">
        <v>25</v>
      </c>
      <c r="F515" s="20" t="s">
        <v>40</v>
      </c>
      <c r="G515" s="11">
        <v>18</v>
      </c>
      <c r="H515" s="18">
        <v>8</v>
      </c>
      <c r="I515" s="18">
        <v>0</v>
      </c>
      <c r="J515" s="11">
        <v>0</v>
      </c>
      <c r="K515" s="19">
        <v>61743.759351094537</v>
      </c>
      <c r="L515" s="41"/>
      <c r="M515" s="41">
        <v>0</v>
      </c>
      <c r="N515" s="41"/>
      <c r="O515" s="41">
        <v>0</v>
      </c>
      <c r="P515" s="41">
        <v>0</v>
      </c>
      <c r="Q515" s="41">
        <v>0</v>
      </c>
      <c r="R515" s="41">
        <v>0</v>
      </c>
      <c r="S515" s="41">
        <v>0</v>
      </c>
      <c r="T515" s="43">
        <v>0</v>
      </c>
      <c r="U515" s="19"/>
      <c r="V515" s="13">
        <f t="shared" si="70"/>
        <v>61743.759351094537</v>
      </c>
      <c r="W515" s="13"/>
      <c r="X515" s="13"/>
      <c r="Y515" s="13"/>
      <c r="Z515" s="13"/>
      <c r="AA515" s="22">
        <v>45901</v>
      </c>
      <c r="AB515" s="22" cm="1">
        <f t="array" ref="AB5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15" s="4"/>
      <c r="AD515" s="4"/>
      <c r="AE515" s="2"/>
      <c r="AF515" s="3"/>
      <c r="AG515" s="3"/>
      <c r="AH515" s="3"/>
      <c r="AI515" s="3"/>
      <c r="AJ515" s="2">
        <f t="shared" si="71"/>
        <v>0</v>
      </c>
      <c r="AK515" s="2">
        <f t="shared" ref="AK515:AK578" si="72">AC515-AD515</f>
        <v>0</v>
      </c>
      <c r="AL515" s="2">
        <f t="shared" si="69"/>
        <v>0</v>
      </c>
      <c r="AM515" s="88"/>
      <c r="AN515" s="157" t="s">
        <v>774</v>
      </c>
    </row>
    <row r="516" spans="2:40" ht="23.15" customHeight="1" thickBot="1">
      <c r="B516" s="87"/>
      <c r="C516" s="2" t="s">
        <v>292</v>
      </c>
      <c r="D516" s="15" t="s">
        <v>15</v>
      </c>
      <c r="E516" s="20" t="s">
        <v>25</v>
      </c>
      <c r="F516" s="20" t="s">
        <v>40</v>
      </c>
      <c r="G516" s="11">
        <v>18</v>
      </c>
      <c r="H516" s="18"/>
      <c r="I516" s="18" t="s">
        <v>294</v>
      </c>
      <c r="J516" s="18" t="s">
        <v>294</v>
      </c>
      <c r="K516" s="19">
        <v>61743.759351094537</v>
      </c>
      <c r="L516" s="41"/>
      <c r="M516" s="41" t="s">
        <v>294</v>
      </c>
      <c r="N516" s="41"/>
      <c r="O516" s="41" t="s">
        <v>294</v>
      </c>
      <c r="P516" s="41" t="s">
        <v>301</v>
      </c>
      <c r="Q516" s="43"/>
      <c r="R516" s="43"/>
      <c r="S516" s="43"/>
      <c r="T516" s="43"/>
      <c r="U516" s="19"/>
      <c r="V516" s="13">
        <f t="shared" si="70"/>
        <v>61743.759351094537</v>
      </c>
      <c r="W516" s="13"/>
      <c r="X516" s="13"/>
      <c r="Y516" s="13"/>
      <c r="Z516" s="13"/>
      <c r="AA516" s="22">
        <v>45931</v>
      </c>
      <c r="AB516" s="22" cm="1">
        <f t="array" ref="AB5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16" s="4"/>
      <c r="AD516" s="4"/>
      <c r="AE516" s="2"/>
      <c r="AF516" s="3"/>
      <c r="AG516" s="3"/>
      <c r="AH516" s="3"/>
      <c r="AI516" s="3"/>
      <c r="AJ516" s="2">
        <f t="shared" si="71"/>
        <v>0</v>
      </c>
      <c r="AK516" s="2">
        <f t="shared" si="72"/>
        <v>0</v>
      </c>
      <c r="AL516" s="2">
        <f t="shared" si="69"/>
        <v>0</v>
      </c>
      <c r="AM516" s="88"/>
      <c r="AN516" s="157" t="s">
        <v>774</v>
      </c>
    </row>
    <row r="517" spans="2:40" ht="23.15" customHeight="1" thickBot="1">
      <c r="B517" s="87">
        <v>45902</v>
      </c>
      <c r="C517" s="2" t="s">
        <v>295</v>
      </c>
      <c r="D517" s="15" t="s">
        <v>15</v>
      </c>
      <c r="E517" s="20" t="s">
        <v>26</v>
      </c>
      <c r="F517" s="20" t="s">
        <v>70</v>
      </c>
      <c r="G517" s="11">
        <v>2</v>
      </c>
      <c r="H517" s="18">
        <v>2</v>
      </c>
      <c r="I517" s="18">
        <v>0</v>
      </c>
      <c r="J517" s="43">
        <v>0</v>
      </c>
      <c r="K517" s="19">
        <v>11684.41</v>
      </c>
      <c r="L517" s="41">
        <v>0</v>
      </c>
      <c r="M517" s="41">
        <v>0</v>
      </c>
      <c r="N517" s="41">
        <v>0</v>
      </c>
      <c r="O517" s="41">
        <v>0</v>
      </c>
      <c r="P517" s="41">
        <v>-19.48</v>
      </c>
      <c r="Q517" s="43">
        <v>0</v>
      </c>
      <c r="R517" s="41">
        <v>0</v>
      </c>
      <c r="S517" s="43">
        <v>0</v>
      </c>
      <c r="T517" s="43">
        <v>0</v>
      </c>
      <c r="U517" s="19" t="s">
        <v>295</v>
      </c>
      <c r="V517" s="13">
        <f t="shared" si="70"/>
        <v>11664.93</v>
      </c>
      <c r="W517" s="13"/>
      <c r="X517" s="13"/>
      <c r="Y517" s="13"/>
      <c r="Z517" s="13"/>
      <c r="AA517" s="22">
        <v>45870</v>
      </c>
      <c r="AB517" s="22" cm="1">
        <f t="array" ref="AB5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17" s="4"/>
      <c r="AD517" s="4"/>
      <c r="AE517" s="2"/>
      <c r="AF517" s="3"/>
      <c r="AG517" s="3"/>
      <c r="AH517" s="3"/>
      <c r="AI517" s="3"/>
      <c r="AJ517" s="2">
        <f t="shared" si="71"/>
        <v>0</v>
      </c>
      <c r="AK517" s="2">
        <f t="shared" si="72"/>
        <v>0</v>
      </c>
      <c r="AL517" s="2">
        <f t="shared" si="69"/>
        <v>19.479999999999563</v>
      </c>
      <c r="AM517" s="88"/>
      <c r="AN517" s="157" t="s">
        <v>774</v>
      </c>
    </row>
    <row r="518" spans="2:40" ht="23.15" customHeight="1" thickBot="1">
      <c r="B518" s="87">
        <v>45931</v>
      </c>
      <c r="C518" s="2" t="s">
        <v>295</v>
      </c>
      <c r="D518" s="15" t="s">
        <v>15</v>
      </c>
      <c r="E518" s="20" t="s">
        <v>26</v>
      </c>
      <c r="F518" s="20" t="s">
        <v>70</v>
      </c>
      <c r="G518" s="11">
        <v>2</v>
      </c>
      <c r="H518" s="11">
        <v>2</v>
      </c>
      <c r="I518" s="11">
        <v>0</v>
      </c>
      <c r="J518" s="11">
        <v>0</v>
      </c>
      <c r="K518" s="19">
        <v>11684.41</v>
      </c>
      <c r="L518" s="41"/>
      <c r="M518" s="41">
        <v>0</v>
      </c>
      <c r="N518" s="41"/>
      <c r="O518" s="41">
        <v>0</v>
      </c>
      <c r="P518" s="41">
        <v>-19.48</v>
      </c>
      <c r="Q518" s="43">
        <v>0</v>
      </c>
      <c r="R518" s="43">
        <v>0</v>
      </c>
      <c r="S518" s="43">
        <v>0</v>
      </c>
      <c r="T518" s="43">
        <v>0</v>
      </c>
      <c r="U518" s="19" t="s">
        <v>295</v>
      </c>
      <c r="V518" s="13">
        <f t="shared" si="70"/>
        <v>11664.93</v>
      </c>
      <c r="W518" s="13"/>
      <c r="X518" s="13"/>
      <c r="Y518" s="13"/>
      <c r="Z518" s="13"/>
      <c r="AA518" s="22">
        <v>45901</v>
      </c>
      <c r="AB518" s="22" cm="1">
        <f t="array" ref="AB5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18" s="4"/>
      <c r="AD518" s="4"/>
      <c r="AE518" s="2"/>
      <c r="AF518" s="3"/>
      <c r="AG518" s="3"/>
      <c r="AH518" s="3"/>
      <c r="AI518" s="3"/>
      <c r="AJ518" s="2">
        <f t="shared" si="71"/>
        <v>0</v>
      </c>
      <c r="AK518" s="2">
        <f t="shared" si="72"/>
        <v>0</v>
      </c>
      <c r="AL518" s="2">
        <f t="shared" si="69"/>
        <v>19.479999999999563</v>
      </c>
      <c r="AM518" s="88"/>
      <c r="AN518" s="157" t="s">
        <v>774</v>
      </c>
    </row>
    <row r="519" spans="2:40" ht="23.15" customHeight="1" thickBot="1">
      <c r="B519" s="87"/>
      <c r="C519" s="2" t="s">
        <v>292</v>
      </c>
      <c r="D519" s="15" t="s">
        <v>15</v>
      </c>
      <c r="E519" s="20" t="s">
        <v>26</v>
      </c>
      <c r="F519" s="20" t="s">
        <v>70</v>
      </c>
      <c r="G519" s="11">
        <v>2</v>
      </c>
      <c r="H519" s="18"/>
      <c r="I519" s="18" t="s">
        <v>294</v>
      </c>
      <c r="J519" s="18" t="s">
        <v>294</v>
      </c>
      <c r="K519" s="19">
        <v>11684.41</v>
      </c>
      <c r="L519" s="41"/>
      <c r="M519" s="41" t="s">
        <v>294</v>
      </c>
      <c r="N519" s="41"/>
      <c r="O519" s="41" t="s">
        <v>294</v>
      </c>
      <c r="P519" s="41" t="s">
        <v>301</v>
      </c>
      <c r="Q519" s="43"/>
      <c r="R519" s="43"/>
      <c r="S519" s="43"/>
      <c r="T519" s="43"/>
      <c r="U519" s="19"/>
      <c r="V519" s="13">
        <f t="shared" si="70"/>
        <v>11684.41</v>
      </c>
      <c r="W519" s="13"/>
      <c r="X519" s="13"/>
      <c r="Y519" s="13"/>
      <c r="Z519" s="13"/>
      <c r="AA519" s="22">
        <v>45931</v>
      </c>
      <c r="AB519" s="22" cm="1">
        <f t="array" ref="AB5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19" s="4"/>
      <c r="AD519" s="4"/>
      <c r="AE519" s="2"/>
      <c r="AF519" s="3"/>
      <c r="AG519" s="3"/>
      <c r="AH519" s="3"/>
      <c r="AI519" s="3"/>
      <c r="AJ519" s="2">
        <f t="shared" si="71"/>
        <v>0</v>
      </c>
      <c r="AK519" s="2">
        <f t="shared" si="72"/>
        <v>0</v>
      </c>
      <c r="AL519" s="2">
        <f t="shared" si="69"/>
        <v>0</v>
      </c>
      <c r="AM519" s="88"/>
      <c r="AN519" s="157" t="s">
        <v>774</v>
      </c>
    </row>
    <row r="520" spans="2:40" ht="23.15" customHeight="1" thickBot="1">
      <c r="B520" s="87">
        <v>45902</v>
      </c>
      <c r="C520" s="2" t="s">
        <v>295</v>
      </c>
      <c r="D520" s="15" t="s">
        <v>15</v>
      </c>
      <c r="E520" s="20" t="s">
        <v>31</v>
      </c>
      <c r="F520" s="20" t="s">
        <v>73</v>
      </c>
      <c r="G520" s="11">
        <v>6</v>
      </c>
      <c r="H520" s="18">
        <v>6</v>
      </c>
      <c r="I520" s="18">
        <v>0</v>
      </c>
      <c r="J520" s="41">
        <v>0</v>
      </c>
      <c r="K520" s="19">
        <v>26379.93158870536</v>
      </c>
      <c r="L520" s="41">
        <v>0</v>
      </c>
      <c r="M520" s="41">
        <v>0</v>
      </c>
      <c r="N520" s="41">
        <v>0</v>
      </c>
      <c r="O520" s="41">
        <v>0</v>
      </c>
      <c r="P520" s="41">
        <v>-43.97</v>
      </c>
      <c r="Q520" s="43">
        <v>0</v>
      </c>
      <c r="R520" s="43">
        <v>0</v>
      </c>
      <c r="S520" s="43">
        <v>0</v>
      </c>
      <c r="T520" s="43">
        <v>0</v>
      </c>
      <c r="U520" s="19" t="s">
        <v>295</v>
      </c>
      <c r="V520" s="13">
        <f t="shared" si="70"/>
        <v>26335.961588705359</v>
      </c>
      <c r="W520" s="13"/>
      <c r="X520" s="13"/>
      <c r="Y520" s="13"/>
      <c r="Z520" s="13"/>
      <c r="AA520" s="22">
        <v>45870</v>
      </c>
      <c r="AB520" s="22" cm="1">
        <f t="array" ref="AB5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20" s="4"/>
      <c r="AD520" s="4"/>
      <c r="AE520" s="2"/>
      <c r="AF520" s="3"/>
      <c r="AG520" s="3"/>
      <c r="AH520" s="3"/>
      <c r="AI520" s="3"/>
      <c r="AJ520" s="2">
        <f t="shared" si="71"/>
        <v>0</v>
      </c>
      <c r="AK520" s="2">
        <f t="shared" si="72"/>
        <v>0</v>
      </c>
      <c r="AL520" s="2">
        <f t="shared" si="69"/>
        <v>43.970000000001164</v>
      </c>
      <c r="AM520" s="88"/>
      <c r="AN520" s="157" t="s">
        <v>774</v>
      </c>
    </row>
    <row r="521" spans="2:40" ht="23.15" customHeight="1" thickBot="1">
      <c r="B521" s="87">
        <v>45933</v>
      </c>
      <c r="C521" s="38" t="s">
        <v>295</v>
      </c>
      <c r="D521" s="15" t="s">
        <v>15</v>
      </c>
      <c r="E521" s="20" t="s">
        <v>31</v>
      </c>
      <c r="F521" s="20" t="s">
        <v>73</v>
      </c>
      <c r="G521" s="11">
        <v>6</v>
      </c>
      <c r="H521" s="18">
        <v>6</v>
      </c>
      <c r="I521" s="18">
        <v>0</v>
      </c>
      <c r="J521" s="11">
        <v>0</v>
      </c>
      <c r="K521" s="19">
        <v>26379.93158870536</v>
      </c>
      <c r="L521" s="41"/>
      <c r="M521" s="41">
        <v>0</v>
      </c>
      <c r="N521" s="41"/>
      <c r="O521" s="41">
        <v>0</v>
      </c>
      <c r="P521" s="41">
        <v>-43.966550000001</v>
      </c>
      <c r="Q521" s="43">
        <v>0</v>
      </c>
      <c r="R521" s="43">
        <v>0</v>
      </c>
      <c r="S521" s="43">
        <v>0</v>
      </c>
      <c r="T521" s="43">
        <v>0</v>
      </c>
      <c r="U521" s="19" t="s">
        <v>295</v>
      </c>
      <c r="V521" s="13">
        <f t="shared" si="70"/>
        <v>26335.965038705359</v>
      </c>
      <c r="W521" s="13"/>
      <c r="X521" s="13"/>
      <c r="Y521" s="13"/>
      <c r="Z521" s="13"/>
      <c r="AA521" s="22">
        <v>45901</v>
      </c>
      <c r="AB521" s="22" cm="1">
        <f t="array" ref="AB5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21" s="4"/>
      <c r="AD521" s="4"/>
      <c r="AE521" s="2"/>
      <c r="AF521" s="3"/>
      <c r="AG521" s="3"/>
      <c r="AH521" s="3"/>
      <c r="AI521" s="3"/>
      <c r="AJ521" s="2">
        <f t="shared" si="71"/>
        <v>0</v>
      </c>
      <c r="AK521" s="2">
        <f t="shared" si="72"/>
        <v>0</v>
      </c>
      <c r="AL521" s="2">
        <f t="shared" si="69"/>
        <v>43.966550000001007</v>
      </c>
      <c r="AM521" s="88"/>
      <c r="AN521" s="157" t="s">
        <v>774</v>
      </c>
    </row>
    <row r="522" spans="2:40" ht="23.15" customHeight="1" thickBot="1">
      <c r="B522" s="87"/>
      <c r="C522" s="2" t="s">
        <v>292</v>
      </c>
      <c r="D522" s="15" t="s">
        <v>15</v>
      </c>
      <c r="E522" s="20" t="s">
        <v>31</v>
      </c>
      <c r="F522" s="20" t="s">
        <v>73</v>
      </c>
      <c r="G522" s="11">
        <v>6</v>
      </c>
      <c r="H522" s="18"/>
      <c r="I522" s="18" t="s">
        <v>294</v>
      </c>
      <c r="J522" s="18" t="s">
        <v>294</v>
      </c>
      <c r="K522" s="19">
        <v>26379.93158870536</v>
      </c>
      <c r="L522" s="41"/>
      <c r="M522" s="41" t="s">
        <v>294</v>
      </c>
      <c r="N522" s="41"/>
      <c r="O522" s="41" t="s">
        <v>294</v>
      </c>
      <c r="P522" s="41" t="s">
        <v>301</v>
      </c>
      <c r="Q522" s="43"/>
      <c r="R522" s="43"/>
      <c r="S522" s="43"/>
      <c r="T522" s="43"/>
      <c r="U522" s="19"/>
      <c r="V522" s="13">
        <f t="shared" si="70"/>
        <v>26379.93158870536</v>
      </c>
      <c r="W522" s="13"/>
      <c r="X522" s="13"/>
      <c r="Y522" s="13"/>
      <c r="Z522" s="13"/>
      <c r="AA522" s="22">
        <v>45931</v>
      </c>
      <c r="AB522" s="22" cm="1">
        <f t="array" ref="AB5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22" s="4"/>
      <c r="AD522" s="4"/>
      <c r="AE522" s="2"/>
      <c r="AF522" s="3"/>
      <c r="AG522" s="3"/>
      <c r="AH522" s="3"/>
      <c r="AI522" s="3"/>
      <c r="AJ522" s="2">
        <f t="shared" si="71"/>
        <v>0</v>
      </c>
      <c r="AK522" s="2">
        <f t="shared" si="72"/>
        <v>0</v>
      </c>
      <c r="AL522" s="2">
        <f t="shared" si="69"/>
        <v>0</v>
      </c>
      <c r="AM522" s="88"/>
      <c r="AN522" s="157" t="s">
        <v>774</v>
      </c>
    </row>
    <row r="523" spans="2:40" ht="23.15" customHeight="1" thickBot="1">
      <c r="B523" s="87">
        <v>45902</v>
      </c>
      <c r="C523" s="2" t="s">
        <v>295</v>
      </c>
      <c r="D523" s="15" t="s">
        <v>15</v>
      </c>
      <c r="E523" s="20" t="s">
        <v>32</v>
      </c>
      <c r="F523" s="20" t="s">
        <v>73</v>
      </c>
      <c r="G523" s="11">
        <v>4</v>
      </c>
      <c r="H523" s="11">
        <v>4</v>
      </c>
      <c r="I523" s="18">
        <v>0</v>
      </c>
      <c r="J523" s="43">
        <v>0</v>
      </c>
      <c r="K523" s="19">
        <v>22724.586043735679</v>
      </c>
      <c r="L523" s="41">
        <v>0</v>
      </c>
      <c r="M523" s="41">
        <v>0</v>
      </c>
      <c r="N523" s="41">
        <v>0</v>
      </c>
      <c r="O523" s="41">
        <v>0</v>
      </c>
      <c r="P523" s="41">
        <v>-37.869999999999997</v>
      </c>
      <c r="Q523" s="43">
        <v>0</v>
      </c>
      <c r="R523" s="43">
        <v>0</v>
      </c>
      <c r="S523" s="43">
        <v>0</v>
      </c>
      <c r="T523" s="43">
        <v>0</v>
      </c>
      <c r="U523" s="19" t="s">
        <v>295</v>
      </c>
      <c r="V523" s="13">
        <f t="shared" si="70"/>
        <v>22686.71604373568</v>
      </c>
      <c r="W523" s="13"/>
      <c r="X523" s="13"/>
      <c r="Y523" s="13"/>
      <c r="Z523" s="13"/>
      <c r="AA523" s="22">
        <v>45870</v>
      </c>
      <c r="AB523" s="22" cm="1">
        <f t="array" ref="AB5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23" s="4"/>
      <c r="AD523" s="4"/>
      <c r="AE523" s="2"/>
      <c r="AF523" s="3"/>
      <c r="AG523" s="3"/>
      <c r="AH523" s="3"/>
      <c r="AI523" s="3"/>
      <c r="AJ523" s="2">
        <f t="shared" si="71"/>
        <v>0</v>
      </c>
      <c r="AK523" s="2">
        <f t="shared" si="72"/>
        <v>0</v>
      </c>
      <c r="AL523" s="2">
        <f t="shared" si="69"/>
        <v>37.869999999998981</v>
      </c>
      <c r="AM523" s="88"/>
      <c r="AN523" s="157" t="s">
        <v>774</v>
      </c>
    </row>
    <row r="524" spans="2:40" ht="23.15" customHeight="1" thickBot="1">
      <c r="B524" s="87">
        <v>45933</v>
      </c>
      <c r="C524" s="38" t="s">
        <v>295</v>
      </c>
      <c r="D524" s="15" t="s">
        <v>15</v>
      </c>
      <c r="E524" s="20" t="s">
        <v>32</v>
      </c>
      <c r="F524" s="20" t="s">
        <v>73</v>
      </c>
      <c r="G524" s="11">
        <v>4</v>
      </c>
      <c r="H524" s="11">
        <v>4</v>
      </c>
      <c r="I524" s="18">
        <v>0</v>
      </c>
      <c r="J524" s="18">
        <v>0</v>
      </c>
      <c r="K524" s="19">
        <v>22724.586043735679</v>
      </c>
      <c r="L524" s="41"/>
      <c r="M524" s="41">
        <v>0</v>
      </c>
      <c r="N524" s="41"/>
      <c r="O524" s="41">
        <v>0</v>
      </c>
      <c r="P524" s="41">
        <v>-37.8743166666682</v>
      </c>
      <c r="Q524" s="43">
        <v>0</v>
      </c>
      <c r="R524" s="43">
        <v>0</v>
      </c>
      <c r="S524" s="43">
        <v>0</v>
      </c>
      <c r="T524" s="43">
        <v>0</v>
      </c>
      <c r="U524" s="19" t="s">
        <v>295</v>
      </c>
      <c r="V524" s="13">
        <f t="shared" si="70"/>
        <v>22686.711727069011</v>
      </c>
      <c r="W524" s="13"/>
      <c r="X524" s="13"/>
      <c r="Y524" s="13"/>
      <c r="Z524" s="13"/>
      <c r="AA524" s="22">
        <v>45901</v>
      </c>
      <c r="AB524" s="22" cm="1">
        <f t="array" ref="AB5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24" s="4"/>
      <c r="AD524" s="4"/>
      <c r="AE524" s="2"/>
      <c r="AF524" s="3"/>
      <c r="AG524" s="3"/>
      <c r="AH524" s="3"/>
      <c r="AI524" s="3"/>
      <c r="AJ524" s="2">
        <f t="shared" si="71"/>
        <v>0</v>
      </c>
      <c r="AK524" s="2">
        <f t="shared" si="72"/>
        <v>0</v>
      </c>
      <c r="AL524" s="2">
        <f t="shared" si="69"/>
        <v>37.874316666668165</v>
      </c>
      <c r="AM524" s="88"/>
      <c r="AN524" s="157" t="s">
        <v>774</v>
      </c>
    </row>
    <row r="525" spans="2:40" ht="23.15" customHeight="1" thickBot="1">
      <c r="B525" s="87"/>
      <c r="C525" s="2" t="s">
        <v>292</v>
      </c>
      <c r="D525" s="15" t="s">
        <v>15</v>
      </c>
      <c r="E525" s="20" t="s">
        <v>32</v>
      </c>
      <c r="F525" s="20" t="s">
        <v>73</v>
      </c>
      <c r="G525" s="11">
        <v>4</v>
      </c>
      <c r="H525" s="11"/>
      <c r="I525" s="18" t="s">
        <v>294</v>
      </c>
      <c r="J525" s="18" t="s">
        <v>294</v>
      </c>
      <c r="K525" s="19">
        <v>22724.586043735679</v>
      </c>
      <c r="L525" s="41"/>
      <c r="M525" s="41" t="s">
        <v>294</v>
      </c>
      <c r="N525" s="41"/>
      <c r="O525" s="41" t="s">
        <v>294</v>
      </c>
      <c r="P525" s="41" t="s">
        <v>301</v>
      </c>
      <c r="Q525" s="43"/>
      <c r="R525" s="43"/>
      <c r="S525" s="43"/>
      <c r="T525" s="43"/>
      <c r="U525" s="19"/>
      <c r="V525" s="13">
        <f t="shared" si="70"/>
        <v>22724.586043735679</v>
      </c>
      <c r="W525" s="13"/>
      <c r="X525" s="13"/>
      <c r="Y525" s="13"/>
      <c r="Z525" s="13"/>
      <c r="AA525" s="22">
        <v>45931</v>
      </c>
      <c r="AB525" s="22" cm="1">
        <f t="array" ref="AB5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25" s="4"/>
      <c r="AD525" s="4"/>
      <c r="AE525" s="2"/>
      <c r="AF525" s="3"/>
      <c r="AG525" s="3"/>
      <c r="AH525" s="3"/>
      <c r="AI525" s="3"/>
      <c r="AJ525" s="2">
        <f t="shared" si="71"/>
        <v>0</v>
      </c>
      <c r="AK525" s="2">
        <f t="shared" si="72"/>
        <v>0</v>
      </c>
      <c r="AL525" s="2">
        <f t="shared" si="69"/>
        <v>0</v>
      </c>
      <c r="AM525" s="88"/>
      <c r="AN525" s="157" t="s">
        <v>774</v>
      </c>
    </row>
    <row r="526" spans="2:40" ht="23.15" customHeight="1" thickBot="1">
      <c r="B526" s="87"/>
      <c r="C526" s="2"/>
      <c r="D526" s="15" t="s">
        <v>15</v>
      </c>
      <c r="E526" s="20" t="s">
        <v>28</v>
      </c>
      <c r="F526" s="20" t="s">
        <v>63</v>
      </c>
      <c r="G526" s="11">
        <v>4</v>
      </c>
      <c r="H526" s="11"/>
      <c r="I526" s="18"/>
      <c r="J526" s="18"/>
      <c r="K526" s="10"/>
      <c r="L526" s="41"/>
      <c r="M526" s="41"/>
      <c r="N526" s="41"/>
      <c r="O526" s="41"/>
      <c r="P526" s="41"/>
      <c r="Q526" s="41"/>
      <c r="R526" s="41"/>
      <c r="S526" s="41"/>
      <c r="T526" s="41"/>
      <c r="U526" s="19"/>
      <c r="V526" s="13">
        <f t="shared" si="70"/>
        <v>0</v>
      </c>
      <c r="W526" s="13"/>
      <c r="X526" s="13"/>
      <c r="Y526" s="13"/>
      <c r="Z526" s="13"/>
      <c r="AA526" s="22">
        <v>45962</v>
      </c>
      <c r="AB526" s="22" cm="1">
        <f t="array" ref="AB5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26" s="4"/>
      <c r="AD526" s="4"/>
      <c r="AE526" s="2"/>
      <c r="AF526" s="3"/>
      <c r="AG526" s="3"/>
      <c r="AH526" s="3"/>
      <c r="AI526" s="3"/>
      <c r="AJ526" s="2">
        <f t="shared" si="71"/>
        <v>0</v>
      </c>
      <c r="AK526" s="2">
        <f t="shared" si="72"/>
        <v>0</v>
      </c>
      <c r="AL526" s="2">
        <f t="shared" si="69"/>
        <v>0</v>
      </c>
      <c r="AM526" s="88"/>
      <c r="AN526" s="157" t="s">
        <v>774</v>
      </c>
    </row>
    <row r="527" spans="2:40" ht="23.15" customHeight="1" thickBot="1">
      <c r="B527" s="87"/>
      <c r="C527" s="2"/>
      <c r="D527" s="15" t="s">
        <v>15</v>
      </c>
      <c r="E527" s="20" t="s">
        <v>30</v>
      </c>
      <c r="F527" s="20" t="s">
        <v>73</v>
      </c>
      <c r="G527" s="11">
        <v>11</v>
      </c>
      <c r="H527" s="18"/>
      <c r="I527" s="18"/>
      <c r="J527" s="11"/>
      <c r="K527" s="10"/>
      <c r="L527" s="41"/>
      <c r="M527" s="41"/>
      <c r="N527" s="41"/>
      <c r="O527" s="41"/>
      <c r="P527" s="41"/>
      <c r="Q527" s="43"/>
      <c r="R527" s="43"/>
      <c r="S527" s="43"/>
      <c r="T527" s="43"/>
      <c r="U527" s="19"/>
      <c r="V527" s="13">
        <f t="shared" si="70"/>
        <v>0</v>
      </c>
      <c r="W527" s="13"/>
      <c r="X527" s="13"/>
      <c r="Y527" s="13"/>
      <c r="Z527" s="13"/>
      <c r="AA527" s="22">
        <v>45962</v>
      </c>
      <c r="AB527" s="22" cm="1">
        <f t="array" ref="AB5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27" s="4"/>
      <c r="AD527" s="4"/>
      <c r="AE527" s="2"/>
      <c r="AF527" s="3"/>
      <c r="AG527" s="3"/>
      <c r="AH527" s="3"/>
      <c r="AI527" s="3"/>
      <c r="AJ527" s="2">
        <f t="shared" si="71"/>
        <v>0</v>
      </c>
      <c r="AK527" s="2">
        <f t="shared" si="72"/>
        <v>0</v>
      </c>
      <c r="AL527" s="2">
        <f t="shared" si="69"/>
        <v>0</v>
      </c>
      <c r="AM527" s="88"/>
      <c r="AN527" s="157" t="s">
        <v>774</v>
      </c>
    </row>
    <row r="528" spans="2:40" ht="23.15" customHeight="1" thickBot="1">
      <c r="B528" s="87"/>
      <c r="C528" s="2"/>
      <c r="D528" s="15" t="s">
        <v>15</v>
      </c>
      <c r="E528" s="20" t="s">
        <v>25</v>
      </c>
      <c r="F528" s="20" t="s">
        <v>40</v>
      </c>
      <c r="G528" s="11">
        <v>18</v>
      </c>
      <c r="H528" s="18"/>
      <c r="I528" s="18"/>
      <c r="J528" s="18"/>
      <c r="K528" s="19"/>
      <c r="L528" s="41"/>
      <c r="M528" s="41"/>
      <c r="N528" s="41"/>
      <c r="O528" s="41"/>
      <c r="P528" s="41"/>
      <c r="Q528" s="43"/>
      <c r="R528" s="43"/>
      <c r="S528" s="43"/>
      <c r="T528" s="43"/>
      <c r="U528" s="19"/>
      <c r="V528" s="13">
        <f t="shared" si="70"/>
        <v>0</v>
      </c>
      <c r="W528" s="13"/>
      <c r="X528" s="13"/>
      <c r="Y528" s="13"/>
      <c r="Z528" s="13"/>
      <c r="AA528" s="22">
        <v>45962</v>
      </c>
      <c r="AB528" s="22" cm="1">
        <f t="array" ref="AB5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28" s="4"/>
      <c r="AD528" s="4"/>
      <c r="AE528" s="2"/>
      <c r="AF528" s="3"/>
      <c r="AG528" s="3"/>
      <c r="AH528" s="3"/>
      <c r="AI528" s="3"/>
      <c r="AJ528" s="2">
        <f t="shared" si="71"/>
        <v>0</v>
      </c>
      <c r="AK528" s="2">
        <f t="shared" si="72"/>
        <v>0</v>
      </c>
      <c r="AL528" s="2">
        <f t="shared" si="69"/>
        <v>0</v>
      </c>
      <c r="AM528" s="88"/>
      <c r="AN528" s="157" t="s">
        <v>774</v>
      </c>
    </row>
    <row r="529" spans="2:40" ht="23.15" customHeight="1" thickBot="1">
      <c r="B529" s="87"/>
      <c r="C529" s="2"/>
      <c r="D529" s="15" t="s">
        <v>15</v>
      </c>
      <c r="E529" s="20" t="s">
        <v>26</v>
      </c>
      <c r="F529" s="20" t="s">
        <v>70</v>
      </c>
      <c r="G529" s="11">
        <v>2</v>
      </c>
      <c r="H529" s="11"/>
      <c r="I529" s="18"/>
      <c r="J529" s="11"/>
      <c r="K529" s="19"/>
      <c r="L529" s="41"/>
      <c r="M529" s="41"/>
      <c r="N529" s="41"/>
      <c r="O529" s="41"/>
      <c r="P529" s="41"/>
      <c r="Q529" s="43"/>
      <c r="R529" s="43"/>
      <c r="S529" s="43"/>
      <c r="T529" s="43"/>
      <c r="U529" s="19"/>
      <c r="V529" s="13">
        <f t="shared" si="70"/>
        <v>0</v>
      </c>
      <c r="W529" s="13"/>
      <c r="X529" s="13"/>
      <c r="Y529" s="13"/>
      <c r="Z529" s="13"/>
      <c r="AA529" s="22">
        <v>45962</v>
      </c>
      <c r="AB529" s="22" cm="1">
        <f t="array" ref="AB5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29" s="4"/>
      <c r="AD529" s="4"/>
      <c r="AE529" s="2"/>
      <c r="AF529" s="3"/>
      <c r="AG529" s="3"/>
      <c r="AH529" s="3"/>
      <c r="AI529" s="3"/>
      <c r="AJ529" s="2">
        <f t="shared" si="71"/>
        <v>0</v>
      </c>
      <c r="AK529" s="2">
        <f t="shared" si="72"/>
        <v>0</v>
      </c>
      <c r="AL529" s="2">
        <f t="shared" si="69"/>
        <v>0</v>
      </c>
      <c r="AM529" s="88"/>
      <c r="AN529" s="157" t="s">
        <v>774</v>
      </c>
    </row>
    <row r="530" spans="2:40" ht="23.15" customHeight="1" thickBot="1">
      <c r="B530" s="87"/>
      <c r="C530" s="2"/>
      <c r="D530" s="15" t="s">
        <v>15</v>
      </c>
      <c r="E530" s="20" t="s">
        <v>31</v>
      </c>
      <c r="F530" s="20" t="s">
        <v>73</v>
      </c>
      <c r="G530" s="11">
        <v>6</v>
      </c>
      <c r="H530" s="18"/>
      <c r="I530" s="18"/>
      <c r="J530" s="11"/>
      <c r="K530" s="19"/>
      <c r="L530" s="41"/>
      <c r="M530" s="41"/>
      <c r="N530" s="41"/>
      <c r="O530" s="41"/>
      <c r="P530" s="41"/>
      <c r="Q530" s="43"/>
      <c r="R530" s="43"/>
      <c r="S530" s="43"/>
      <c r="T530" s="43"/>
      <c r="U530" s="19"/>
      <c r="V530" s="13">
        <f t="shared" si="70"/>
        <v>0</v>
      </c>
      <c r="W530" s="13"/>
      <c r="X530" s="13"/>
      <c r="Y530" s="13"/>
      <c r="Z530" s="13"/>
      <c r="AA530" s="22">
        <v>45962</v>
      </c>
      <c r="AB530" s="22" cm="1">
        <f t="array" ref="AB5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30" s="4"/>
      <c r="AD530" s="4"/>
      <c r="AE530" s="2"/>
      <c r="AF530" s="3"/>
      <c r="AG530" s="3"/>
      <c r="AH530" s="3"/>
      <c r="AI530" s="3"/>
      <c r="AJ530" s="2">
        <f t="shared" si="71"/>
        <v>0</v>
      </c>
      <c r="AK530" s="2">
        <f t="shared" si="72"/>
        <v>0</v>
      </c>
      <c r="AL530" s="2">
        <f t="shared" si="69"/>
        <v>0</v>
      </c>
      <c r="AM530" s="88"/>
      <c r="AN530" s="157" t="s">
        <v>774</v>
      </c>
    </row>
    <row r="531" spans="2:40" ht="23.15" customHeight="1" thickBot="1">
      <c r="B531" s="87"/>
      <c r="C531" s="2"/>
      <c r="D531" s="15" t="s">
        <v>15</v>
      </c>
      <c r="E531" s="20" t="s">
        <v>32</v>
      </c>
      <c r="F531" s="20" t="s">
        <v>73</v>
      </c>
      <c r="G531" s="11">
        <v>4</v>
      </c>
      <c r="H531" s="18"/>
      <c r="I531" s="18"/>
      <c r="J531" s="11"/>
      <c r="K531" s="19"/>
      <c r="L531" s="41"/>
      <c r="M531" s="41"/>
      <c r="N531" s="41"/>
      <c r="O531" s="41"/>
      <c r="P531" s="41"/>
      <c r="Q531" s="43"/>
      <c r="R531" s="43"/>
      <c r="S531" s="43"/>
      <c r="T531" s="43"/>
      <c r="U531" s="19"/>
      <c r="V531" s="13">
        <f t="shared" si="70"/>
        <v>0</v>
      </c>
      <c r="W531" s="13"/>
      <c r="X531" s="13"/>
      <c r="Y531" s="13"/>
      <c r="Z531" s="13"/>
      <c r="AA531" s="22">
        <v>45962</v>
      </c>
      <c r="AB531" s="22" cm="1">
        <f t="array" ref="AB5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31" s="4"/>
      <c r="AD531" s="4"/>
      <c r="AE531" s="2"/>
      <c r="AF531" s="3"/>
      <c r="AG531" s="3"/>
      <c r="AH531" s="3"/>
      <c r="AI531" s="3"/>
      <c r="AJ531" s="2">
        <f t="shared" si="71"/>
        <v>0</v>
      </c>
      <c r="AK531" s="2">
        <f t="shared" si="72"/>
        <v>0</v>
      </c>
      <c r="AL531" s="2">
        <f t="shared" si="69"/>
        <v>0</v>
      </c>
      <c r="AM531" s="88"/>
      <c r="AN531" s="157" t="s">
        <v>774</v>
      </c>
    </row>
    <row r="532" spans="2:40" ht="23.15" customHeight="1" thickBot="1">
      <c r="B532" s="87"/>
      <c r="C532" s="2"/>
      <c r="D532" s="15" t="s">
        <v>15</v>
      </c>
      <c r="E532" s="20" t="s">
        <v>28</v>
      </c>
      <c r="F532" s="20" t="s">
        <v>63</v>
      </c>
      <c r="G532" s="11">
        <v>4</v>
      </c>
      <c r="H532" s="18"/>
      <c r="I532" s="18"/>
      <c r="J532" s="11"/>
      <c r="K532" s="19"/>
      <c r="L532" s="41"/>
      <c r="M532" s="41"/>
      <c r="N532" s="41"/>
      <c r="O532" s="41"/>
      <c r="P532" s="41"/>
      <c r="Q532" s="43"/>
      <c r="R532" s="43"/>
      <c r="S532" s="43"/>
      <c r="T532" s="43"/>
      <c r="U532" s="19"/>
      <c r="V532" s="13">
        <f t="shared" si="70"/>
        <v>0</v>
      </c>
      <c r="W532" s="13"/>
      <c r="X532" s="13"/>
      <c r="Y532" s="13"/>
      <c r="Z532" s="13"/>
      <c r="AA532" s="22">
        <v>45992</v>
      </c>
      <c r="AB532" s="22" cm="1">
        <f t="array" ref="AB5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2" s="4"/>
      <c r="AD532" s="4"/>
      <c r="AE532" s="2"/>
      <c r="AF532" s="3"/>
      <c r="AG532" s="3"/>
      <c r="AH532" s="3"/>
      <c r="AI532" s="3"/>
      <c r="AJ532" s="2">
        <f t="shared" si="71"/>
        <v>0</v>
      </c>
      <c r="AK532" s="2">
        <f t="shared" si="72"/>
        <v>0</v>
      </c>
      <c r="AL532" s="2">
        <f t="shared" si="69"/>
        <v>0</v>
      </c>
      <c r="AM532" s="88"/>
      <c r="AN532" s="157" t="s">
        <v>774</v>
      </c>
    </row>
    <row r="533" spans="2:40" ht="23.15" customHeight="1" thickBot="1">
      <c r="B533" s="87"/>
      <c r="C533" s="2"/>
      <c r="D533" s="15" t="s">
        <v>15</v>
      </c>
      <c r="E533" s="20" t="s">
        <v>30</v>
      </c>
      <c r="F533" s="20" t="s">
        <v>73</v>
      </c>
      <c r="G533" s="11">
        <v>11</v>
      </c>
      <c r="H533" s="18"/>
      <c r="I533" s="18"/>
      <c r="J533" s="11"/>
      <c r="K533" s="249"/>
      <c r="L533" s="41"/>
      <c r="M533" s="41"/>
      <c r="N533" s="41"/>
      <c r="O533" s="41"/>
      <c r="P533" s="41"/>
      <c r="Q533" s="43"/>
      <c r="R533" s="43"/>
      <c r="S533" s="43"/>
      <c r="T533" s="43"/>
      <c r="U533" s="19"/>
      <c r="V533" s="13">
        <f t="shared" si="70"/>
        <v>0</v>
      </c>
      <c r="W533" s="13"/>
      <c r="X533" s="13"/>
      <c r="Y533" s="13"/>
      <c r="Z533" s="13"/>
      <c r="AA533" s="22">
        <v>45992</v>
      </c>
      <c r="AB533" s="22" cm="1">
        <f t="array" ref="AB5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3" s="4"/>
      <c r="AD533" s="4"/>
      <c r="AE533" s="2"/>
      <c r="AF533" s="3"/>
      <c r="AG533" s="3"/>
      <c r="AH533" s="3"/>
      <c r="AI533" s="3"/>
      <c r="AJ533" s="2">
        <f t="shared" si="71"/>
        <v>0</v>
      </c>
      <c r="AK533" s="2">
        <f t="shared" si="72"/>
        <v>0</v>
      </c>
      <c r="AL533" s="2">
        <f t="shared" si="69"/>
        <v>0</v>
      </c>
      <c r="AM533" s="88"/>
      <c r="AN533" s="157" t="s">
        <v>774</v>
      </c>
    </row>
    <row r="534" spans="2:40" ht="23.15" customHeight="1" thickBot="1">
      <c r="B534" s="87"/>
      <c r="C534" s="2"/>
      <c r="D534" s="15" t="s">
        <v>15</v>
      </c>
      <c r="E534" s="20" t="s">
        <v>25</v>
      </c>
      <c r="F534" s="20" t="s">
        <v>40</v>
      </c>
      <c r="G534" s="11">
        <v>18</v>
      </c>
      <c r="H534" s="18"/>
      <c r="I534" s="18"/>
      <c r="J534" s="11"/>
      <c r="K534" s="19"/>
      <c r="L534" s="41"/>
      <c r="M534" s="41"/>
      <c r="N534" s="41"/>
      <c r="O534" s="41"/>
      <c r="P534" s="41"/>
      <c r="Q534" s="43"/>
      <c r="R534" s="43"/>
      <c r="S534" s="43"/>
      <c r="T534" s="43"/>
      <c r="U534" s="19"/>
      <c r="V534" s="13">
        <f t="shared" si="70"/>
        <v>0</v>
      </c>
      <c r="W534" s="13"/>
      <c r="X534" s="13"/>
      <c r="Y534" s="13"/>
      <c r="Z534" s="13"/>
      <c r="AA534" s="22">
        <v>45992</v>
      </c>
      <c r="AB534" s="22" cm="1">
        <f t="array" ref="AB5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4" s="4"/>
      <c r="AD534" s="4"/>
      <c r="AE534" s="2"/>
      <c r="AF534" s="3"/>
      <c r="AG534" s="3"/>
      <c r="AH534" s="3"/>
      <c r="AI534" s="3"/>
      <c r="AJ534" s="2">
        <f t="shared" si="71"/>
        <v>0</v>
      </c>
      <c r="AK534" s="2">
        <f t="shared" si="72"/>
        <v>0</v>
      </c>
      <c r="AL534" s="2">
        <f t="shared" si="69"/>
        <v>0</v>
      </c>
      <c r="AM534" s="88"/>
      <c r="AN534" s="157" t="s">
        <v>774</v>
      </c>
    </row>
    <row r="535" spans="2:40" ht="23.15" customHeight="1" thickBot="1">
      <c r="B535" s="87"/>
      <c r="C535" s="2"/>
      <c r="D535" s="15" t="s">
        <v>15</v>
      </c>
      <c r="E535" s="20" t="s">
        <v>26</v>
      </c>
      <c r="F535" s="20" t="s">
        <v>70</v>
      </c>
      <c r="G535" s="11">
        <v>2</v>
      </c>
      <c r="H535" s="18"/>
      <c r="I535" s="18"/>
      <c r="J535" s="11"/>
      <c r="K535" s="19"/>
      <c r="L535" s="41"/>
      <c r="M535" s="41"/>
      <c r="N535" s="41"/>
      <c r="O535" s="41"/>
      <c r="P535" s="41"/>
      <c r="Q535" s="43"/>
      <c r="R535" s="43"/>
      <c r="S535" s="43"/>
      <c r="T535" s="43"/>
      <c r="U535" s="19"/>
      <c r="V535" s="13">
        <f t="shared" si="70"/>
        <v>0</v>
      </c>
      <c r="W535" s="13"/>
      <c r="X535" s="13"/>
      <c r="Y535" s="13"/>
      <c r="Z535" s="13"/>
      <c r="AA535" s="22">
        <v>45992</v>
      </c>
      <c r="AB535" s="22" cm="1">
        <f t="array" ref="AB5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5" s="4"/>
      <c r="AD535" s="4"/>
      <c r="AE535" s="2"/>
      <c r="AF535" s="3"/>
      <c r="AG535" s="3"/>
      <c r="AH535" s="3"/>
      <c r="AI535" s="3"/>
      <c r="AJ535" s="2">
        <f t="shared" si="71"/>
        <v>0</v>
      </c>
      <c r="AK535" s="2">
        <f t="shared" si="72"/>
        <v>0</v>
      </c>
      <c r="AL535" s="2">
        <f t="shared" si="69"/>
        <v>0</v>
      </c>
      <c r="AM535" s="88"/>
      <c r="AN535" s="157" t="s">
        <v>774</v>
      </c>
    </row>
    <row r="536" spans="2:40" ht="23.15" customHeight="1" thickBot="1">
      <c r="B536" s="87"/>
      <c r="C536" s="2"/>
      <c r="D536" s="15" t="s">
        <v>15</v>
      </c>
      <c r="E536" s="20" t="s">
        <v>31</v>
      </c>
      <c r="F536" s="20" t="s">
        <v>73</v>
      </c>
      <c r="G536" s="11">
        <v>6</v>
      </c>
      <c r="H536" s="18"/>
      <c r="I536" s="18"/>
      <c r="J536" s="11"/>
      <c r="K536" s="19"/>
      <c r="L536" s="41"/>
      <c r="M536" s="41"/>
      <c r="N536" s="41"/>
      <c r="O536" s="41"/>
      <c r="P536" s="41"/>
      <c r="Q536" s="43"/>
      <c r="R536" s="43"/>
      <c r="S536" s="43"/>
      <c r="T536" s="43"/>
      <c r="U536" s="19"/>
      <c r="V536" s="13">
        <f t="shared" si="70"/>
        <v>0</v>
      </c>
      <c r="W536" s="13"/>
      <c r="X536" s="13"/>
      <c r="Y536" s="13"/>
      <c r="Z536" s="13"/>
      <c r="AA536" s="22">
        <v>45992</v>
      </c>
      <c r="AB536" s="22" cm="1">
        <f t="array" ref="AB5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6" s="4"/>
      <c r="AD536" s="4"/>
      <c r="AE536" s="2"/>
      <c r="AF536" s="3"/>
      <c r="AG536" s="3"/>
      <c r="AH536" s="3"/>
      <c r="AI536" s="3"/>
      <c r="AJ536" s="2">
        <f t="shared" si="71"/>
        <v>0</v>
      </c>
      <c r="AK536" s="2">
        <f t="shared" si="72"/>
        <v>0</v>
      </c>
      <c r="AL536" s="2">
        <f t="shared" si="69"/>
        <v>0</v>
      </c>
      <c r="AM536" s="88"/>
      <c r="AN536" s="157" t="s">
        <v>774</v>
      </c>
    </row>
    <row r="537" spans="2:40" ht="23.15" customHeight="1" thickBot="1">
      <c r="B537" s="87"/>
      <c r="C537" s="2"/>
      <c r="D537" s="15" t="s">
        <v>15</v>
      </c>
      <c r="E537" s="20" t="s">
        <v>32</v>
      </c>
      <c r="F537" s="20" t="s">
        <v>73</v>
      </c>
      <c r="G537" s="11">
        <v>4</v>
      </c>
      <c r="H537" s="18"/>
      <c r="I537" s="18"/>
      <c r="J537" s="11"/>
      <c r="K537" s="19"/>
      <c r="L537" s="41"/>
      <c r="M537" s="41"/>
      <c r="N537" s="41"/>
      <c r="O537" s="41"/>
      <c r="P537" s="41"/>
      <c r="Q537" s="43"/>
      <c r="R537" s="43"/>
      <c r="S537" s="43"/>
      <c r="T537" s="43"/>
      <c r="U537" s="19"/>
      <c r="V537" s="13">
        <f t="shared" si="70"/>
        <v>0</v>
      </c>
      <c r="W537" s="13"/>
      <c r="X537" s="13"/>
      <c r="Y537" s="13"/>
      <c r="Z537" s="13"/>
      <c r="AA537" s="22">
        <v>45992</v>
      </c>
      <c r="AB537" s="22" cm="1">
        <f t="array" ref="AB5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7" s="4"/>
      <c r="AD537" s="4"/>
      <c r="AE537" s="2"/>
      <c r="AF537" s="3"/>
      <c r="AG537" s="3"/>
      <c r="AH537" s="3"/>
      <c r="AI537" s="3"/>
      <c r="AJ537" s="2">
        <f t="shared" si="71"/>
        <v>0</v>
      </c>
      <c r="AK537" s="2">
        <f t="shared" si="72"/>
        <v>0</v>
      </c>
      <c r="AL537" s="2">
        <f t="shared" si="69"/>
        <v>0</v>
      </c>
      <c r="AM537" s="88"/>
      <c r="AN537" s="157" t="s">
        <v>774</v>
      </c>
    </row>
    <row r="538" spans="2:40" ht="23.15" customHeight="1" thickBot="1">
      <c r="B538" s="87">
        <v>45727</v>
      </c>
      <c r="C538" s="2" t="s">
        <v>295</v>
      </c>
      <c r="D538" s="15" t="s">
        <v>17</v>
      </c>
      <c r="E538" s="20" t="s">
        <v>26</v>
      </c>
      <c r="F538" s="20" t="s">
        <v>128</v>
      </c>
      <c r="G538" s="11">
        <v>3</v>
      </c>
      <c r="H538" s="11">
        <v>1</v>
      </c>
      <c r="I538" s="18" t="s">
        <v>294</v>
      </c>
      <c r="J538" s="11" t="s">
        <v>294</v>
      </c>
      <c r="K538" s="13">
        <v>5100</v>
      </c>
      <c r="L538" s="41">
        <v>0</v>
      </c>
      <c r="M538" s="41" t="s">
        <v>294</v>
      </c>
      <c r="N538" s="41">
        <v>0</v>
      </c>
      <c r="O538" s="41" t="s">
        <v>294</v>
      </c>
      <c r="P538" s="41">
        <v>0</v>
      </c>
      <c r="Q538" s="43">
        <v>0</v>
      </c>
      <c r="R538" s="41">
        <v>0</v>
      </c>
      <c r="S538" s="41">
        <v>0</v>
      </c>
      <c r="T538" s="41">
        <v>0</v>
      </c>
      <c r="U538" s="19" t="s">
        <v>295</v>
      </c>
      <c r="V538" s="13">
        <f t="shared" si="70"/>
        <v>5100</v>
      </c>
      <c r="W538" s="13"/>
      <c r="X538" s="13"/>
      <c r="Y538" s="13"/>
      <c r="Z538" s="13"/>
      <c r="AA538" s="22">
        <v>45658</v>
      </c>
      <c r="AB538" s="22" cm="1">
        <f t="array" ref="AB5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38" s="4"/>
      <c r="AD538" s="4"/>
      <c r="AE538" s="2"/>
      <c r="AF538" s="3"/>
      <c r="AG538" s="3"/>
      <c r="AH538" s="3"/>
      <c r="AI538" s="3"/>
      <c r="AJ538" s="2">
        <f t="shared" si="71"/>
        <v>0</v>
      </c>
      <c r="AK538" s="2">
        <f t="shared" si="72"/>
        <v>0</v>
      </c>
      <c r="AL538" s="2">
        <f t="shared" si="69"/>
        <v>0</v>
      </c>
      <c r="AM538" s="88"/>
      <c r="AN538" s="157" t="s">
        <v>774</v>
      </c>
    </row>
    <row r="539" spans="2:40" ht="23.15" customHeight="1" thickBot="1">
      <c r="B539" s="87"/>
      <c r="C539" s="2" t="s">
        <v>292</v>
      </c>
      <c r="D539" s="15" t="s">
        <v>17</v>
      </c>
      <c r="E539" s="20" t="s">
        <v>26</v>
      </c>
      <c r="F539" s="20" t="s">
        <v>128</v>
      </c>
      <c r="G539" s="11">
        <v>3</v>
      </c>
      <c r="H539" s="11">
        <v>1</v>
      </c>
      <c r="I539" s="18">
        <v>0</v>
      </c>
      <c r="J539" s="11">
        <v>0</v>
      </c>
      <c r="K539" s="13">
        <v>5100</v>
      </c>
      <c r="L539" s="41">
        <v>0</v>
      </c>
      <c r="M539" s="41">
        <v>0</v>
      </c>
      <c r="N539" s="41">
        <v>0</v>
      </c>
      <c r="O539" s="41">
        <v>0</v>
      </c>
      <c r="P539" s="41">
        <v>0</v>
      </c>
      <c r="Q539" s="43">
        <v>0</v>
      </c>
      <c r="R539" s="43">
        <v>0</v>
      </c>
      <c r="S539" s="43">
        <v>0</v>
      </c>
      <c r="T539" s="43">
        <v>0</v>
      </c>
      <c r="U539" s="19"/>
      <c r="V539" s="13">
        <f t="shared" si="70"/>
        <v>5100</v>
      </c>
      <c r="W539" s="13"/>
      <c r="X539" s="13"/>
      <c r="Y539" s="13"/>
      <c r="Z539" s="13"/>
      <c r="AA539" s="22">
        <v>45689</v>
      </c>
      <c r="AB539" s="22" cm="1">
        <f t="array" ref="AB5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39" s="4"/>
      <c r="AD539" s="4"/>
      <c r="AE539" s="2"/>
      <c r="AF539" s="3"/>
      <c r="AG539" s="3"/>
      <c r="AH539" s="3"/>
      <c r="AI539" s="3"/>
      <c r="AJ539" s="2">
        <f t="shared" si="71"/>
        <v>0</v>
      </c>
      <c r="AK539" s="2">
        <f t="shared" si="72"/>
        <v>0</v>
      </c>
      <c r="AL539" s="2">
        <f t="shared" si="69"/>
        <v>0</v>
      </c>
      <c r="AM539" s="88"/>
      <c r="AN539" s="157" t="s">
        <v>774</v>
      </c>
    </row>
    <row r="540" spans="2:40" ht="23.15" customHeight="1" thickBot="1">
      <c r="B540" s="87"/>
      <c r="C540" s="2" t="s">
        <v>292</v>
      </c>
      <c r="D540" s="15" t="s">
        <v>17</v>
      </c>
      <c r="E540" s="20" t="s">
        <v>26</v>
      </c>
      <c r="F540" s="20" t="s">
        <v>128</v>
      </c>
      <c r="G540" s="11">
        <v>3</v>
      </c>
      <c r="H540" s="11">
        <v>1</v>
      </c>
      <c r="I540" s="18" t="s">
        <v>294</v>
      </c>
      <c r="J540" s="11" t="s">
        <v>294</v>
      </c>
      <c r="K540" s="13">
        <v>5100</v>
      </c>
      <c r="L540" s="41">
        <v>0</v>
      </c>
      <c r="M540" s="41" t="s">
        <v>294</v>
      </c>
      <c r="N540" s="41">
        <v>0</v>
      </c>
      <c r="O540" s="41" t="s">
        <v>294</v>
      </c>
      <c r="P540" s="41">
        <v>0</v>
      </c>
      <c r="Q540" s="43">
        <v>0</v>
      </c>
      <c r="R540" s="43">
        <v>0</v>
      </c>
      <c r="S540" s="43">
        <v>0</v>
      </c>
      <c r="T540" s="43">
        <v>0</v>
      </c>
      <c r="U540" s="19"/>
      <c r="V540" s="13">
        <f t="shared" ref="V540:V571" si="73">IFERROR((K540+M540+R540+S540+T540+O540)+IF(U540="Sim",P540+Q540,0),(K540+R540+S540+T540)+IF(U540="Sim",P540+Q540,0))</f>
        <v>5100</v>
      </c>
      <c r="W540" s="13"/>
      <c r="X540" s="13"/>
      <c r="Y540" s="13"/>
      <c r="Z540" s="13"/>
      <c r="AA540" s="22">
        <v>45717</v>
      </c>
      <c r="AB540" s="22" cm="1">
        <f t="array" ref="AB5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40" s="4"/>
      <c r="AD540" s="4"/>
      <c r="AE540" s="2"/>
      <c r="AF540" s="3"/>
      <c r="AG540" s="3"/>
      <c r="AH540" s="3"/>
      <c r="AI540" s="3"/>
      <c r="AJ540" s="2">
        <f t="shared" si="71"/>
        <v>0</v>
      </c>
      <c r="AK540" s="2">
        <f t="shared" si="72"/>
        <v>0</v>
      </c>
      <c r="AL540" s="2">
        <f t="shared" si="69"/>
        <v>0</v>
      </c>
      <c r="AM540" s="88"/>
      <c r="AN540" s="157" t="s">
        <v>774</v>
      </c>
    </row>
    <row r="541" spans="2:40" ht="23.15" customHeight="1" thickBot="1">
      <c r="B541" s="87">
        <v>45781</v>
      </c>
      <c r="C541" s="2" t="s">
        <v>295</v>
      </c>
      <c r="D541" s="15" t="s">
        <v>17</v>
      </c>
      <c r="E541" s="20" t="s">
        <v>26</v>
      </c>
      <c r="F541" s="20" t="s">
        <v>128</v>
      </c>
      <c r="G541" s="11">
        <v>3</v>
      </c>
      <c r="H541" s="11">
        <v>1</v>
      </c>
      <c r="I541" s="18">
        <v>0</v>
      </c>
      <c r="J541" s="11">
        <v>0</v>
      </c>
      <c r="K541" s="13">
        <v>5100</v>
      </c>
      <c r="L541" s="41">
        <v>0</v>
      </c>
      <c r="M541" s="41">
        <v>0</v>
      </c>
      <c r="N541" s="41">
        <v>0</v>
      </c>
      <c r="O541" s="41">
        <v>0</v>
      </c>
      <c r="P541" s="41">
        <v>0</v>
      </c>
      <c r="Q541" s="43">
        <v>0</v>
      </c>
      <c r="R541" s="43">
        <v>0</v>
      </c>
      <c r="S541" s="43">
        <v>0</v>
      </c>
      <c r="T541" s="43">
        <v>0</v>
      </c>
      <c r="U541" s="19" t="s">
        <v>295</v>
      </c>
      <c r="V541" s="13">
        <f t="shared" si="73"/>
        <v>5100</v>
      </c>
      <c r="W541" s="13"/>
      <c r="X541" s="13"/>
      <c r="Y541" s="13"/>
      <c r="Z541" s="13"/>
      <c r="AA541" s="22">
        <v>45748</v>
      </c>
      <c r="AB541" s="22" cm="1">
        <f t="array" ref="AB5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41" s="4"/>
      <c r="AD541" s="4"/>
      <c r="AE541" s="2"/>
      <c r="AF541" s="3"/>
      <c r="AG541" s="3"/>
      <c r="AH541" s="3"/>
      <c r="AI541" s="3"/>
      <c r="AJ541" s="2">
        <f t="shared" si="71"/>
        <v>0</v>
      </c>
      <c r="AK541" s="2">
        <f t="shared" si="72"/>
        <v>0</v>
      </c>
      <c r="AL541" s="2">
        <f t="shared" si="69"/>
        <v>0</v>
      </c>
      <c r="AM541" s="88"/>
      <c r="AN541" s="157" t="s">
        <v>774</v>
      </c>
    </row>
    <row r="542" spans="2:40" ht="23.15" customHeight="1" thickBot="1">
      <c r="B542" s="87">
        <v>45811</v>
      </c>
      <c r="C542" s="2" t="s">
        <v>295</v>
      </c>
      <c r="D542" s="15" t="s">
        <v>17</v>
      </c>
      <c r="E542" s="20" t="s">
        <v>26</v>
      </c>
      <c r="F542" s="20" t="s">
        <v>128</v>
      </c>
      <c r="G542" s="11">
        <v>3</v>
      </c>
      <c r="H542" s="11">
        <v>1</v>
      </c>
      <c r="I542" s="18">
        <v>0</v>
      </c>
      <c r="J542" s="11">
        <v>0</v>
      </c>
      <c r="K542" s="13">
        <v>5100</v>
      </c>
      <c r="L542" s="41">
        <v>0</v>
      </c>
      <c r="M542" s="41">
        <v>0</v>
      </c>
      <c r="N542" s="41">
        <v>0</v>
      </c>
      <c r="O542" s="41">
        <v>0</v>
      </c>
      <c r="P542" s="41">
        <v>0</v>
      </c>
      <c r="Q542" s="43">
        <v>0</v>
      </c>
      <c r="R542" s="43">
        <v>0</v>
      </c>
      <c r="S542" s="43">
        <v>0</v>
      </c>
      <c r="T542" s="43">
        <v>0</v>
      </c>
      <c r="U542" s="19" t="s">
        <v>292</v>
      </c>
      <c r="V542" s="13">
        <f t="shared" si="73"/>
        <v>5100</v>
      </c>
      <c r="W542" s="13"/>
      <c r="X542" s="13"/>
      <c r="Y542" s="13"/>
      <c r="Z542" s="13"/>
      <c r="AA542" s="22">
        <v>45778</v>
      </c>
      <c r="AB542" s="22" cm="1">
        <f t="array" ref="AB5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42" s="4"/>
      <c r="AD542" s="4"/>
      <c r="AE542" s="2"/>
      <c r="AF542" s="3"/>
      <c r="AG542" s="3"/>
      <c r="AH542" s="3"/>
      <c r="AI542" s="3"/>
      <c r="AJ542" s="2">
        <f t="shared" si="71"/>
        <v>0</v>
      </c>
      <c r="AK542" s="2">
        <f t="shared" si="72"/>
        <v>0</v>
      </c>
      <c r="AL542" s="2">
        <f t="shared" si="69"/>
        <v>0</v>
      </c>
      <c r="AM542" s="88"/>
      <c r="AN542" s="157" t="s">
        <v>774</v>
      </c>
    </row>
    <row r="543" spans="2:40" ht="23.15" customHeight="1" thickBot="1">
      <c r="B543" s="87"/>
      <c r="C543" s="2" t="s">
        <v>292</v>
      </c>
      <c r="D543" s="15" t="s">
        <v>17</v>
      </c>
      <c r="E543" s="20" t="s">
        <v>26</v>
      </c>
      <c r="F543" s="20" t="s">
        <v>128</v>
      </c>
      <c r="G543" s="11">
        <v>3</v>
      </c>
      <c r="H543" s="11">
        <v>1</v>
      </c>
      <c r="I543" s="18" t="s">
        <v>294</v>
      </c>
      <c r="J543" s="11" t="s">
        <v>294</v>
      </c>
      <c r="K543" s="13">
        <v>5100</v>
      </c>
      <c r="L543" s="41">
        <v>0</v>
      </c>
      <c r="M543" s="41" t="s">
        <v>294</v>
      </c>
      <c r="N543" s="41">
        <v>0</v>
      </c>
      <c r="O543" s="41" t="s">
        <v>294</v>
      </c>
      <c r="P543" s="41">
        <v>0</v>
      </c>
      <c r="Q543" s="43">
        <v>0</v>
      </c>
      <c r="R543" s="43">
        <v>0</v>
      </c>
      <c r="S543" s="43">
        <v>0</v>
      </c>
      <c r="T543" s="43">
        <v>0</v>
      </c>
      <c r="U543" s="19"/>
      <c r="V543" s="13">
        <f t="shared" si="73"/>
        <v>5100</v>
      </c>
      <c r="W543" s="13"/>
      <c r="X543" s="13"/>
      <c r="Y543" s="13"/>
      <c r="Z543" s="13"/>
      <c r="AA543" s="22">
        <v>45809</v>
      </c>
      <c r="AB543" s="22" cm="1">
        <f t="array" ref="AB5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43" s="4"/>
      <c r="AD543" s="4"/>
      <c r="AE543" s="2"/>
      <c r="AF543" s="3"/>
      <c r="AG543" s="3"/>
      <c r="AH543" s="3"/>
      <c r="AI543" s="3"/>
      <c r="AJ543" s="2">
        <f t="shared" si="71"/>
        <v>0</v>
      </c>
      <c r="AK543" s="2">
        <f t="shared" si="72"/>
        <v>0</v>
      </c>
      <c r="AL543" s="2">
        <f t="shared" si="69"/>
        <v>0</v>
      </c>
      <c r="AM543" s="88"/>
      <c r="AN543" s="157" t="s">
        <v>774</v>
      </c>
    </row>
    <row r="544" spans="2:40" ht="23.15" customHeight="1" thickBot="1">
      <c r="B544" s="87">
        <v>45876</v>
      </c>
      <c r="C544" s="2" t="s">
        <v>295</v>
      </c>
      <c r="D544" s="15" t="s">
        <v>17</v>
      </c>
      <c r="E544" s="20" t="s">
        <v>33</v>
      </c>
      <c r="F544" s="20" t="s">
        <v>73</v>
      </c>
      <c r="G544" s="11">
        <v>3</v>
      </c>
      <c r="H544" s="11">
        <v>3</v>
      </c>
      <c r="I544" s="18">
        <v>2</v>
      </c>
      <c r="J544" s="11">
        <v>0</v>
      </c>
      <c r="K544" s="19">
        <v>16800.692672780115</v>
      </c>
      <c r="L544" s="41">
        <v>0</v>
      </c>
      <c r="M544" s="41">
        <v>-385.53</v>
      </c>
      <c r="N544" s="41">
        <v>0</v>
      </c>
      <c r="O544" s="41">
        <v>0</v>
      </c>
      <c r="P544" s="41">
        <v>-209.82</v>
      </c>
      <c r="Q544" s="43">
        <v>0</v>
      </c>
      <c r="R544" s="43">
        <v>0</v>
      </c>
      <c r="S544" s="43">
        <v>0</v>
      </c>
      <c r="T544" s="43">
        <v>0</v>
      </c>
      <c r="U544" s="19" t="s">
        <v>295</v>
      </c>
      <c r="V544" s="13">
        <f t="shared" si="73"/>
        <v>16205.342672780116</v>
      </c>
      <c r="W544" s="13"/>
      <c r="X544" s="13"/>
      <c r="Y544" s="13"/>
      <c r="Z544" s="13"/>
      <c r="AA544" s="22">
        <v>45839</v>
      </c>
      <c r="AB544" s="22" cm="1">
        <f t="array" ref="AB5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44" s="4"/>
      <c r="AD544" s="4"/>
      <c r="AE544" s="2"/>
      <c r="AF544" s="3"/>
      <c r="AG544" s="3"/>
      <c r="AH544" s="3"/>
      <c r="AI544" s="3"/>
      <c r="AJ544" s="2">
        <f t="shared" si="71"/>
        <v>385.53</v>
      </c>
      <c r="AK544" s="2">
        <f t="shared" si="72"/>
        <v>0</v>
      </c>
      <c r="AL544" s="2">
        <f t="shared" si="69"/>
        <v>595.34999999999854</v>
      </c>
      <c r="AM544" s="88"/>
      <c r="AN544" s="157" t="s">
        <v>774</v>
      </c>
    </row>
    <row r="545" spans="2:40" ht="23.15" customHeight="1" thickBot="1">
      <c r="B545" s="87">
        <v>45905</v>
      </c>
      <c r="C545" s="2" t="s">
        <v>295</v>
      </c>
      <c r="D545" s="15" t="s">
        <v>17</v>
      </c>
      <c r="E545" s="20" t="s">
        <v>28</v>
      </c>
      <c r="F545" s="20" t="s">
        <v>37</v>
      </c>
      <c r="G545" s="11">
        <v>16</v>
      </c>
      <c r="H545" s="11">
        <v>14</v>
      </c>
      <c r="I545" s="18">
        <v>0</v>
      </c>
      <c r="J545" s="43">
        <v>0</v>
      </c>
      <c r="K545" s="19">
        <v>83756.576174024929</v>
      </c>
      <c r="L545" s="41">
        <v>0</v>
      </c>
      <c r="M545" s="41">
        <v>0</v>
      </c>
      <c r="N545" s="41">
        <v>0</v>
      </c>
      <c r="O545" s="41">
        <v>0</v>
      </c>
      <c r="P545" s="41">
        <v>0</v>
      </c>
      <c r="Q545" s="43">
        <v>0</v>
      </c>
      <c r="R545" s="43">
        <v>0</v>
      </c>
      <c r="S545" s="43">
        <v>0</v>
      </c>
      <c r="T545" s="43">
        <v>0</v>
      </c>
      <c r="U545" s="19" t="s">
        <v>295</v>
      </c>
      <c r="V545" s="13">
        <f t="shared" si="73"/>
        <v>83756.576174024929</v>
      </c>
      <c r="W545" s="13"/>
      <c r="X545" s="13"/>
      <c r="Y545" s="13"/>
      <c r="Z545" s="13"/>
      <c r="AA545" s="22">
        <v>45870</v>
      </c>
      <c r="AB545" s="22" cm="1">
        <f t="array" ref="AB5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45" s="4"/>
      <c r="AD545" s="4"/>
      <c r="AE545" s="2"/>
      <c r="AF545" s="3"/>
      <c r="AG545" s="3"/>
      <c r="AH545" s="3"/>
      <c r="AI545" s="3"/>
      <c r="AJ545" s="2">
        <f t="shared" si="71"/>
        <v>0</v>
      </c>
      <c r="AK545" s="2">
        <f t="shared" si="72"/>
        <v>0</v>
      </c>
      <c r="AL545" s="2">
        <f t="shared" si="69"/>
        <v>0</v>
      </c>
      <c r="AM545" s="88"/>
      <c r="AN545" s="157" t="s">
        <v>774</v>
      </c>
    </row>
    <row r="546" spans="2:40" ht="23.15" customHeight="1" thickBot="1">
      <c r="B546" s="87"/>
      <c r="C546" s="2" t="s">
        <v>295</v>
      </c>
      <c r="D546" s="15" t="s">
        <v>17</v>
      </c>
      <c r="E546" s="20" t="s">
        <v>33</v>
      </c>
      <c r="F546" s="20" t="s">
        <v>73</v>
      </c>
      <c r="G546" s="11">
        <v>3</v>
      </c>
      <c r="H546" s="11">
        <v>3</v>
      </c>
      <c r="I546" s="18">
        <v>0</v>
      </c>
      <c r="J546" s="11">
        <v>0</v>
      </c>
      <c r="K546" s="19">
        <v>15665.9</v>
      </c>
      <c r="L546" s="41">
        <v>0</v>
      </c>
      <c r="M546" s="41">
        <v>0</v>
      </c>
      <c r="N546" s="41">
        <v>0</v>
      </c>
      <c r="O546" s="41">
        <v>0</v>
      </c>
      <c r="P546" s="41">
        <v>0</v>
      </c>
      <c r="Q546" s="43">
        <v>0</v>
      </c>
      <c r="R546" s="43">
        <v>0</v>
      </c>
      <c r="S546" s="43">
        <v>0</v>
      </c>
      <c r="T546" s="43">
        <v>0</v>
      </c>
      <c r="U546" s="19" t="s">
        <v>295</v>
      </c>
      <c r="V546" s="13">
        <f t="shared" si="73"/>
        <v>15665.9</v>
      </c>
      <c r="W546" s="13"/>
      <c r="X546" s="13"/>
      <c r="Y546" s="13"/>
      <c r="Z546" s="13"/>
      <c r="AA546" s="22">
        <v>45658</v>
      </c>
      <c r="AB546" s="22" cm="1">
        <f t="array" ref="AB5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46" s="4"/>
      <c r="AD546" s="4"/>
      <c r="AE546" s="2"/>
      <c r="AF546" s="3"/>
      <c r="AG546" s="3"/>
      <c r="AH546" s="3"/>
      <c r="AI546" s="3"/>
      <c r="AJ546" s="2">
        <f t="shared" si="71"/>
        <v>0</v>
      </c>
      <c r="AK546" s="2">
        <f t="shared" si="72"/>
        <v>0</v>
      </c>
      <c r="AL546" s="2">
        <f t="shared" si="69"/>
        <v>0</v>
      </c>
      <c r="AM546" s="88"/>
      <c r="AN546" s="157" t="s">
        <v>774</v>
      </c>
    </row>
    <row r="547" spans="2:40" ht="23.15" customHeight="1" thickBot="1">
      <c r="B547" s="87">
        <v>45692</v>
      </c>
      <c r="C547" s="2" t="s">
        <v>295</v>
      </c>
      <c r="D547" s="15" t="s">
        <v>17</v>
      </c>
      <c r="E547" s="20" t="s">
        <v>33</v>
      </c>
      <c r="F547" s="20" t="s">
        <v>73</v>
      </c>
      <c r="G547" s="11">
        <v>3</v>
      </c>
      <c r="H547" s="11">
        <v>3</v>
      </c>
      <c r="I547" s="18">
        <v>0</v>
      </c>
      <c r="J547" s="11">
        <v>0</v>
      </c>
      <c r="K547" s="19">
        <v>15665.9</v>
      </c>
      <c r="L547" s="41">
        <v>0</v>
      </c>
      <c r="M547" s="41">
        <v>0</v>
      </c>
      <c r="N547" s="41">
        <v>0</v>
      </c>
      <c r="O547" s="41">
        <v>0</v>
      </c>
      <c r="P547" s="41">
        <v>-91.38</v>
      </c>
      <c r="Q547" s="43">
        <v>-91.38</v>
      </c>
      <c r="R547" s="43">
        <v>0</v>
      </c>
      <c r="S547" s="43">
        <v>0</v>
      </c>
      <c r="T547" s="43">
        <v>0</v>
      </c>
      <c r="U547" s="19" t="s">
        <v>295</v>
      </c>
      <c r="V547" s="13">
        <f t="shared" si="73"/>
        <v>15483.14</v>
      </c>
      <c r="W547" s="13"/>
      <c r="X547" s="13"/>
      <c r="Y547" s="13"/>
      <c r="Z547" s="13"/>
      <c r="AA547" s="22">
        <v>45689</v>
      </c>
      <c r="AB547" s="22" cm="1">
        <f t="array" ref="AB5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47" s="4"/>
      <c r="AD547" s="4"/>
      <c r="AE547" s="2"/>
      <c r="AF547" s="3"/>
      <c r="AG547" s="3"/>
      <c r="AH547" s="3"/>
      <c r="AI547" s="3"/>
      <c r="AJ547" s="2">
        <f t="shared" si="71"/>
        <v>0</v>
      </c>
      <c r="AK547" s="2">
        <f t="shared" si="72"/>
        <v>0</v>
      </c>
      <c r="AL547" s="2">
        <f t="shared" si="69"/>
        <v>182.76000000000022</v>
      </c>
      <c r="AM547" s="88"/>
      <c r="AN547" s="157" t="s">
        <v>774</v>
      </c>
    </row>
    <row r="548" spans="2:40" ht="23.15" customHeight="1" thickBot="1">
      <c r="B548" s="87">
        <v>45757</v>
      </c>
      <c r="C548" s="2" t="s">
        <v>295</v>
      </c>
      <c r="D548" s="15" t="s">
        <v>17</v>
      </c>
      <c r="E548" s="20" t="s">
        <v>33</v>
      </c>
      <c r="F548" s="20" t="s">
        <v>73</v>
      </c>
      <c r="G548" s="11">
        <v>3</v>
      </c>
      <c r="H548" s="11">
        <v>3</v>
      </c>
      <c r="I548" s="18">
        <v>0</v>
      </c>
      <c r="J548" s="11">
        <v>0</v>
      </c>
      <c r="K548" s="19">
        <v>15665.9</v>
      </c>
      <c r="L548" s="41">
        <v>0</v>
      </c>
      <c r="M548" s="41">
        <v>0</v>
      </c>
      <c r="N548" s="41">
        <v>0</v>
      </c>
      <c r="O548" s="41">
        <v>0</v>
      </c>
      <c r="P548" s="41">
        <v>-91.38</v>
      </c>
      <c r="Q548" s="43">
        <v>0</v>
      </c>
      <c r="R548" s="43">
        <v>0</v>
      </c>
      <c r="S548" s="43">
        <v>0</v>
      </c>
      <c r="T548" s="43">
        <v>0</v>
      </c>
      <c r="U548" s="19" t="s">
        <v>295</v>
      </c>
      <c r="V548" s="13">
        <f t="shared" si="73"/>
        <v>15574.52</v>
      </c>
      <c r="W548" s="13"/>
      <c r="X548" s="13"/>
      <c r="Y548" s="13"/>
      <c r="Z548" s="13"/>
      <c r="AA548" s="22">
        <v>45717</v>
      </c>
      <c r="AB548" s="22" cm="1">
        <f t="array" ref="AB5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48" s="4"/>
      <c r="AD548" s="4"/>
      <c r="AE548" s="2"/>
      <c r="AF548" s="3"/>
      <c r="AG548" s="3"/>
      <c r="AH548" s="3"/>
      <c r="AI548" s="3"/>
      <c r="AJ548" s="2">
        <f t="shared" si="71"/>
        <v>0</v>
      </c>
      <c r="AK548" s="2">
        <f t="shared" si="72"/>
        <v>0</v>
      </c>
      <c r="AL548" s="2">
        <f t="shared" si="69"/>
        <v>91.3799999999992</v>
      </c>
      <c r="AM548" s="88"/>
      <c r="AN548" s="157" t="s">
        <v>774</v>
      </c>
    </row>
    <row r="549" spans="2:40" ht="23.15" customHeight="1" thickBot="1">
      <c r="B549" s="87">
        <v>45791</v>
      </c>
      <c r="C549" s="2" t="s">
        <v>295</v>
      </c>
      <c r="D549" s="15" t="s">
        <v>17</v>
      </c>
      <c r="E549" s="20" t="s">
        <v>33</v>
      </c>
      <c r="F549" s="20" t="s">
        <v>73</v>
      </c>
      <c r="G549" s="11">
        <v>3</v>
      </c>
      <c r="H549" s="11">
        <v>3</v>
      </c>
      <c r="I549" s="18">
        <v>0</v>
      </c>
      <c r="J549" s="11">
        <v>0</v>
      </c>
      <c r="K549" s="10">
        <v>15665.9</v>
      </c>
      <c r="L549" s="41">
        <v>0</v>
      </c>
      <c r="M549" s="41">
        <v>0</v>
      </c>
      <c r="N549" s="41">
        <v>0</v>
      </c>
      <c r="O549" s="41">
        <v>0</v>
      </c>
      <c r="P549" s="41">
        <f>-248.04</f>
        <v>-248.04</v>
      </c>
      <c r="Q549" s="41">
        <v>0</v>
      </c>
      <c r="R549" s="41">
        <v>0</v>
      </c>
      <c r="S549" s="41">
        <v>0</v>
      </c>
      <c r="T549" s="41">
        <v>0</v>
      </c>
      <c r="U549" s="19" t="s">
        <v>295</v>
      </c>
      <c r="V549" s="13">
        <f t="shared" si="73"/>
        <v>15417.859999999999</v>
      </c>
      <c r="W549" s="13"/>
      <c r="X549" s="13"/>
      <c r="Y549" s="13"/>
      <c r="Z549" s="13"/>
      <c r="AA549" s="22">
        <v>45748</v>
      </c>
      <c r="AB549" s="22" cm="1">
        <f t="array" ref="AB5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49" s="4"/>
      <c r="AD549" s="4"/>
      <c r="AE549" s="2"/>
      <c r="AF549" s="3"/>
      <c r="AG549" s="3"/>
      <c r="AH549" s="3"/>
      <c r="AI549" s="3"/>
      <c r="AJ549" s="2">
        <f t="shared" si="71"/>
        <v>0</v>
      </c>
      <c r="AK549" s="2">
        <f t="shared" si="72"/>
        <v>0</v>
      </c>
      <c r="AL549" s="2">
        <f t="shared" si="69"/>
        <v>248.04000000000087</v>
      </c>
      <c r="AM549" s="88"/>
      <c r="AN549" s="157" t="s">
        <v>774</v>
      </c>
    </row>
    <row r="550" spans="2:40" ht="23.15" customHeight="1" thickBot="1">
      <c r="B550" s="87">
        <v>45812</v>
      </c>
      <c r="C550" s="2" t="s">
        <v>295</v>
      </c>
      <c r="D550" s="15" t="s">
        <v>17</v>
      </c>
      <c r="E550" s="20" t="s">
        <v>33</v>
      </c>
      <c r="F550" s="20" t="s">
        <v>73</v>
      </c>
      <c r="G550" s="11">
        <v>3</v>
      </c>
      <c r="H550" s="11">
        <v>3</v>
      </c>
      <c r="I550" s="18">
        <v>0</v>
      </c>
      <c r="J550" s="11">
        <v>0</v>
      </c>
      <c r="K550" s="10">
        <v>15665.9</v>
      </c>
      <c r="L550" s="41">
        <v>0</v>
      </c>
      <c r="M550" s="41">
        <v>0</v>
      </c>
      <c r="N550" s="41">
        <v>0</v>
      </c>
      <c r="O550" s="41">
        <v>0</v>
      </c>
      <c r="P550" s="41">
        <v>-91.38</v>
      </c>
      <c r="Q550" s="41">
        <v>0</v>
      </c>
      <c r="R550" s="41">
        <v>0</v>
      </c>
      <c r="S550" s="41">
        <v>0</v>
      </c>
      <c r="T550" s="41">
        <v>0</v>
      </c>
      <c r="U550" s="19" t="s">
        <v>295</v>
      </c>
      <c r="V550" s="13">
        <f t="shared" si="73"/>
        <v>15574.52</v>
      </c>
      <c r="W550" s="13"/>
      <c r="X550" s="13"/>
      <c r="Y550" s="13"/>
      <c r="Z550" s="13"/>
      <c r="AA550" s="22">
        <v>45778</v>
      </c>
      <c r="AB550" s="22" cm="1">
        <f t="array" ref="AB5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50" s="4"/>
      <c r="AD550" s="4"/>
      <c r="AE550" s="2"/>
      <c r="AF550" s="3"/>
      <c r="AG550" s="3"/>
      <c r="AH550" s="3"/>
      <c r="AI550" s="3"/>
      <c r="AJ550" s="2">
        <f t="shared" si="71"/>
        <v>0</v>
      </c>
      <c r="AK550" s="2">
        <f t="shared" si="72"/>
        <v>0</v>
      </c>
      <c r="AL550" s="2">
        <f t="shared" si="69"/>
        <v>91.3799999999992</v>
      </c>
      <c r="AM550" s="88"/>
      <c r="AN550" s="157" t="s">
        <v>774</v>
      </c>
    </row>
    <row r="551" spans="2:40" ht="23.15" customHeight="1" thickBot="1">
      <c r="B551" s="87">
        <v>45839</v>
      </c>
      <c r="C551" s="2" t="s">
        <v>295</v>
      </c>
      <c r="D551" s="15" t="s">
        <v>17</v>
      </c>
      <c r="E551" s="20" t="s">
        <v>33</v>
      </c>
      <c r="F551" s="20" t="s">
        <v>73</v>
      </c>
      <c r="G551" s="11">
        <v>3</v>
      </c>
      <c r="H551" s="11">
        <v>3</v>
      </c>
      <c r="I551" s="18">
        <v>0</v>
      </c>
      <c r="J551" s="11">
        <v>4</v>
      </c>
      <c r="K551" s="10">
        <v>15665.9</v>
      </c>
      <c r="L551" s="41">
        <v>0</v>
      </c>
      <c r="M551" s="41">
        <v>0</v>
      </c>
      <c r="N551" s="41">
        <v>0</v>
      </c>
      <c r="O551" s="41">
        <v>-129.12</v>
      </c>
      <c r="P551" s="41">
        <v>-209.82</v>
      </c>
      <c r="Q551" s="43">
        <v>0</v>
      </c>
      <c r="R551" s="43">
        <v>0</v>
      </c>
      <c r="S551" s="43">
        <v>0</v>
      </c>
      <c r="T551" s="43">
        <v>0</v>
      </c>
      <c r="U551" s="19" t="s">
        <v>295</v>
      </c>
      <c r="V551" s="13">
        <f t="shared" si="73"/>
        <v>15326.96</v>
      </c>
      <c r="W551" s="13"/>
      <c r="X551" s="13"/>
      <c r="Y551" s="13"/>
      <c r="Z551" s="13"/>
      <c r="AA551" s="22">
        <v>45809</v>
      </c>
      <c r="AB551" s="22" cm="1">
        <f t="array" ref="AB5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51" s="4"/>
      <c r="AD551" s="4"/>
      <c r="AE551" s="2"/>
      <c r="AF551" s="3"/>
      <c r="AG551" s="3"/>
      <c r="AH551" s="3"/>
      <c r="AI551" s="3"/>
      <c r="AJ551" s="2">
        <f t="shared" si="71"/>
        <v>0</v>
      </c>
      <c r="AK551" s="2">
        <f t="shared" si="72"/>
        <v>0</v>
      </c>
      <c r="AL551" s="2">
        <f t="shared" si="69"/>
        <v>338.94000000000051</v>
      </c>
      <c r="AM551" s="88"/>
      <c r="AN551" s="157" t="s">
        <v>774</v>
      </c>
    </row>
    <row r="552" spans="2:40" ht="23.15" customHeight="1" thickBot="1">
      <c r="B552" s="87"/>
      <c r="C552" s="2" t="s">
        <v>292</v>
      </c>
      <c r="D552" s="15" t="s">
        <v>17</v>
      </c>
      <c r="E552" s="20" t="s">
        <v>160</v>
      </c>
      <c r="F552" s="20" t="s">
        <v>73</v>
      </c>
      <c r="G552" s="11">
        <v>4</v>
      </c>
      <c r="H552" s="11">
        <v>4</v>
      </c>
      <c r="I552" s="41" t="s">
        <v>294</v>
      </c>
      <c r="J552" s="11" t="s">
        <v>294</v>
      </c>
      <c r="K552" s="19">
        <v>17513.52</v>
      </c>
      <c r="L552" s="41">
        <v>0</v>
      </c>
      <c r="M552" s="41" t="s">
        <v>294</v>
      </c>
      <c r="N552" s="41">
        <v>0</v>
      </c>
      <c r="O552" s="41" t="s">
        <v>294</v>
      </c>
      <c r="P552" s="41" t="s">
        <v>301</v>
      </c>
      <c r="Q552" s="41">
        <v>0</v>
      </c>
      <c r="R552" s="41">
        <v>0</v>
      </c>
      <c r="S552" s="41">
        <v>0</v>
      </c>
      <c r="T552" s="41">
        <v>0</v>
      </c>
      <c r="U552" s="19"/>
      <c r="V552" s="13">
        <f t="shared" si="73"/>
        <v>17513.52</v>
      </c>
      <c r="W552" s="13"/>
      <c r="X552" s="13"/>
      <c r="Y552" s="13"/>
      <c r="Z552" s="13"/>
      <c r="AA552" s="22">
        <v>45839</v>
      </c>
      <c r="AB552" s="22" cm="1">
        <f t="array" ref="AB5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52" s="4"/>
      <c r="AD552" s="4"/>
      <c r="AE552" s="2"/>
      <c r="AF552" s="3"/>
      <c r="AG552" s="3"/>
      <c r="AH552" s="3"/>
      <c r="AI552" s="3"/>
      <c r="AJ552" s="2">
        <f t="shared" si="71"/>
        <v>0</v>
      </c>
      <c r="AK552" s="2">
        <f t="shared" si="72"/>
        <v>0</v>
      </c>
      <c r="AL552" s="2">
        <f t="shared" ref="AL552:AL615" si="74">K552-V552</f>
        <v>0</v>
      </c>
      <c r="AM552" s="88"/>
      <c r="AN552" s="157" t="s">
        <v>774</v>
      </c>
    </row>
    <row r="553" spans="2:40" ht="23.15" customHeight="1" thickBot="1">
      <c r="B553" s="87"/>
      <c r="C553" s="2" t="s">
        <v>292</v>
      </c>
      <c r="D553" s="15" t="s">
        <v>17</v>
      </c>
      <c r="E553" s="20" t="s">
        <v>28</v>
      </c>
      <c r="F553" s="20" t="s">
        <v>37</v>
      </c>
      <c r="G553" s="11">
        <v>16</v>
      </c>
      <c r="H553" s="11">
        <v>14</v>
      </c>
      <c r="I553" s="18" t="s">
        <v>294</v>
      </c>
      <c r="J553" s="11" t="s">
        <v>294</v>
      </c>
      <c r="K553" s="19">
        <v>88425.988001075166</v>
      </c>
      <c r="L553" s="41">
        <v>0</v>
      </c>
      <c r="M553" s="18" t="s">
        <v>294</v>
      </c>
      <c r="N553" s="41">
        <v>0</v>
      </c>
      <c r="O553" s="41" t="s">
        <v>294</v>
      </c>
      <c r="P553" s="41">
        <v>0</v>
      </c>
      <c r="Q553" s="43">
        <v>0</v>
      </c>
      <c r="R553" s="43">
        <v>0</v>
      </c>
      <c r="S553" s="43">
        <v>0</v>
      </c>
      <c r="T553" s="43">
        <v>0</v>
      </c>
      <c r="U553" s="19"/>
      <c r="V553" s="13">
        <f t="shared" si="73"/>
        <v>88425.988001075166</v>
      </c>
      <c r="W553" s="13"/>
      <c r="X553" s="13"/>
      <c r="Y553" s="13">
        <v>29991.563661706154</v>
      </c>
      <c r="Z553" s="13" t="s">
        <v>302</v>
      </c>
      <c r="AA553" s="22">
        <v>45901</v>
      </c>
      <c r="AB553" s="22" cm="1">
        <f t="array" ref="AB5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53" s="4"/>
      <c r="AD553" s="4"/>
      <c r="AE553" s="2"/>
      <c r="AF553" s="3"/>
      <c r="AG553" s="3"/>
      <c r="AH553" s="3"/>
      <c r="AI553" s="3"/>
      <c r="AJ553" s="2">
        <f t="shared" si="71"/>
        <v>0</v>
      </c>
      <c r="AK553" s="2">
        <f t="shared" si="72"/>
        <v>0</v>
      </c>
      <c r="AL553" s="2">
        <f t="shared" si="74"/>
        <v>0</v>
      </c>
      <c r="AM553" s="88"/>
      <c r="AN553" s="157" t="s">
        <v>774</v>
      </c>
    </row>
    <row r="554" spans="2:40" ht="23.15" customHeight="1" thickBot="1">
      <c r="B554" s="87">
        <v>45692</v>
      </c>
      <c r="C554" s="2" t="s">
        <v>295</v>
      </c>
      <c r="D554" s="15" t="s">
        <v>17</v>
      </c>
      <c r="E554" s="20" t="s">
        <v>160</v>
      </c>
      <c r="F554" s="20" t="s">
        <v>73</v>
      </c>
      <c r="G554" s="11">
        <v>4</v>
      </c>
      <c r="H554" s="11">
        <v>4</v>
      </c>
      <c r="I554" s="18">
        <v>0</v>
      </c>
      <c r="J554" s="11">
        <v>0</v>
      </c>
      <c r="K554" s="19">
        <v>17513.52</v>
      </c>
      <c r="L554" s="41">
        <v>0</v>
      </c>
      <c r="M554" s="41">
        <v>0</v>
      </c>
      <c r="N554" s="41">
        <v>0</v>
      </c>
      <c r="O554" s="41">
        <v>0</v>
      </c>
      <c r="P554" s="41">
        <v>0</v>
      </c>
      <c r="Q554" s="43">
        <v>0</v>
      </c>
      <c r="R554" s="43">
        <v>0</v>
      </c>
      <c r="S554" s="43">
        <v>0</v>
      </c>
      <c r="T554" s="43">
        <v>0</v>
      </c>
      <c r="U554" s="19" t="s">
        <v>295</v>
      </c>
      <c r="V554" s="13">
        <f t="shared" si="73"/>
        <v>17513.52</v>
      </c>
      <c r="W554" s="13"/>
      <c r="X554" s="13"/>
      <c r="Y554" s="13"/>
      <c r="Z554" s="13"/>
      <c r="AA554" s="22">
        <v>45658</v>
      </c>
      <c r="AB554" s="22" cm="1">
        <f t="array" ref="AB5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54" s="4"/>
      <c r="AD554" s="4"/>
      <c r="AE554" s="2"/>
      <c r="AF554" s="3"/>
      <c r="AG554" s="3"/>
      <c r="AH554" s="3"/>
      <c r="AI554" s="3"/>
      <c r="AJ554" s="2">
        <f t="shared" si="71"/>
        <v>0</v>
      </c>
      <c r="AK554" s="2">
        <f t="shared" si="72"/>
        <v>0</v>
      </c>
      <c r="AL554" s="2">
        <f t="shared" si="74"/>
        <v>0</v>
      </c>
      <c r="AM554" s="88"/>
      <c r="AN554" s="157" t="s">
        <v>774</v>
      </c>
    </row>
    <row r="555" spans="2:40" ht="23.15" customHeight="1" thickBot="1">
      <c r="B555" s="87">
        <v>45727</v>
      </c>
      <c r="C555" s="2" t="s">
        <v>295</v>
      </c>
      <c r="D555" s="15" t="s">
        <v>17</v>
      </c>
      <c r="E555" s="20" t="s">
        <v>160</v>
      </c>
      <c r="F555" s="20" t="s">
        <v>73</v>
      </c>
      <c r="G555" s="11">
        <v>4</v>
      </c>
      <c r="H555" s="11">
        <v>4</v>
      </c>
      <c r="I555" s="18">
        <v>0</v>
      </c>
      <c r="J555" s="11">
        <v>0</v>
      </c>
      <c r="K555" s="19">
        <v>17513.52</v>
      </c>
      <c r="L555" s="41">
        <v>0</v>
      </c>
      <c r="M555" s="41">
        <v>0</v>
      </c>
      <c r="N555" s="41">
        <v>0</v>
      </c>
      <c r="O555" s="41">
        <v>0</v>
      </c>
      <c r="P555" s="41">
        <v>0</v>
      </c>
      <c r="Q555" s="43">
        <v>0</v>
      </c>
      <c r="R555" s="43">
        <v>0</v>
      </c>
      <c r="S555" s="43">
        <v>0</v>
      </c>
      <c r="T555" s="43">
        <v>0</v>
      </c>
      <c r="U555" s="19" t="s">
        <v>295</v>
      </c>
      <c r="V555" s="13">
        <f t="shared" si="73"/>
        <v>17513.52</v>
      </c>
      <c r="W555" s="13"/>
      <c r="X555" s="13"/>
      <c r="Y555" s="13"/>
      <c r="Z555" s="13"/>
      <c r="AA555" s="22">
        <v>45689</v>
      </c>
      <c r="AB555" s="22" cm="1">
        <f t="array" ref="AB5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55" s="4"/>
      <c r="AD555" s="4"/>
      <c r="AE555" s="2"/>
      <c r="AF555" s="3"/>
      <c r="AG555" s="3"/>
      <c r="AH555" s="3"/>
      <c r="AI555" s="3"/>
      <c r="AJ555" s="2">
        <f t="shared" si="71"/>
        <v>0</v>
      </c>
      <c r="AK555" s="2">
        <f t="shared" si="72"/>
        <v>0</v>
      </c>
      <c r="AL555" s="2">
        <f t="shared" si="74"/>
        <v>0</v>
      </c>
      <c r="AM555" s="88"/>
      <c r="AN555" s="157" t="s">
        <v>774</v>
      </c>
    </row>
    <row r="556" spans="2:40" ht="23.15" customHeight="1" thickBot="1">
      <c r="B556" s="87">
        <v>45754</v>
      </c>
      <c r="C556" s="2" t="s">
        <v>295</v>
      </c>
      <c r="D556" s="15" t="s">
        <v>17</v>
      </c>
      <c r="E556" s="20" t="s">
        <v>160</v>
      </c>
      <c r="F556" s="20" t="s">
        <v>73</v>
      </c>
      <c r="G556" s="11">
        <v>4</v>
      </c>
      <c r="H556" s="11">
        <v>4</v>
      </c>
      <c r="I556" s="18">
        <v>0</v>
      </c>
      <c r="J556" s="11">
        <v>0</v>
      </c>
      <c r="K556" s="19">
        <v>17513.52</v>
      </c>
      <c r="L556" s="41">
        <v>0</v>
      </c>
      <c r="M556" s="41">
        <v>0</v>
      </c>
      <c r="N556" s="41">
        <v>0</v>
      </c>
      <c r="O556" s="41">
        <v>0</v>
      </c>
      <c r="P556" s="41">
        <v>0</v>
      </c>
      <c r="Q556" s="43">
        <v>0</v>
      </c>
      <c r="R556" s="43">
        <v>0</v>
      </c>
      <c r="S556" s="43">
        <v>0</v>
      </c>
      <c r="T556" s="43">
        <v>0</v>
      </c>
      <c r="U556" s="19" t="s">
        <v>295</v>
      </c>
      <c r="V556" s="13">
        <f t="shared" si="73"/>
        <v>17513.52</v>
      </c>
      <c r="W556" s="13"/>
      <c r="X556" s="13"/>
      <c r="Y556" s="13"/>
      <c r="Z556" s="13"/>
      <c r="AA556" s="22">
        <v>45717</v>
      </c>
      <c r="AB556" s="22" cm="1">
        <f t="array" ref="AB5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56" s="4"/>
      <c r="AD556" s="4"/>
      <c r="AE556" s="2"/>
      <c r="AF556" s="3"/>
      <c r="AG556" s="3"/>
      <c r="AH556" s="3"/>
      <c r="AI556" s="3"/>
      <c r="AJ556" s="2">
        <f t="shared" si="71"/>
        <v>0</v>
      </c>
      <c r="AK556" s="2">
        <f t="shared" si="72"/>
        <v>0</v>
      </c>
      <c r="AL556" s="2">
        <f t="shared" si="74"/>
        <v>0</v>
      </c>
      <c r="AM556" s="88"/>
      <c r="AN556" s="157" t="s">
        <v>774</v>
      </c>
    </row>
    <row r="557" spans="2:40" ht="23.15" customHeight="1" thickBot="1">
      <c r="B557" s="87">
        <v>45789</v>
      </c>
      <c r="C557" s="2" t="s">
        <v>295</v>
      </c>
      <c r="D557" s="15" t="s">
        <v>17</v>
      </c>
      <c r="E557" s="20" t="s">
        <v>160</v>
      </c>
      <c r="F557" s="20" t="s">
        <v>73</v>
      </c>
      <c r="G557" s="11">
        <v>4</v>
      </c>
      <c r="H557" s="11">
        <v>4</v>
      </c>
      <c r="I557" s="18">
        <v>0</v>
      </c>
      <c r="J557" s="11">
        <v>12.33</v>
      </c>
      <c r="K557" s="19">
        <v>17513.52</v>
      </c>
      <c r="L557" s="41">
        <v>0</v>
      </c>
      <c r="M557" s="41">
        <v>0</v>
      </c>
      <c r="N557" s="41">
        <v>0</v>
      </c>
      <c r="O557" s="41">
        <f>-212.38</f>
        <v>-212.38</v>
      </c>
      <c r="P557" s="41">
        <v>0</v>
      </c>
      <c r="Q557" s="43">
        <v>0</v>
      </c>
      <c r="R557" s="43">
        <v>0</v>
      </c>
      <c r="S557" s="43">
        <v>0</v>
      </c>
      <c r="T557" s="43">
        <v>0</v>
      </c>
      <c r="U557" s="19" t="s">
        <v>295</v>
      </c>
      <c r="V557" s="13">
        <f t="shared" si="73"/>
        <v>17301.14</v>
      </c>
      <c r="W557" s="13"/>
      <c r="X557" s="13"/>
      <c r="Y557" s="13"/>
      <c r="Z557" s="13"/>
      <c r="AA557" s="22">
        <v>45748</v>
      </c>
      <c r="AB557" s="22" cm="1">
        <f t="array" ref="AB5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57" s="4"/>
      <c r="AD557" s="4"/>
      <c r="AE557" s="2"/>
      <c r="AF557" s="3"/>
      <c r="AG557" s="3"/>
      <c r="AH557" s="3"/>
      <c r="AI557" s="3"/>
      <c r="AJ557" s="2">
        <f t="shared" si="71"/>
        <v>0</v>
      </c>
      <c r="AK557" s="2">
        <f t="shared" si="72"/>
        <v>0</v>
      </c>
      <c r="AL557" s="2">
        <f t="shared" si="74"/>
        <v>212.38000000000102</v>
      </c>
      <c r="AM557" s="88"/>
      <c r="AN557" s="157" t="s">
        <v>774</v>
      </c>
    </row>
    <row r="558" spans="2:40" ht="23.15" customHeight="1" thickBot="1">
      <c r="B558" s="87"/>
      <c r="C558" s="2" t="s">
        <v>292</v>
      </c>
      <c r="D558" s="15" t="s">
        <v>17</v>
      </c>
      <c r="E558" s="20" t="s">
        <v>160</v>
      </c>
      <c r="F558" s="20" t="s">
        <v>73</v>
      </c>
      <c r="G558" s="11">
        <v>4</v>
      </c>
      <c r="H558" s="11">
        <v>4</v>
      </c>
      <c r="I558" s="18" t="s">
        <v>294</v>
      </c>
      <c r="J558" s="43" t="s">
        <v>294</v>
      </c>
      <c r="K558" s="19">
        <v>17513.52</v>
      </c>
      <c r="L558" s="41">
        <v>0</v>
      </c>
      <c r="M558" s="41" t="s">
        <v>294</v>
      </c>
      <c r="N558" s="41">
        <v>0</v>
      </c>
      <c r="O558" s="41" t="s">
        <v>294</v>
      </c>
      <c r="P558" s="41">
        <v>0</v>
      </c>
      <c r="Q558" s="43">
        <v>0</v>
      </c>
      <c r="R558" s="43">
        <v>0</v>
      </c>
      <c r="S558" s="43">
        <v>0</v>
      </c>
      <c r="T558" s="43">
        <v>0</v>
      </c>
      <c r="U558" s="19" t="s">
        <v>292</v>
      </c>
      <c r="V558" s="13">
        <f t="shared" si="73"/>
        <v>17513.52</v>
      </c>
      <c r="W558" s="13"/>
      <c r="X558" s="13"/>
      <c r="Y558" s="13"/>
      <c r="Z558" s="13"/>
      <c r="AA558" s="22">
        <v>45778</v>
      </c>
      <c r="AB558" s="22" cm="1">
        <f t="array" ref="AB5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58" s="4"/>
      <c r="AD558" s="4"/>
      <c r="AE558" s="2"/>
      <c r="AF558" s="3"/>
      <c r="AG558" s="3"/>
      <c r="AH558" s="3"/>
      <c r="AI558" s="3"/>
      <c r="AJ558" s="2">
        <f t="shared" si="71"/>
        <v>0</v>
      </c>
      <c r="AK558" s="2">
        <f t="shared" si="72"/>
        <v>0</v>
      </c>
      <c r="AL558" s="2">
        <f t="shared" si="74"/>
        <v>0</v>
      </c>
      <c r="AM558" s="88"/>
      <c r="AN558" s="157" t="s">
        <v>774</v>
      </c>
    </row>
    <row r="559" spans="2:40" ht="23.15" customHeight="1" thickBot="1">
      <c r="B559" s="87"/>
      <c r="C559" s="2" t="s">
        <v>292</v>
      </c>
      <c r="D559" s="15" t="s">
        <v>17</v>
      </c>
      <c r="E559" s="20" t="s">
        <v>160</v>
      </c>
      <c r="F559" s="20" t="s">
        <v>73</v>
      </c>
      <c r="G559" s="11">
        <v>4</v>
      </c>
      <c r="H559" s="11">
        <v>4</v>
      </c>
      <c r="I559" s="18" t="s">
        <v>294</v>
      </c>
      <c r="J559" s="43" t="s">
        <v>294</v>
      </c>
      <c r="K559" s="19">
        <v>17513.52</v>
      </c>
      <c r="L559" s="41">
        <v>0</v>
      </c>
      <c r="M559" s="41" t="s">
        <v>294</v>
      </c>
      <c r="N559" s="41">
        <v>0</v>
      </c>
      <c r="O559" s="41" t="s">
        <v>294</v>
      </c>
      <c r="P559" s="41">
        <v>0</v>
      </c>
      <c r="Q559" s="43">
        <v>0</v>
      </c>
      <c r="R559" s="43">
        <v>0</v>
      </c>
      <c r="S559" s="43">
        <v>0</v>
      </c>
      <c r="T559" s="43">
        <v>0</v>
      </c>
      <c r="U559" s="19"/>
      <c r="V559" s="13">
        <f t="shared" si="73"/>
        <v>17513.52</v>
      </c>
      <c r="W559" s="13"/>
      <c r="X559" s="13"/>
      <c r="Y559" s="13"/>
      <c r="Z559" s="13"/>
      <c r="AA559" s="22">
        <v>45838</v>
      </c>
      <c r="AB559" s="22" cm="1">
        <f t="array" ref="AB5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45868</v>
      </c>
      <c r="AC559" s="4"/>
      <c r="AD559" s="4"/>
      <c r="AE559" s="2"/>
      <c r="AF559" s="3"/>
      <c r="AG559" s="3"/>
      <c r="AH559" s="3"/>
      <c r="AI559" s="3"/>
      <c r="AJ559" s="2">
        <f t="shared" si="71"/>
        <v>0</v>
      </c>
      <c r="AK559" s="2">
        <f t="shared" si="72"/>
        <v>0</v>
      </c>
      <c r="AL559" s="2">
        <f t="shared" si="74"/>
        <v>0</v>
      </c>
      <c r="AM559" s="88"/>
      <c r="AN559" s="157" t="s">
        <v>774</v>
      </c>
    </row>
    <row r="560" spans="2:40" ht="23.15" customHeight="1" thickBot="1">
      <c r="B560" s="87"/>
      <c r="C560" s="2" t="s">
        <v>292</v>
      </c>
      <c r="D560" s="15" t="s">
        <v>17</v>
      </c>
      <c r="E560" s="20" t="s">
        <v>32</v>
      </c>
      <c r="F560" s="20" t="s">
        <v>40</v>
      </c>
      <c r="G560" s="11">
        <v>11</v>
      </c>
      <c r="H560" s="11">
        <v>11</v>
      </c>
      <c r="I560" s="18" t="s">
        <v>294</v>
      </c>
      <c r="J560" s="11" t="s">
        <v>294</v>
      </c>
      <c r="K560" s="19">
        <v>72328.600856634468</v>
      </c>
      <c r="L560" s="41">
        <v>0</v>
      </c>
      <c r="M560" s="41" t="s">
        <v>294</v>
      </c>
      <c r="N560" s="41">
        <v>0</v>
      </c>
      <c r="O560" s="41" t="s">
        <v>294</v>
      </c>
      <c r="P560" s="41">
        <v>0</v>
      </c>
      <c r="Q560" s="41">
        <v>0</v>
      </c>
      <c r="R560" s="41">
        <v>0</v>
      </c>
      <c r="S560" s="41">
        <v>0</v>
      </c>
      <c r="T560" s="41">
        <v>0</v>
      </c>
      <c r="U560" s="19" t="s">
        <v>292</v>
      </c>
      <c r="V560" s="13">
        <f t="shared" si="73"/>
        <v>72328.600856634468</v>
      </c>
      <c r="W560" s="13"/>
      <c r="X560" s="13"/>
      <c r="Y560" s="13"/>
      <c r="Z560" s="13"/>
      <c r="AA560" s="22">
        <v>45839</v>
      </c>
      <c r="AB560" s="22" cm="1">
        <f t="array" ref="AB5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60" s="4"/>
      <c r="AD560" s="4"/>
      <c r="AE560" s="2"/>
      <c r="AF560" s="3"/>
      <c r="AG560" s="3"/>
      <c r="AH560" s="3"/>
      <c r="AI560" s="3"/>
      <c r="AJ560" s="2">
        <f t="shared" si="71"/>
        <v>0</v>
      </c>
      <c r="AK560" s="2">
        <f t="shared" si="72"/>
        <v>0</v>
      </c>
      <c r="AL560" s="2">
        <f t="shared" si="74"/>
        <v>0</v>
      </c>
      <c r="AM560" s="88"/>
      <c r="AN560" s="157" t="s">
        <v>774</v>
      </c>
    </row>
    <row r="561" spans="2:40" ht="23.15" customHeight="1" thickBot="1">
      <c r="B561" s="87">
        <v>45789</v>
      </c>
      <c r="C561" s="2" t="s">
        <v>295</v>
      </c>
      <c r="D561" s="15" t="s">
        <v>17</v>
      </c>
      <c r="E561" s="20" t="s">
        <v>30</v>
      </c>
      <c r="F561" s="20" t="s">
        <v>73</v>
      </c>
      <c r="G561" s="11">
        <v>29</v>
      </c>
      <c r="H561" s="18">
        <v>29</v>
      </c>
      <c r="I561" s="18">
        <v>7</v>
      </c>
      <c r="J561" s="11">
        <v>0</v>
      </c>
      <c r="K561" s="19">
        <v>25637.872031521998</v>
      </c>
      <c r="L561" s="41">
        <v>0</v>
      </c>
      <c r="M561" s="41">
        <v>-953.77</v>
      </c>
      <c r="N561" s="41">
        <v>0</v>
      </c>
      <c r="O561" s="41">
        <v>0</v>
      </c>
      <c r="P561" s="41">
        <v>-1107.3399999999999</v>
      </c>
      <c r="Q561" s="43">
        <v>0</v>
      </c>
      <c r="R561" s="43">
        <v>0</v>
      </c>
      <c r="S561" s="43">
        <v>0</v>
      </c>
      <c r="T561" s="43">
        <v>0</v>
      </c>
      <c r="U561" s="19" t="s">
        <v>295</v>
      </c>
      <c r="V561" s="13">
        <f t="shared" si="73"/>
        <v>23576.762031521997</v>
      </c>
      <c r="W561" s="13"/>
      <c r="X561" s="13"/>
      <c r="Y561" s="13"/>
      <c r="Z561" s="13"/>
      <c r="AA561" s="22">
        <v>45748</v>
      </c>
      <c r="AB561" s="22" cm="1">
        <f t="array" ref="AB5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61" s="4"/>
      <c r="AD561" s="4"/>
      <c r="AE561" s="2"/>
      <c r="AF561" s="3"/>
      <c r="AG561" s="3"/>
      <c r="AH561" s="3"/>
      <c r="AI561" s="3"/>
      <c r="AJ561" s="2">
        <f t="shared" si="71"/>
        <v>953.77</v>
      </c>
      <c r="AK561" s="2">
        <f t="shared" si="72"/>
        <v>0</v>
      </c>
      <c r="AL561" s="2">
        <f t="shared" si="74"/>
        <v>2061.1100000000006</v>
      </c>
      <c r="AM561" s="88"/>
      <c r="AN561" s="157" t="s">
        <v>774</v>
      </c>
    </row>
    <row r="562" spans="2:40" ht="23.15" customHeight="1" thickBot="1">
      <c r="B562" s="87"/>
      <c r="C562" s="2" t="s">
        <v>292</v>
      </c>
      <c r="D562" s="15" t="s">
        <v>17</v>
      </c>
      <c r="E562" s="20" t="s">
        <v>31</v>
      </c>
      <c r="F562" s="20" t="s">
        <v>40</v>
      </c>
      <c r="G562" s="11">
        <v>16</v>
      </c>
      <c r="H562" s="11">
        <v>14</v>
      </c>
      <c r="I562" s="18" t="s">
        <v>294</v>
      </c>
      <c r="J562" s="11" t="s">
        <v>294</v>
      </c>
      <c r="K562" s="19">
        <v>63099.613967373691</v>
      </c>
      <c r="L562" s="41">
        <v>0</v>
      </c>
      <c r="M562" s="41" t="s">
        <v>294</v>
      </c>
      <c r="N562" s="41">
        <v>0</v>
      </c>
      <c r="O562" s="41" t="s">
        <v>294</v>
      </c>
      <c r="P562" s="41">
        <v>0</v>
      </c>
      <c r="Q562" s="41">
        <v>0</v>
      </c>
      <c r="R562" s="43">
        <v>0</v>
      </c>
      <c r="S562" s="43">
        <v>0</v>
      </c>
      <c r="T562" s="43">
        <v>0</v>
      </c>
      <c r="U562" s="19" t="s">
        <v>295</v>
      </c>
      <c r="V562" s="13">
        <f t="shared" si="73"/>
        <v>63099.613967373691</v>
      </c>
      <c r="W562" s="13"/>
      <c r="X562" s="13"/>
      <c r="Y562" s="13"/>
      <c r="Z562" s="13"/>
      <c r="AA562" s="22">
        <v>45658</v>
      </c>
      <c r="AB562" s="22" cm="1">
        <f t="array" ref="AB5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62" s="4"/>
      <c r="AD562" s="4"/>
      <c r="AE562" s="2"/>
      <c r="AF562" s="3"/>
      <c r="AG562" s="3"/>
      <c r="AH562" s="3"/>
      <c r="AI562" s="3"/>
      <c r="AJ562" s="2">
        <f t="shared" si="71"/>
        <v>0</v>
      </c>
      <c r="AK562" s="2">
        <f t="shared" si="72"/>
        <v>0</v>
      </c>
      <c r="AL562" s="2">
        <f t="shared" si="74"/>
        <v>0</v>
      </c>
      <c r="AM562" s="88"/>
      <c r="AN562" s="157" t="s">
        <v>774</v>
      </c>
    </row>
    <row r="563" spans="2:40" ht="23.15" customHeight="1" thickBot="1">
      <c r="B563" s="87"/>
      <c r="C563" s="2" t="s">
        <v>292</v>
      </c>
      <c r="D563" s="15" t="s">
        <v>17</v>
      </c>
      <c r="E563" s="20" t="s">
        <v>31</v>
      </c>
      <c r="F563" s="20" t="s">
        <v>40</v>
      </c>
      <c r="G563" s="11">
        <v>16</v>
      </c>
      <c r="H563" s="11">
        <v>14</v>
      </c>
      <c r="I563" s="18" t="s">
        <v>294</v>
      </c>
      <c r="J563" s="11" t="s">
        <v>294</v>
      </c>
      <c r="K563" s="19">
        <v>67670.825967873127</v>
      </c>
      <c r="L563" s="41">
        <v>0</v>
      </c>
      <c r="M563" s="41" t="s">
        <v>294</v>
      </c>
      <c r="N563" s="41">
        <v>0</v>
      </c>
      <c r="O563" s="41" t="s">
        <v>294</v>
      </c>
      <c r="P563" s="43">
        <v>0</v>
      </c>
      <c r="Q563" s="43">
        <v>0</v>
      </c>
      <c r="R563" s="43">
        <v>0</v>
      </c>
      <c r="S563" s="43">
        <v>0</v>
      </c>
      <c r="T563" s="43">
        <v>0</v>
      </c>
      <c r="U563" s="19"/>
      <c r="V563" s="13">
        <f t="shared" si="73"/>
        <v>67670.825967873127</v>
      </c>
      <c r="W563" s="13"/>
      <c r="X563" s="13"/>
      <c r="Y563" s="13"/>
      <c r="Z563" s="13"/>
      <c r="AA563" s="22">
        <v>45689</v>
      </c>
      <c r="AB563" s="22" cm="1">
        <f t="array" ref="AB5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63" s="4"/>
      <c r="AD563" s="4"/>
      <c r="AE563" s="2"/>
      <c r="AF563" s="3"/>
      <c r="AG563" s="3"/>
      <c r="AH563" s="3"/>
      <c r="AI563" s="3"/>
      <c r="AJ563" s="2">
        <f t="shared" si="71"/>
        <v>0</v>
      </c>
      <c r="AK563" s="2">
        <f t="shared" si="72"/>
        <v>0</v>
      </c>
      <c r="AL563" s="2">
        <f t="shared" si="74"/>
        <v>0</v>
      </c>
      <c r="AM563" s="88"/>
      <c r="AN563" s="157" t="s">
        <v>774</v>
      </c>
    </row>
    <row r="564" spans="2:40" ht="23.15" customHeight="1" thickBot="1">
      <c r="B564" s="87"/>
      <c r="C564" s="2" t="s">
        <v>292</v>
      </c>
      <c r="D564" s="15" t="s">
        <v>17</v>
      </c>
      <c r="E564" s="20" t="s">
        <v>31</v>
      </c>
      <c r="F564" s="20" t="s">
        <v>40</v>
      </c>
      <c r="G564" s="11">
        <v>16</v>
      </c>
      <c r="H564" s="11">
        <v>14</v>
      </c>
      <c r="I564" s="18" t="s">
        <v>294</v>
      </c>
      <c r="J564" s="11" t="s">
        <v>294</v>
      </c>
      <c r="K564" s="19">
        <v>67670.825967873127</v>
      </c>
      <c r="L564" s="41">
        <v>0</v>
      </c>
      <c r="M564" s="41" t="s">
        <v>294</v>
      </c>
      <c r="N564" s="41">
        <v>0</v>
      </c>
      <c r="O564" s="41" t="s">
        <v>294</v>
      </c>
      <c r="P564" s="41">
        <v>0</v>
      </c>
      <c r="Q564" s="43">
        <v>0</v>
      </c>
      <c r="R564" s="43">
        <v>0</v>
      </c>
      <c r="S564" s="43">
        <v>0</v>
      </c>
      <c r="T564" s="43">
        <v>0</v>
      </c>
      <c r="U564" s="19"/>
      <c r="V564" s="13">
        <f t="shared" si="73"/>
        <v>67670.825967873127</v>
      </c>
      <c r="W564" s="13"/>
      <c r="X564" s="13"/>
      <c r="Y564" s="13"/>
      <c r="Z564" s="13"/>
      <c r="AA564" s="22">
        <v>45717</v>
      </c>
      <c r="AB564" s="22" cm="1">
        <f t="array" ref="AB5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64" s="4"/>
      <c r="AD564" s="4"/>
      <c r="AE564" s="2"/>
      <c r="AF564" s="3"/>
      <c r="AG564" s="3"/>
      <c r="AH564" s="3"/>
      <c r="AI564" s="3"/>
      <c r="AJ564" s="2">
        <f t="shared" si="71"/>
        <v>0</v>
      </c>
      <c r="AK564" s="2">
        <f t="shared" si="72"/>
        <v>0</v>
      </c>
      <c r="AL564" s="2">
        <f t="shared" si="74"/>
        <v>0</v>
      </c>
      <c r="AM564" s="88"/>
      <c r="AN564" s="157" t="s">
        <v>774</v>
      </c>
    </row>
    <row r="565" spans="2:40" ht="23.15" customHeight="1" thickBot="1">
      <c r="B565" s="87"/>
      <c r="C565" s="2" t="s">
        <v>292</v>
      </c>
      <c r="D565" s="15" t="s">
        <v>17</v>
      </c>
      <c r="E565" s="20" t="s">
        <v>31</v>
      </c>
      <c r="F565" s="20" t="s">
        <v>40</v>
      </c>
      <c r="G565" s="11">
        <v>16</v>
      </c>
      <c r="H565" s="11">
        <v>14</v>
      </c>
      <c r="I565" s="18" t="s">
        <v>294</v>
      </c>
      <c r="J565" s="11" t="s">
        <v>294</v>
      </c>
      <c r="K565" s="19">
        <v>67670.825967873127</v>
      </c>
      <c r="L565" s="41">
        <v>0</v>
      </c>
      <c r="M565" s="41" t="s">
        <v>294</v>
      </c>
      <c r="N565" s="41">
        <v>0</v>
      </c>
      <c r="O565" s="41" t="s">
        <v>294</v>
      </c>
      <c r="P565" s="41">
        <v>0</v>
      </c>
      <c r="Q565" s="43">
        <v>0</v>
      </c>
      <c r="R565" s="43">
        <v>0</v>
      </c>
      <c r="S565" s="43">
        <v>0</v>
      </c>
      <c r="T565" s="43">
        <v>0</v>
      </c>
      <c r="U565" s="19"/>
      <c r="V565" s="13">
        <f t="shared" si="73"/>
        <v>67670.825967873127</v>
      </c>
      <c r="W565" s="13"/>
      <c r="X565" s="13"/>
      <c r="Y565" s="13"/>
      <c r="Z565" s="13"/>
      <c r="AA565" s="22">
        <v>45748</v>
      </c>
      <c r="AB565" s="22" cm="1">
        <f t="array" ref="AB5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65" s="4"/>
      <c r="AD565" s="4"/>
      <c r="AE565" s="2"/>
      <c r="AF565" s="3"/>
      <c r="AG565" s="3"/>
      <c r="AH565" s="3"/>
      <c r="AI565" s="3"/>
      <c r="AJ565" s="2">
        <f t="shared" si="71"/>
        <v>0</v>
      </c>
      <c r="AK565" s="2">
        <f t="shared" si="72"/>
        <v>0</v>
      </c>
      <c r="AL565" s="2">
        <f t="shared" si="74"/>
        <v>0</v>
      </c>
      <c r="AM565" s="88"/>
      <c r="AN565" s="157" t="s">
        <v>774</v>
      </c>
    </row>
    <row r="566" spans="2:40" ht="23.15" customHeight="1" thickBot="1">
      <c r="B566" s="87"/>
      <c r="C566" s="2" t="s">
        <v>292</v>
      </c>
      <c r="D566" s="15" t="s">
        <v>17</v>
      </c>
      <c r="E566" s="20" t="s">
        <v>31</v>
      </c>
      <c r="F566" s="20" t="s">
        <v>40</v>
      </c>
      <c r="G566" s="11">
        <v>16</v>
      </c>
      <c r="H566" s="11">
        <v>14</v>
      </c>
      <c r="I566" s="18" t="s">
        <v>294</v>
      </c>
      <c r="J566" s="43" t="s">
        <v>294</v>
      </c>
      <c r="K566" s="19">
        <v>67670.825967873127</v>
      </c>
      <c r="L566" s="41">
        <v>0</v>
      </c>
      <c r="M566" s="41" t="s">
        <v>294</v>
      </c>
      <c r="N566" s="41">
        <v>0</v>
      </c>
      <c r="O566" s="41" t="s">
        <v>294</v>
      </c>
      <c r="P566" s="41">
        <v>0</v>
      </c>
      <c r="Q566" s="43">
        <v>0</v>
      </c>
      <c r="R566" s="43">
        <v>0</v>
      </c>
      <c r="S566" s="43">
        <v>0</v>
      </c>
      <c r="T566" s="43">
        <v>0</v>
      </c>
      <c r="U566" s="19" t="s">
        <v>292</v>
      </c>
      <c r="V566" s="13">
        <f t="shared" si="73"/>
        <v>67670.825967873127</v>
      </c>
      <c r="W566" s="13"/>
      <c r="X566" s="13"/>
      <c r="Y566" s="13"/>
      <c r="Z566" s="13"/>
      <c r="AA566" s="22">
        <v>45778</v>
      </c>
      <c r="AB566" s="22" cm="1">
        <f t="array" ref="AB5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66" s="4"/>
      <c r="AD566" s="4"/>
      <c r="AE566" s="2"/>
      <c r="AF566" s="3"/>
      <c r="AG566" s="3"/>
      <c r="AH566" s="3"/>
      <c r="AI566" s="3"/>
      <c r="AJ566" s="2">
        <f t="shared" si="71"/>
        <v>0</v>
      </c>
      <c r="AK566" s="2">
        <f t="shared" si="72"/>
        <v>0</v>
      </c>
      <c r="AL566" s="2">
        <f t="shared" si="74"/>
        <v>0</v>
      </c>
      <c r="AM566" s="88"/>
      <c r="AN566" s="157" t="s">
        <v>774</v>
      </c>
    </row>
    <row r="567" spans="2:40" ht="23.15" customHeight="1" thickBot="1">
      <c r="B567" s="87"/>
      <c r="C567" s="2" t="s">
        <v>292</v>
      </c>
      <c r="D567" s="15" t="s">
        <v>17</v>
      </c>
      <c r="E567" s="20" t="s">
        <v>32</v>
      </c>
      <c r="F567" s="20" t="s">
        <v>40</v>
      </c>
      <c r="G567" s="11">
        <v>11</v>
      </c>
      <c r="H567" s="11">
        <v>11</v>
      </c>
      <c r="I567" s="18" t="s">
        <v>294</v>
      </c>
      <c r="J567" s="11" t="s">
        <v>294</v>
      </c>
      <c r="K567" s="19">
        <v>68875.878348253726</v>
      </c>
      <c r="L567" s="41">
        <v>0</v>
      </c>
      <c r="M567" s="43" t="s">
        <v>294</v>
      </c>
      <c r="N567" s="41">
        <v>0</v>
      </c>
      <c r="O567" s="41" t="s">
        <v>294</v>
      </c>
      <c r="P567" s="41">
        <v>0</v>
      </c>
      <c r="Q567" s="43">
        <v>0</v>
      </c>
      <c r="R567" s="43">
        <v>0</v>
      </c>
      <c r="S567" s="43">
        <v>0</v>
      </c>
      <c r="T567" s="43">
        <v>0</v>
      </c>
      <c r="U567" s="19" t="s">
        <v>295</v>
      </c>
      <c r="V567" s="13">
        <f t="shared" si="73"/>
        <v>68875.878348253726</v>
      </c>
      <c r="W567" s="13"/>
      <c r="X567" s="13"/>
      <c r="Y567" s="13"/>
      <c r="Z567" s="13"/>
      <c r="AA567" s="22">
        <v>45658</v>
      </c>
      <c r="AB567" s="22" cm="1">
        <f t="array" ref="AB5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67" s="4"/>
      <c r="AD567" s="4"/>
      <c r="AE567" s="2"/>
      <c r="AF567" s="3"/>
      <c r="AG567" s="3"/>
      <c r="AH567" s="3"/>
      <c r="AI567" s="3"/>
      <c r="AJ567" s="2">
        <f t="shared" si="71"/>
        <v>0</v>
      </c>
      <c r="AK567" s="2">
        <f t="shared" si="72"/>
        <v>0</v>
      </c>
      <c r="AL567" s="2">
        <f t="shared" si="74"/>
        <v>0</v>
      </c>
      <c r="AM567" s="88"/>
      <c r="AN567" s="157" t="s">
        <v>774</v>
      </c>
    </row>
    <row r="568" spans="2:40" ht="23.15" customHeight="1" thickBot="1">
      <c r="B568" s="87"/>
      <c r="C568" s="2" t="s">
        <v>292</v>
      </c>
      <c r="D568" s="15" t="s">
        <v>17</v>
      </c>
      <c r="E568" s="20" t="s">
        <v>32</v>
      </c>
      <c r="F568" s="20" t="s">
        <v>40</v>
      </c>
      <c r="G568" s="11">
        <v>11</v>
      </c>
      <c r="H568" s="11">
        <v>11</v>
      </c>
      <c r="I568" s="18" t="s">
        <v>294</v>
      </c>
      <c r="J568" s="11" t="s">
        <v>294</v>
      </c>
      <c r="K568" s="19">
        <v>68875.878348253726</v>
      </c>
      <c r="L568" s="41">
        <v>0</v>
      </c>
      <c r="M568" s="41" t="s">
        <v>294</v>
      </c>
      <c r="N568" s="41">
        <v>0</v>
      </c>
      <c r="O568" s="41" t="s">
        <v>294</v>
      </c>
      <c r="P568" s="41">
        <v>0</v>
      </c>
      <c r="Q568" s="43">
        <v>0</v>
      </c>
      <c r="R568" s="43">
        <v>0</v>
      </c>
      <c r="S568" s="43">
        <v>0</v>
      </c>
      <c r="T568" s="43">
        <v>0</v>
      </c>
      <c r="U568" s="19" t="s">
        <v>292</v>
      </c>
      <c r="V568" s="13">
        <f t="shared" si="73"/>
        <v>68875.878348253726</v>
      </c>
      <c r="W568" s="13"/>
      <c r="X568" s="13"/>
      <c r="Y568" s="13"/>
      <c r="Z568" s="13"/>
      <c r="AA568" s="22">
        <v>45689</v>
      </c>
      <c r="AB568" s="22" cm="1">
        <f t="array" ref="AB5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68" s="4"/>
      <c r="AD568" s="4"/>
      <c r="AE568" s="2"/>
      <c r="AF568" s="3"/>
      <c r="AG568" s="3"/>
      <c r="AH568" s="3"/>
      <c r="AI568" s="3"/>
      <c r="AJ568" s="2">
        <f t="shared" si="71"/>
        <v>0</v>
      </c>
      <c r="AK568" s="2">
        <f t="shared" si="72"/>
        <v>0</v>
      </c>
      <c r="AL568" s="2">
        <f t="shared" si="74"/>
        <v>0</v>
      </c>
      <c r="AM568" s="88"/>
      <c r="AN568" s="157" t="s">
        <v>774</v>
      </c>
    </row>
    <row r="569" spans="2:40" ht="23.15" customHeight="1" thickBot="1">
      <c r="B569" s="87"/>
      <c r="C569" s="2" t="s">
        <v>292</v>
      </c>
      <c r="D569" s="15" t="s">
        <v>17</v>
      </c>
      <c r="E569" s="20" t="s">
        <v>32</v>
      </c>
      <c r="F569" s="20" t="s">
        <v>40</v>
      </c>
      <c r="G569" s="11">
        <v>11</v>
      </c>
      <c r="H569" s="11">
        <v>11</v>
      </c>
      <c r="I569" s="18" t="s">
        <v>294</v>
      </c>
      <c r="J569" s="11" t="s">
        <v>294</v>
      </c>
      <c r="K569" s="19">
        <v>72328.600856634468</v>
      </c>
      <c r="L569" s="41">
        <v>0</v>
      </c>
      <c r="M569" s="43" t="s">
        <v>294</v>
      </c>
      <c r="N569" s="41">
        <v>0</v>
      </c>
      <c r="O569" s="41" t="s">
        <v>294</v>
      </c>
      <c r="P569" s="41">
        <v>0</v>
      </c>
      <c r="Q569" s="43">
        <v>0</v>
      </c>
      <c r="R569" s="43">
        <v>0</v>
      </c>
      <c r="S569" s="43">
        <v>0</v>
      </c>
      <c r="T569" s="43">
        <v>0</v>
      </c>
      <c r="U569" s="19" t="s">
        <v>292</v>
      </c>
      <c r="V569" s="13">
        <f t="shared" si="73"/>
        <v>72328.600856634468</v>
      </c>
      <c r="W569" s="13"/>
      <c r="X569" s="13"/>
      <c r="Y569" s="13"/>
      <c r="Z569" s="13"/>
      <c r="AA569" s="22">
        <v>45717</v>
      </c>
      <c r="AB569" s="22" cm="1">
        <f t="array" ref="AB5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69" s="4"/>
      <c r="AD569" s="4"/>
      <c r="AE569" s="2"/>
      <c r="AF569" s="3"/>
      <c r="AG569" s="3"/>
      <c r="AH569" s="3"/>
      <c r="AI569" s="3"/>
      <c r="AJ569" s="2">
        <f t="shared" si="71"/>
        <v>0</v>
      </c>
      <c r="AK569" s="2">
        <f t="shared" si="72"/>
        <v>0</v>
      </c>
      <c r="AL569" s="2">
        <f t="shared" si="74"/>
        <v>0</v>
      </c>
      <c r="AM569" s="88"/>
      <c r="AN569" s="157" t="s">
        <v>774</v>
      </c>
    </row>
    <row r="570" spans="2:40" ht="23.15" customHeight="1" thickBot="1">
      <c r="B570" s="87"/>
      <c r="C570" s="2" t="s">
        <v>292</v>
      </c>
      <c r="D570" s="15" t="s">
        <v>17</v>
      </c>
      <c r="E570" s="20" t="s">
        <v>32</v>
      </c>
      <c r="F570" s="20" t="s">
        <v>40</v>
      </c>
      <c r="G570" s="11">
        <v>11</v>
      </c>
      <c r="H570" s="11">
        <v>11</v>
      </c>
      <c r="I570" s="18" t="s">
        <v>294</v>
      </c>
      <c r="J570" s="11" t="s">
        <v>294</v>
      </c>
      <c r="K570" s="19">
        <v>72328.600856634468</v>
      </c>
      <c r="L570" s="41">
        <v>0</v>
      </c>
      <c r="M570" s="43" t="s">
        <v>294</v>
      </c>
      <c r="N570" s="41">
        <v>0</v>
      </c>
      <c r="O570" s="41" t="s">
        <v>294</v>
      </c>
      <c r="P570" s="41">
        <v>0</v>
      </c>
      <c r="Q570" s="43">
        <v>0</v>
      </c>
      <c r="R570" s="43">
        <v>0</v>
      </c>
      <c r="S570" s="43">
        <v>0</v>
      </c>
      <c r="T570" s="43">
        <v>0</v>
      </c>
      <c r="U570" s="19" t="s">
        <v>292</v>
      </c>
      <c r="V570" s="13">
        <f t="shared" si="73"/>
        <v>72328.600856634468</v>
      </c>
      <c r="W570" s="13"/>
      <c r="X570" s="13"/>
      <c r="Y570" s="13"/>
      <c r="Z570" s="13"/>
      <c r="AA570" s="22">
        <v>45748</v>
      </c>
      <c r="AB570" s="22" cm="1">
        <f t="array" ref="AB5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70" s="4"/>
      <c r="AD570" s="4"/>
      <c r="AE570" s="2"/>
      <c r="AF570" s="3"/>
      <c r="AG570" s="3"/>
      <c r="AH570" s="3"/>
      <c r="AI570" s="3"/>
      <c r="AJ570" s="2">
        <f t="shared" si="71"/>
        <v>0</v>
      </c>
      <c r="AK570" s="2">
        <f t="shared" si="72"/>
        <v>0</v>
      </c>
      <c r="AL570" s="2">
        <f t="shared" si="74"/>
        <v>0</v>
      </c>
      <c r="AM570" s="88"/>
      <c r="AN570" s="157" t="s">
        <v>774</v>
      </c>
    </row>
    <row r="571" spans="2:40" ht="23.15" customHeight="1" thickBot="1">
      <c r="B571" s="87"/>
      <c r="C571" s="2" t="s">
        <v>292</v>
      </c>
      <c r="D571" s="15" t="s">
        <v>17</v>
      </c>
      <c r="E571" s="20" t="s">
        <v>32</v>
      </c>
      <c r="F571" s="20" t="s">
        <v>40</v>
      </c>
      <c r="G571" s="11">
        <v>11</v>
      </c>
      <c r="H571" s="11">
        <v>11</v>
      </c>
      <c r="I571" s="41" t="s">
        <v>294</v>
      </c>
      <c r="J571" s="41" t="s">
        <v>294</v>
      </c>
      <c r="K571" s="19">
        <v>72328.600856634468</v>
      </c>
      <c r="L571" s="41">
        <v>0</v>
      </c>
      <c r="M571" s="41" t="s">
        <v>294</v>
      </c>
      <c r="N571" s="41">
        <v>0</v>
      </c>
      <c r="O571" s="41" t="s">
        <v>294</v>
      </c>
      <c r="P571" s="41">
        <v>0</v>
      </c>
      <c r="Q571" s="43">
        <v>0</v>
      </c>
      <c r="R571" s="43">
        <v>0</v>
      </c>
      <c r="S571" s="43">
        <v>0</v>
      </c>
      <c r="T571" s="43">
        <v>0</v>
      </c>
      <c r="U571" s="19" t="s">
        <v>292</v>
      </c>
      <c r="V571" s="13">
        <f t="shared" si="73"/>
        <v>72328.600856634468</v>
      </c>
      <c r="W571" s="13"/>
      <c r="X571" s="13"/>
      <c r="Y571" s="13"/>
      <c r="Z571" s="13"/>
      <c r="AA571" s="22">
        <v>45778</v>
      </c>
      <c r="AB571" s="22" cm="1">
        <f t="array" ref="AB5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71" s="4"/>
      <c r="AD571" s="4"/>
      <c r="AE571" s="2"/>
      <c r="AF571" s="3"/>
      <c r="AG571" s="3"/>
      <c r="AH571" s="3"/>
      <c r="AI571" s="3"/>
      <c r="AJ571" s="2">
        <f t="shared" si="71"/>
        <v>0</v>
      </c>
      <c r="AK571" s="2">
        <f t="shared" si="72"/>
        <v>0</v>
      </c>
      <c r="AL571" s="2">
        <f t="shared" si="74"/>
        <v>0</v>
      </c>
      <c r="AM571" s="88"/>
      <c r="AN571" s="157" t="s">
        <v>774</v>
      </c>
    </row>
    <row r="572" spans="2:40" ht="23.15" customHeight="1" thickBot="1">
      <c r="B572" s="87">
        <v>45904</v>
      </c>
      <c r="C572" s="2" t="s">
        <v>295</v>
      </c>
      <c r="D572" s="15" t="s">
        <v>11</v>
      </c>
      <c r="E572" s="20" t="s">
        <v>32</v>
      </c>
      <c r="F572" s="20" t="s">
        <v>40</v>
      </c>
      <c r="G572" s="11">
        <v>18</v>
      </c>
      <c r="H572" s="18">
        <v>18</v>
      </c>
      <c r="I572" s="18">
        <v>0</v>
      </c>
      <c r="J572" s="11">
        <v>0</v>
      </c>
      <c r="K572" s="19">
        <v>125752.91066769751</v>
      </c>
      <c r="L572" s="41">
        <v>0</v>
      </c>
      <c r="M572" s="43">
        <v>0</v>
      </c>
      <c r="N572" s="41">
        <v>0</v>
      </c>
      <c r="O572" s="41">
        <v>0</v>
      </c>
      <c r="P572" s="41">
        <v>0</v>
      </c>
      <c r="Q572" s="43">
        <v>0</v>
      </c>
      <c r="R572" s="43">
        <v>0</v>
      </c>
      <c r="S572" s="43">
        <v>0</v>
      </c>
      <c r="T572" s="43">
        <v>0</v>
      </c>
      <c r="U572" s="19" t="s">
        <v>295</v>
      </c>
      <c r="V572" s="13">
        <f t="shared" ref="V572:V595" si="75">IFERROR((K572+M572+R572+S572+T572+O572)+IF(U572="Sim",P572+Q572,0),(K572+R572+S572+T572)+IF(U572="Sim",P572+Q572,0))</f>
        <v>125752.91066769751</v>
      </c>
      <c r="W572" s="13"/>
      <c r="X572" s="13"/>
      <c r="Y572" s="13"/>
      <c r="Z572" s="13"/>
      <c r="AA572" s="22">
        <v>45870</v>
      </c>
      <c r="AB572" s="22" cm="1">
        <f t="array" ref="AB5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72" s="4"/>
      <c r="AD572" s="4"/>
      <c r="AE572" s="2"/>
      <c r="AF572" s="3"/>
      <c r="AG572" s="3"/>
      <c r="AH572" s="3"/>
      <c r="AI572" s="3"/>
      <c r="AJ572" s="2">
        <f t="shared" ref="AJ572:AJ635" si="76">IFERROR(L572-M572,0)</f>
        <v>0</v>
      </c>
      <c r="AK572" s="2">
        <f t="shared" si="72"/>
        <v>0</v>
      </c>
      <c r="AL572" s="2">
        <f t="shared" si="74"/>
        <v>0</v>
      </c>
      <c r="AM572" s="88"/>
      <c r="AN572" s="157" t="s">
        <v>774</v>
      </c>
    </row>
    <row r="573" spans="2:40" ht="23.15" customHeight="1" thickBot="1">
      <c r="B573" s="87"/>
      <c r="C573" s="2" t="s">
        <v>292</v>
      </c>
      <c r="D573" s="15" t="s">
        <v>17</v>
      </c>
      <c r="E573" s="20" t="s">
        <v>32</v>
      </c>
      <c r="F573" s="20" t="s">
        <v>40</v>
      </c>
      <c r="G573" s="11">
        <v>11</v>
      </c>
      <c r="H573" s="11">
        <v>11</v>
      </c>
      <c r="I573" s="41" t="s">
        <v>294</v>
      </c>
      <c r="J573" s="43" t="s">
        <v>294</v>
      </c>
      <c r="K573" s="19">
        <v>72328.600856634468</v>
      </c>
      <c r="L573" s="41">
        <v>0</v>
      </c>
      <c r="M573" s="43" t="s">
        <v>294</v>
      </c>
      <c r="N573" s="41">
        <v>0</v>
      </c>
      <c r="O573" s="41" t="s">
        <v>294</v>
      </c>
      <c r="P573" s="41">
        <v>0</v>
      </c>
      <c r="Q573" s="43">
        <v>0</v>
      </c>
      <c r="R573" s="43">
        <v>0</v>
      </c>
      <c r="S573" s="43">
        <v>0</v>
      </c>
      <c r="T573" s="43">
        <v>0</v>
      </c>
      <c r="U573" s="19" t="s">
        <v>292</v>
      </c>
      <c r="V573" s="13">
        <f t="shared" si="75"/>
        <v>72328.600856634468</v>
      </c>
      <c r="W573" s="13"/>
      <c r="X573" s="13"/>
      <c r="Y573" s="13"/>
      <c r="Z573" s="13"/>
      <c r="AA573" s="22">
        <v>45809</v>
      </c>
      <c r="AB573" s="22" cm="1">
        <f t="array" ref="AB5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73" s="4"/>
      <c r="AD573" s="4"/>
      <c r="AE573" s="2"/>
      <c r="AF573" s="3"/>
      <c r="AG573" s="3"/>
      <c r="AH573" s="3"/>
      <c r="AI573" s="3"/>
      <c r="AJ573" s="2">
        <f t="shared" si="76"/>
        <v>0</v>
      </c>
      <c r="AK573" s="2">
        <f t="shared" si="72"/>
        <v>0</v>
      </c>
      <c r="AL573" s="2">
        <f t="shared" si="74"/>
        <v>0</v>
      </c>
      <c r="AM573" s="88"/>
      <c r="AN573" s="157" t="s">
        <v>774</v>
      </c>
    </row>
    <row r="574" spans="2:40" ht="23.15" customHeight="1" thickBot="1">
      <c r="B574" s="87"/>
      <c r="C574" s="2" t="s">
        <v>292</v>
      </c>
      <c r="D574" s="15" t="s">
        <v>17</v>
      </c>
      <c r="E574" s="20" t="s">
        <v>31</v>
      </c>
      <c r="F574" s="20" t="s">
        <v>40</v>
      </c>
      <c r="G574" s="11">
        <v>16</v>
      </c>
      <c r="H574" s="11">
        <v>14</v>
      </c>
      <c r="I574" s="18" t="s">
        <v>294</v>
      </c>
      <c r="J574" s="11" t="s">
        <v>294</v>
      </c>
      <c r="K574" s="19">
        <v>72690.395702477283</v>
      </c>
      <c r="L574" s="41">
        <v>0</v>
      </c>
      <c r="M574" s="43" t="s">
        <v>294</v>
      </c>
      <c r="N574" s="41">
        <v>0</v>
      </c>
      <c r="O574" s="41" t="s">
        <v>294</v>
      </c>
      <c r="P574" s="41">
        <v>0</v>
      </c>
      <c r="Q574" s="43">
        <v>0</v>
      </c>
      <c r="R574" s="43">
        <v>0</v>
      </c>
      <c r="S574" s="43">
        <v>0</v>
      </c>
      <c r="T574" s="43">
        <v>0</v>
      </c>
      <c r="U574" s="19"/>
      <c r="V574" s="13">
        <f t="shared" si="75"/>
        <v>72690.395702477283</v>
      </c>
      <c r="W574" s="13"/>
      <c r="X574" s="13"/>
      <c r="Y574" s="13"/>
      <c r="Z574" s="13"/>
      <c r="AA574" s="22">
        <v>45839</v>
      </c>
      <c r="AB574" s="22" cm="1">
        <f t="array" ref="AB5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74" s="4"/>
      <c r="AD574" s="4"/>
      <c r="AE574" s="2"/>
      <c r="AF574" s="3"/>
      <c r="AG574" s="3"/>
      <c r="AH574" s="3"/>
      <c r="AI574" s="3"/>
      <c r="AJ574" s="2">
        <f t="shared" si="76"/>
        <v>0</v>
      </c>
      <c r="AK574" s="2">
        <f t="shared" si="72"/>
        <v>0</v>
      </c>
      <c r="AL574" s="2">
        <f t="shared" si="74"/>
        <v>0</v>
      </c>
      <c r="AM574" s="88"/>
      <c r="AN574" s="157" t="s">
        <v>774</v>
      </c>
    </row>
    <row r="575" spans="2:40" ht="23.15" customHeight="1" thickBot="1">
      <c r="B575" s="87"/>
      <c r="C575" s="2" t="s">
        <v>292</v>
      </c>
      <c r="D575" s="15" t="s">
        <v>17</v>
      </c>
      <c r="E575" s="20" t="s">
        <v>31</v>
      </c>
      <c r="F575" s="20" t="s">
        <v>40</v>
      </c>
      <c r="G575" s="11">
        <v>16</v>
      </c>
      <c r="H575" s="11">
        <v>14</v>
      </c>
      <c r="I575" s="18" t="s">
        <v>294</v>
      </c>
      <c r="J575" s="43" t="s">
        <v>294</v>
      </c>
      <c r="K575" s="19">
        <v>72690.395702477283</v>
      </c>
      <c r="L575" s="41">
        <v>0</v>
      </c>
      <c r="M575" s="43" t="s">
        <v>294</v>
      </c>
      <c r="N575" s="41">
        <v>0</v>
      </c>
      <c r="O575" s="41" t="s">
        <v>294</v>
      </c>
      <c r="P575" s="41">
        <v>0</v>
      </c>
      <c r="Q575" s="43">
        <v>0</v>
      </c>
      <c r="R575" s="43">
        <v>0</v>
      </c>
      <c r="S575" s="43">
        <v>0</v>
      </c>
      <c r="T575" s="43">
        <v>0</v>
      </c>
      <c r="U575" s="19"/>
      <c r="V575" s="13">
        <f t="shared" si="75"/>
        <v>72690.395702477283</v>
      </c>
      <c r="W575" s="13"/>
      <c r="X575" s="13"/>
      <c r="Y575" s="13"/>
      <c r="Z575" s="13"/>
      <c r="AA575" s="22">
        <v>45809</v>
      </c>
      <c r="AB575" s="22" cm="1">
        <f t="array" ref="AB5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75" s="4"/>
      <c r="AD575" s="4"/>
      <c r="AE575" s="2"/>
      <c r="AF575" s="3"/>
      <c r="AG575" s="3"/>
      <c r="AH575" s="3"/>
      <c r="AI575" s="3"/>
      <c r="AJ575" s="2">
        <f t="shared" si="76"/>
        <v>0</v>
      </c>
      <c r="AK575" s="2">
        <f t="shared" si="72"/>
        <v>0</v>
      </c>
      <c r="AL575" s="2">
        <f t="shared" si="74"/>
        <v>0</v>
      </c>
      <c r="AM575" s="88"/>
      <c r="AN575" s="157" t="s">
        <v>774</v>
      </c>
    </row>
    <row r="576" spans="2:40" ht="23.15" customHeight="1" thickBot="1">
      <c r="B576" s="87">
        <v>45876</v>
      </c>
      <c r="C576" s="2" t="s">
        <v>295</v>
      </c>
      <c r="D576" s="15" t="s">
        <v>17</v>
      </c>
      <c r="E576" s="20" t="s">
        <v>28</v>
      </c>
      <c r="F576" s="20" t="s">
        <v>37</v>
      </c>
      <c r="G576" s="11">
        <v>16</v>
      </c>
      <c r="H576" s="11">
        <v>14</v>
      </c>
      <c r="I576" s="18">
        <v>0</v>
      </c>
      <c r="J576" s="11">
        <v>0</v>
      </c>
      <c r="K576" s="19">
        <v>83756.576174024929</v>
      </c>
      <c r="L576" s="41">
        <v>0</v>
      </c>
      <c r="M576" s="41">
        <v>0</v>
      </c>
      <c r="N576" s="41">
        <v>0</v>
      </c>
      <c r="O576" s="41">
        <v>0</v>
      </c>
      <c r="P576" s="41">
        <v>0</v>
      </c>
      <c r="Q576" s="41">
        <v>0</v>
      </c>
      <c r="R576" s="41">
        <v>0</v>
      </c>
      <c r="S576" s="41">
        <v>0</v>
      </c>
      <c r="T576" s="41">
        <v>0</v>
      </c>
      <c r="U576" s="19"/>
      <c r="V576" s="13">
        <f t="shared" si="75"/>
        <v>83756.576174024929</v>
      </c>
      <c r="W576" s="13"/>
      <c r="X576" s="13"/>
      <c r="Y576" s="13"/>
      <c r="Z576" s="13"/>
      <c r="AA576" s="22">
        <v>45839</v>
      </c>
      <c r="AB576" s="22" cm="1">
        <f t="array" ref="AB5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76" s="4"/>
      <c r="AD576" s="4"/>
      <c r="AE576" s="2"/>
      <c r="AF576" s="3"/>
      <c r="AG576" s="3"/>
      <c r="AH576" s="3"/>
      <c r="AI576" s="3"/>
      <c r="AJ576" s="2">
        <f t="shared" si="76"/>
        <v>0</v>
      </c>
      <c r="AK576" s="2">
        <f t="shared" si="72"/>
        <v>0</v>
      </c>
      <c r="AL576" s="2">
        <f t="shared" si="74"/>
        <v>0</v>
      </c>
      <c r="AM576" s="88"/>
      <c r="AN576" s="157" t="s">
        <v>774</v>
      </c>
    </row>
    <row r="577" spans="2:40" ht="23.15" customHeight="1" thickBot="1">
      <c r="B577" s="87"/>
      <c r="C577" s="2" t="s">
        <v>292</v>
      </c>
      <c r="D577" s="15" t="s">
        <v>17</v>
      </c>
      <c r="E577" s="20" t="s">
        <v>28</v>
      </c>
      <c r="F577" s="20" t="s">
        <v>37</v>
      </c>
      <c r="G577" s="11">
        <v>16</v>
      </c>
      <c r="H577" s="11">
        <v>14</v>
      </c>
      <c r="I577" s="41" t="s">
        <v>294</v>
      </c>
      <c r="J577" s="43" t="s">
        <v>294</v>
      </c>
      <c r="K577" s="19">
        <v>83756.576174024929</v>
      </c>
      <c r="L577" s="41">
        <v>0</v>
      </c>
      <c r="M577" s="41" t="s">
        <v>294</v>
      </c>
      <c r="N577" s="41">
        <v>0</v>
      </c>
      <c r="O577" s="41" t="s">
        <v>294</v>
      </c>
      <c r="P577" s="41">
        <v>0</v>
      </c>
      <c r="Q577" s="41">
        <v>0</v>
      </c>
      <c r="R577" s="41">
        <v>0</v>
      </c>
      <c r="S577" s="41">
        <v>0</v>
      </c>
      <c r="T577" s="41">
        <v>0</v>
      </c>
      <c r="U577" s="19"/>
      <c r="V577" s="13">
        <f t="shared" si="75"/>
        <v>83756.576174024929</v>
      </c>
      <c r="W577" s="13"/>
      <c r="X577" s="13"/>
      <c r="Y577" s="13"/>
      <c r="Z577" s="13"/>
      <c r="AA577" s="22">
        <v>45809</v>
      </c>
      <c r="AB577" s="22" cm="1">
        <f t="array" ref="AB5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77" s="4"/>
      <c r="AD577" s="4"/>
      <c r="AE577" s="2"/>
      <c r="AF577" s="3"/>
      <c r="AG577" s="3"/>
      <c r="AH577" s="3"/>
      <c r="AI577" s="3"/>
      <c r="AJ577" s="2">
        <f t="shared" si="76"/>
        <v>0</v>
      </c>
      <c r="AK577" s="2">
        <f t="shared" si="72"/>
        <v>0</v>
      </c>
      <c r="AL577" s="2">
        <f t="shared" si="74"/>
        <v>0</v>
      </c>
      <c r="AM577" s="88"/>
      <c r="AN577" s="157" t="s">
        <v>774</v>
      </c>
    </row>
    <row r="578" spans="2:40" ht="23.15" customHeight="1" thickBot="1">
      <c r="B578" s="87">
        <v>45889</v>
      </c>
      <c r="C578" s="2" t="s">
        <v>295</v>
      </c>
      <c r="D578" s="15" t="s">
        <v>17</v>
      </c>
      <c r="E578" s="20" t="s">
        <v>25</v>
      </c>
      <c r="F578" s="20" t="s">
        <v>40</v>
      </c>
      <c r="G578" s="11">
        <v>21</v>
      </c>
      <c r="H578" s="11">
        <v>12</v>
      </c>
      <c r="I578" s="18">
        <v>0</v>
      </c>
      <c r="J578" s="11">
        <v>0</v>
      </c>
      <c r="K578" s="19">
        <v>141717.71532566083</v>
      </c>
      <c r="L578" s="41">
        <v>0</v>
      </c>
      <c r="M578" s="41">
        <v>0</v>
      </c>
      <c r="N578" s="41">
        <v>0</v>
      </c>
      <c r="O578" s="41">
        <v>0</v>
      </c>
      <c r="P578" s="41">
        <v>0</v>
      </c>
      <c r="Q578" s="41">
        <v>0</v>
      </c>
      <c r="R578" s="41">
        <v>0</v>
      </c>
      <c r="S578" s="41">
        <v>0</v>
      </c>
      <c r="T578" s="41">
        <v>0</v>
      </c>
      <c r="U578" s="19"/>
      <c r="V578" s="13">
        <f t="shared" si="75"/>
        <v>141717.71532566083</v>
      </c>
      <c r="W578" s="13"/>
      <c r="X578" s="13"/>
      <c r="Y578" s="13"/>
      <c r="Z578" s="13"/>
      <c r="AA578" s="22">
        <v>45839</v>
      </c>
      <c r="AB578" s="22" cm="1">
        <f t="array" ref="AB5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78" s="4"/>
      <c r="AD578" s="4"/>
      <c r="AE578" s="2"/>
      <c r="AF578" s="3"/>
      <c r="AG578" s="3"/>
      <c r="AH578" s="3"/>
      <c r="AI578" s="3"/>
      <c r="AJ578" s="2">
        <f t="shared" si="76"/>
        <v>0</v>
      </c>
      <c r="AK578" s="2">
        <f t="shared" si="72"/>
        <v>0</v>
      </c>
      <c r="AL578" s="2">
        <f t="shared" si="74"/>
        <v>0</v>
      </c>
      <c r="AM578" s="88"/>
      <c r="AN578" s="157" t="s">
        <v>774</v>
      </c>
    </row>
    <row r="579" spans="2:40" ht="23.15" customHeight="1" thickBot="1">
      <c r="B579" s="87"/>
      <c r="C579" s="2" t="s">
        <v>292</v>
      </c>
      <c r="D579" s="15" t="s">
        <v>17</v>
      </c>
      <c r="E579" s="20" t="s">
        <v>28</v>
      </c>
      <c r="F579" s="20" t="s">
        <v>37</v>
      </c>
      <c r="G579" s="11">
        <v>16</v>
      </c>
      <c r="H579" s="11"/>
      <c r="I579" s="18" t="s">
        <v>294</v>
      </c>
      <c r="J579" s="18" t="s">
        <v>294</v>
      </c>
      <c r="K579" s="19">
        <v>88425.988001075166</v>
      </c>
      <c r="L579" s="41"/>
      <c r="M579" s="18" t="s">
        <v>294</v>
      </c>
      <c r="N579" s="41"/>
      <c r="O579" s="41" t="s">
        <v>294</v>
      </c>
      <c r="P579" s="41" t="s">
        <v>301</v>
      </c>
      <c r="Q579" s="41"/>
      <c r="R579" s="41"/>
      <c r="S579" s="41"/>
      <c r="T579" s="41"/>
      <c r="U579" s="19"/>
      <c r="V579" s="13">
        <f t="shared" si="75"/>
        <v>88425.988001075166</v>
      </c>
      <c r="W579" s="13"/>
      <c r="X579" s="13"/>
      <c r="Y579" s="13"/>
      <c r="Z579" s="13"/>
      <c r="AA579" s="22">
        <v>45931</v>
      </c>
      <c r="AB579" s="22" cm="1">
        <f t="array" ref="AB5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79" s="4"/>
      <c r="AD579" s="4"/>
      <c r="AE579" s="2"/>
      <c r="AF579" s="3"/>
      <c r="AG579" s="3"/>
      <c r="AH579" s="3"/>
      <c r="AI579" s="3"/>
      <c r="AJ579" s="2">
        <f t="shared" si="76"/>
        <v>0</v>
      </c>
      <c r="AK579" s="2">
        <f t="shared" ref="AK579:AK642" si="77">AC579-AD579</f>
        <v>0</v>
      </c>
      <c r="AL579" s="2">
        <f t="shared" si="74"/>
        <v>0</v>
      </c>
      <c r="AM579" s="88"/>
      <c r="AN579" s="157" t="s">
        <v>774</v>
      </c>
    </row>
    <row r="580" spans="2:40" ht="23.15" customHeight="1" thickBot="1">
      <c r="B580" s="87">
        <v>45903</v>
      </c>
      <c r="C580" s="2" t="s">
        <v>295</v>
      </c>
      <c r="D580" s="15" t="s">
        <v>17</v>
      </c>
      <c r="E580" s="20" t="s">
        <v>33</v>
      </c>
      <c r="F580" s="20" t="s">
        <v>73</v>
      </c>
      <c r="G580" s="11">
        <v>3</v>
      </c>
      <c r="H580" s="11">
        <v>3</v>
      </c>
      <c r="I580" s="18">
        <v>0</v>
      </c>
      <c r="J580" s="43">
        <v>0</v>
      </c>
      <c r="K580" s="19">
        <v>16800.692672780115</v>
      </c>
      <c r="L580" s="41">
        <v>0</v>
      </c>
      <c r="M580" s="41">
        <v>0</v>
      </c>
      <c r="N580" s="41">
        <v>0</v>
      </c>
      <c r="O580" s="41">
        <v>0</v>
      </c>
      <c r="P580" s="41">
        <v>-42</v>
      </c>
      <c r="Q580" s="41">
        <v>0</v>
      </c>
      <c r="R580" s="41">
        <v>0</v>
      </c>
      <c r="S580" s="41">
        <v>0</v>
      </c>
      <c r="T580" s="41">
        <v>0</v>
      </c>
      <c r="U580" s="19" t="s">
        <v>295</v>
      </c>
      <c r="V580" s="13">
        <f t="shared" si="75"/>
        <v>16758.692672780115</v>
      </c>
      <c r="W580" s="13"/>
      <c r="X580" s="13"/>
      <c r="Y580" s="13"/>
      <c r="Z580" s="13"/>
      <c r="AA580" s="22">
        <v>45870</v>
      </c>
      <c r="AB580" s="22" cm="1">
        <f t="array" ref="AB5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80" s="4"/>
      <c r="AD580" s="4"/>
      <c r="AE580" s="2"/>
      <c r="AF580" s="3"/>
      <c r="AG580" s="3"/>
      <c r="AH580" s="3"/>
      <c r="AI580" s="3"/>
      <c r="AJ580" s="2">
        <f t="shared" si="76"/>
        <v>0</v>
      </c>
      <c r="AK580" s="2">
        <f t="shared" si="77"/>
        <v>0</v>
      </c>
      <c r="AL580" s="2">
        <f t="shared" si="74"/>
        <v>42</v>
      </c>
      <c r="AM580" s="88"/>
      <c r="AN580" s="157" t="s">
        <v>774</v>
      </c>
    </row>
    <row r="581" spans="2:40" ht="23.15" customHeight="1" thickBot="1">
      <c r="B581" s="87">
        <v>45695</v>
      </c>
      <c r="C581" s="2" t="s">
        <v>295</v>
      </c>
      <c r="D581" s="15" t="s">
        <v>17</v>
      </c>
      <c r="E581" s="20" t="s">
        <v>28</v>
      </c>
      <c r="F581" s="20" t="s">
        <v>37</v>
      </c>
      <c r="G581" s="11">
        <v>16</v>
      </c>
      <c r="H581" s="11">
        <v>16</v>
      </c>
      <c r="I581" s="18">
        <v>0</v>
      </c>
      <c r="J581" s="11">
        <v>0</v>
      </c>
      <c r="K581" s="19">
        <v>95591.540818242589</v>
      </c>
      <c r="L581" s="41">
        <v>0</v>
      </c>
      <c r="M581" s="41">
        <v>0</v>
      </c>
      <c r="N581" s="41">
        <v>0</v>
      </c>
      <c r="O581" s="41">
        <v>0</v>
      </c>
      <c r="P581" s="41">
        <v>0</v>
      </c>
      <c r="Q581" s="41">
        <v>0</v>
      </c>
      <c r="R581" s="41">
        <v>0</v>
      </c>
      <c r="S581" s="41">
        <v>0</v>
      </c>
      <c r="T581" s="41">
        <v>0</v>
      </c>
      <c r="U581" s="19" t="s">
        <v>295</v>
      </c>
      <c r="V581" s="13">
        <f t="shared" si="75"/>
        <v>95591.540818242589</v>
      </c>
      <c r="W581" s="13"/>
      <c r="X581" s="13"/>
      <c r="Y581" s="13"/>
      <c r="Z581" s="13"/>
      <c r="AA581" s="22">
        <v>45658</v>
      </c>
      <c r="AB581" s="22" cm="1">
        <f t="array" ref="AB5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81" s="4"/>
      <c r="AD581" s="4"/>
      <c r="AE581" s="2"/>
      <c r="AF581" s="3"/>
      <c r="AG581" s="3"/>
      <c r="AH581" s="3"/>
      <c r="AI581" s="3"/>
      <c r="AJ581" s="2">
        <f t="shared" si="76"/>
        <v>0</v>
      </c>
      <c r="AK581" s="2">
        <f t="shared" si="77"/>
        <v>0</v>
      </c>
      <c r="AL581" s="2">
        <f t="shared" si="74"/>
        <v>0</v>
      </c>
      <c r="AM581" s="88"/>
      <c r="AN581" s="157" t="s">
        <v>774</v>
      </c>
    </row>
    <row r="582" spans="2:40" ht="23.15" customHeight="1" thickBot="1">
      <c r="B582" s="87">
        <v>45727</v>
      </c>
      <c r="C582" s="2" t="s">
        <v>295</v>
      </c>
      <c r="D582" s="15" t="s">
        <v>17</v>
      </c>
      <c r="E582" s="20" t="s">
        <v>28</v>
      </c>
      <c r="F582" s="20" t="s">
        <v>37</v>
      </c>
      <c r="G582" s="11">
        <v>16</v>
      </c>
      <c r="H582" s="11">
        <v>16</v>
      </c>
      <c r="I582" s="18">
        <v>0</v>
      </c>
      <c r="J582" s="11">
        <v>0</v>
      </c>
      <c r="K582" s="19">
        <v>95591.540818242589</v>
      </c>
      <c r="L582" s="41">
        <v>0</v>
      </c>
      <c r="M582" s="41">
        <v>0</v>
      </c>
      <c r="N582" s="41">
        <v>0</v>
      </c>
      <c r="O582" s="41">
        <v>0</v>
      </c>
      <c r="P582" s="41">
        <v>0</v>
      </c>
      <c r="Q582" s="41">
        <v>0</v>
      </c>
      <c r="R582" s="41">
        <v>0</v>
      </c>
      <c r="S582" s="41">
        <v>0</v>
      </c>
      <c r="T582" s="41">
        <v>0</v>
      </c>
      <c r="U582" s="19" t="s">
        <v>295</v>
      </c>
      <c r="V582" s="13">
        <f t="shared" si="75"/>
        <v>95591.540818242589</v>
      </c>
      <c r="W582" s="13"/>
      <c r="X582" s="13"/>
      <c r="Y582" s="13"/>
      <c r="Z582" s="13"/>
      <c r="AA582" s="22">
        <v>45689</v>
      </c>
      <c r="AB582" s="22" cm="1">
        <f t="array" ref="AB5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82" s="4"/>
      <c r="AD582" s="4"/>
      <c r="AE582" s="2"/>
      <c r="AF582" s="3"/>
      <c r="AG582" s="3"/>
      <c r="AH582" s="3"/>
      <c r="AI582" s="3"/>
      <c r="AJ582" s="2">
        <f t="shared" si="76"/>
        <v>0</v>
      </c>
      <c r="AK582" s="2">
        <f t="shared" si="77"/>
        <v>0</v>
      </c>
      <c r="AL582" s="2">
        <f t="shared" si="74"/>
        <v>0</v>
      </c>
      <c r="AM582" s="88"/>
      <c r="AN582" s="157" t="s">
        <v>774</v>
      </c>
    </row>
    <row r="583" spans="2:40" ht="23.15" customHeight="1" thickBot="1">
      <c r="B583" s="87"/>
      <c r="C583" s="2" t="s">
        <v>292</v>
      </c>
      <c r="D583" s="15" t="s">
        <v>17</v>
      </c>
      <c r="E583" s="20" t="s">
        <v>28</v>
      </c>
      <c r="F583" s="20" t="s">
        <v>37</v>
      </c>
      <c r="G583" s="11">
        <v>16</v>
      </c>
      <c r="H583" s="11">
        <v>16</v>
      </c>
      <c r="I583" s="18" t="s">
        <v>294</v>
      </c>
      <c r="J583" s="18" t="s">
        <v>294</v>
      </c>
      <c r="K583" s="19">
        <v>95591.540818242589</v>
      </c>
      <c r="L583" s="41">
        <v>0</v>
      </c>
      <c r="M583" s="41" t="s">
        <v>294</v>
      </c>
      <c r="N583" s="41">
        <v>0</v>
      </c>
      <c r="O583" s="41" t="s">
        <v>294</v>
      </c>
      <c r="P583" s="41">
        <v>0</v>
      </c>
      <c r="Q583" s="41">
        <v>0</v>
      </c>
      <c r="R583" s="41">
        <v>0</v>
      </c>
      <c r="S583" s="41">
        <v>0</v>
      </c>
      <c r="T583" s="41">
        <v>0</v>
      </c>
      <c r="U583" s="19" t="s">
        <v>292</v>
      </c>
      <c r="V583" s="13">
        <f t="shared" si="75"/>
        <v>95591.540818242589</v>
      </c>
      <c r="W583" s="13"/>
      <c r="X583" s="13"/>
      <c r="Y583" s="13"/>
      <c r="Z583" s="13"/>
      <c r="AA583" s="22">
        <v>45717</v>
      </c>
      <c r="AB583" s="22" cm="1">
        <f t="array" ref="AB5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83" s="4"/>
      <c r="AD583" s="4"/>
      <c r="AE583" s="2"/>
      <c r="AF583" s="3"/>
      <c r="AG583" s="3"/>
      <c r="AH583" s="3"/>
      <c r="AI583" s="3"/>
      <c r="AJ583" s="2">
        <f t="shared" si="76"/>
        <v>0</v>
      </c>
      <c r="AK583" s="2">
        <f t="shared" si="77"/>
        <v>0</v>
      </c>
      <c r="AL583" s="2">
        <f t="shared" si="74"/>
        <v>0</v>
      </c>
      <c r="AM583" s="88"/>
      <c r="AN583" s="157" t="s">
        <v>774</v>
      </c>
    </row>
    <row r="584" spans="2:40" ht="23.15" customHeight="1" thickBot="1">
      <c r="B584" s="87">
        <v>45784</v>
      </c>
      <c r="C584" s="2" t="s">
        <v>295</v>
      </c>
      <c r="D584" s="15" t="s">
        <v>17</v>
      </c>
      <c r="E584" s="20" t="s">
        <v>28</v>
      </c>
      <c r="F584" s="20" t="s">
        <v>37</v>
      </c>
      <c r="G584" s="11">
        <v>16</v>
      </c>
      <c r="H584" s="11">
        <v>16</v>
      </c>
      <c r="I584" s="18">
        <v>0</v>
      </c>
      <c r="J584" s="11">
        <v>0</v>
      </c>
      <c r="K584" s="19">
        <v>95591.540818242589</v>
      </c>
      <c r="L584" s="41">
        <v>0</v>
      </c>
      <c r="M584" s="41">
        <v>0</v>
      </c>
      <c r="N584" s="41">
        <v>0</v>
      </c>
      <c r="O584" s="41">
        <v>0</v>
      </c>
      <c r="P584" s="41">
        <v>0</v>
      </c>
      <c r="Q584" s="43">
        <v>0</v>
      </c>
      <c r="R584" s="43">
        <v>0</v>
      </c>
      <c r="S584" s="43">
        <v>0</v>
      </c>
      <c r="T584" s="43">
        <v>0</v>
      </c>
      <c r="U584" s="19" t="s">
        <v>295</v>
      </c>
      <c r="V584" s="13">
        <f t="shared" si="75"/>
        <v>95591.540818242589</v>
      </c>
      <c r="W584" s="13"/>
      <c r="X584" s="13"/>
      <c r="Y584" s="13"/>
      <c r="Z584" s="13"/>
      <c r="AA584" s="22">
        <v>45748</v>
      </c>
      <c r="AB584" s="22" cm="1">
        <f t="array" ref="AB5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84" s="4"/>
      <c r="AD584" s="4"/>
      <c r="AE584" s="2"/>
      <c r="AF584" s="3"/>
      <c r="AG584" s="3"/>
      <c r="AH584" s="3"/>
      <c r="AI584" s="3"/>
      <c r="AJ584" s="2">
        <f t="shared" si="76"/>
        <v>0</v>
      </c>
      <c r="AK584" s="2">
        <f t="shared" si="77"/>
        <v>0</v>
      </c>
      <c r="AL584" s="2">
        <f t="shared" si="74"/>
        <v>0</v>
      </c>
      <c r="AM584" s="88"/>
      <c r="AN584" s="157" t="s">
        <v>774</v>
      </c>
    </row>
    <row r="585" spans="2:40" ht="23.15" customHeight="1" thickBot="1">
      <c r="B585" s="87">
        <v>45814</v>
      </c>
      <c r="C585" s="2" t="s">
        <v>295</v>
      </c>
      <c r="D585" s="15" t="s">
        <v>17</v>
      </c>
      <c r="E585" s="20" t="s">
        <v>28</v>
      </c>
      <c r="F585" s="20" t="s">
        <v>37</v>
      </c>
      <c r="G585" s="11">
        <v>16</v>
      </c>
      <c r="H585" s="11">
        <v>16</v>
      </c>
      <c r="I585" s="18">
        <v>0</v>
      </c>
      <c r="J585" s="11">
        <v>0</v>
      </c>
      <c r="K585" s="19">
        <v>95591.540818242589</v>
      </c>
      <c r="L585" s="41">
        <v>0</v>
      </c>
      <c r="M585" s="41">
        <v>0</v>
      </c>
      <c r="N585" s="41">
        <v>0</v>
      </c>
      <c r="O585" s="41">
        <v>0</v>
      </c>
      <c r="P585" s="41">
        <v>0</v>
      </c>
      <c r="Q585" s="43">
        <v>0</v>
      </c>
      <c r="R585" s="43">
        <v>0</v>
      </c>
      <c r="S585" s="43">
        <v>0</v>
      </c>
      <c r="T585" s="43">
        <v>0</v>
      </c>
      <c r="U585" s="19" t="s">
        <v>295</v>
      </c>
      <c r="V585" s="13">
        <f t="shared" si="75"/>
        <v>95591.540818242589</v>
      </c>
      <c r="W585" s="13"/>
      <c r="X585" s="13"/>
      <c r="Y585" s="13"/>
      <c r="Z585" s="13"/>
      <c r="AA585" s="22">
        <v>45778</v>
      </c>
      <c r="AB585" s="22" cm="1">
        <f t="array" ref="AB5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85" s="4"/>
      <c r="AD585" s="4"/>
      <c r="AE585" s="2"/>
      <c r="AF585" s="3"/>
      <c r="AG585" s="3"/>
      <c r="AH585" s="3"/>
      <c r="AI585" s="3"/>
      <c r="AJ585" s="2">
        <f t="shared" si="76"/>
        <v>0</v>
      </c>
      <c r="AK585" s="2">
        <f t="shared" si="77"/>
        <v>0</v>
      </c>
      <c r="AL585" s="2">
        <f t="shared" si="74"/>
        <v>0</v>
      </c>
      <c r="AM585" s="88"/>
      <c r="AN585" s="157" t="s">
        <v>774</v>
      </c>
    </row>
    <row r="586" spans="2:40" ht="23.15" customHeight="1" thickBot="1">
      <c r="B586" s="87">
        <v>45727</v>
      </c>
      <c r="C586" s="2" t="s">
        <v>295</v>
      </c>
      <c r="D586" s="15" t="s">
        <v>17</v>
      </c>
      <c r="E586" s="20" t="s">
        <v>25</v>
      </c>
      <c r="F586" s="20" t="s">
        <v>40</v>
      </c>
      <c r="G586" s="11">
        <v>21</v>
      </c>
      <c r="H586" s="11">
        <v>12</v>
      </c>
      <c r="I586" s="18">
        <v>0</v>
      </c>
      <c r="J586" s="11">
        <v>0</v>
      </c>
      <c r="K586" s="19">
        <v>105712.49</v>
      </c>
      <c r="L586" s="41">
        <v>0</v>
      </c>
      <c r="M586" s="41">
        <v>0</v>
      </c>
      <c r="N586" s="41">
        <v>0</v>
      </c>
      <c r="O586" s="41">
        <v>0</v>
      </c>
      <c r="P586" s="41">
        <v>0</v>
      </c>
      <c r="Q586" s="43">
        <v>0</v>
      </c>
      <c r="R586" s="43">
        <v>0</v>
      </c>
      <c r="S586" s="43">
        <v>0</v>
      </c>
      <c r="T586" s="43">
        <v>0</v>
      </c>
      <c r="U586" s="19" t="s">
        <v>295</v>
      </c>
      <c r="V586" s="13">
        <f t="shared" si="75"/>
        <v>105712.49</v>
      </c>
      <c r="W586" s="13"/>
      <c r="X586" s="13"/>
      <c r="Y586" s="13"/>
      <c r="Z586" s="13"/>
      <c r="AA586" s="22">
        <v>45658</v>
      </c>
      <c r="AB586" s="22" cm="1">
        <f t="array" ref="AB5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86" s="4"/>
      <c r="AD586" s="4"/>
      <c r="AE586" s="2"/>
      <c r="AF586" s="3"/>
      <c r="AG586" s="3"/>
      <c r="AH586" s="3"/>
      <c r="AI586" s="3"/>
      <c r="AJ586" s="2">
        <f t="shared" si="76"/>
        <v>0</v>
      </c>
      <c r="AK586" s="2">
        <f t="shared" si="77"/>
        <v>0</v>
      </c>
      <c r="AL586" s="2">
        <f t="shared" si="74"/>
        <v>0</v>
      </c>
      <c r="AM586" s="88"/>
      <c r="AN586" s="157" t="s">
        <v>774</v>
      </c>
    </row>
    <row r="587" spans="2:40" ht="23.15" customHeight="1" thickBot="1">
      <c r="B587" s="87"/>
      <c r="C587" s="2" t="s">
        <v>295</v>
      </c>
      <c r="D587" s="15" t="s">
        <v>17</v>
      </c>
      <c r="E587" s="20" t="s">
        <v>25</v>
      </c>
      <c r="F587" s="20" t="s">
        <v>40</v>
      </c>
      <c r="G587" s="11">
        <v>21</v>
      </c>
      <c r="H587" s="11">
        <v>12</v>
      </c>
      <c r="I587" s="18">
        <v>0</v>
      </c>
      <c r="J587" s="18">
        <v>0</v>
      </c>
      <c r="K587" s="19">
        <v>105713.49</v>
      </c>
      <c r="L587" s="41">
        <v>0</v>
      </c>
      <c r="M587" s="41">
        <v>0</v>
      </c>
      <c r="N587" s="41">
        <v>0</v>
      </c>
      <c r="O587" s="41">
        <v>0</v>
      </c>
      <c r="P587" s="41">
        <v>-1057.1199999999999</v>
      </c>
      <c r="Q587" s="43">
        <v>0</v>
      </c>
      <c r="R587" s="43">
        <v>0</v>
      </c>
      <c r="S587" s="43">
        <v>0</v>
      </c>
      <c r="T587" s="43">
        <v>0</v>
      </c>
      <c r="U587" s="19" t="s">
        <v>292</v>
      </c>
      <c r="V587" s="13">
        <f t="shared" si="75"/>
        <v>105713.49</v>
      </c>
      <c r="W587" s="13"/>
      <c r="X587" s="13"/>
      <c r="Y587" s="13"/>
      <c r="Z587" s="13"/>
      <c r="AA587" s="22">
        <v>45689</v>
      </c>
      <c r="AB587" s="22" cm="1">
        <f t="array" ref="AB5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87" s="4"/>
      <c r="AD587" s="4"/>
      <c r="AE587" s="2"/>
      <c r="AF587" s="3"/>
      <c r="AG587" s="3"/>
      <c r="AH587" s="3"/>
      <c r="AI587" s="3"/>
      <c r="AJ587" s="2">
        <f t="shared" si="76"/>
        <v>0</v>
      </c>
      <c r="AK587" s="2">
        <f t="shared" si="77"/>
        <v>0</v>
      </c>
      <c r="AL587" s="2">
        <f t="shared" si="74"/>
        <v>0</v>
      </c>
      <c r="AM587" s="88"/>
      <c r="AN587" s="157" t="s">
        <v>774</v>
      </c>
    </row>
    <row r="588" spans="2:40" ht="23.15" customHeight="1" thickBot="1">
      <c r="B588" s="87">
        <v>45754</v>
      </c>
      <c r="C588" s="2" t="s">
        <v>295</v>
      </c>
      <c r="D588" s="15" t="s">
        <v>17</v>
      </c>
      <c r="E588" s="20" t="s">
        <v>25</v>
      </c>
      <c r="F588" s="20" t="s">
        <v>40</v>
      </c>
      <c r="G588" s="11">
        <v>21</v>
      </c>
      <c r="H588" s="11">
        <v>12</v>
      </c>
      <c r="I588" s="18">
        <v>0</v>
      </c>
      <c r="J588" s="11">
        <v>0</v>
      </c>
      <c r="K588" s="19">
        <v>105713.49</v>
      </c>
      <c r="L588" s="41">
        <v>0</v>
      </c>
      <c r="M588" s="41">
        <v>0</v>
      </c>
      <c r="N588" s="41">
        <v>0</v>
      </c>
      <c r="O588" s="41">
        <v>0</v>
      </c>
      <c r="P588" s="41">
        <v>0</v>
      </c>
      <c r="Q588" s="43">
        <v>-1057.1199999999999</v>
      </c>
      <c r="R588" s="41">
        <v>0</v>
      </c>
      <c r="S588" s="43">
        <v>0</v>
      </c>
      <c r="T588" s="43">
        <v>0</v>
      </c>
      <c r="U588" s="19" t="s">
        <v>292</v>
      </c>
      <c r="V588" s="13">
        <f t="shared" si="75"/>
        <v>105713.49</v>
      </c>
      <c r="W588" s="13"/>
      <c r="X588" s="13"/>
      <c r="Y588" s="13"/>
      <c r="Z588" s="13"/>
      <c r="AA588" s="22">
        <v>45717</v>
      </c>
      <c r="AB588" s="22" cm="1">
        <f t="array" ref="AB5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88" s="4"/>
      <c r="AD588" s="4"/>
      <c r="AE588" s="2"/>
      <c r="AF588" s="3"/>
      <c r="AG588" s="3"/>
      <c r="AH588" s="3"/>
      <c r="AI588" s="3"/>
      <c r="AJ588" s="2">
        <f t="shared" si="76"/>
        <v>0</v>
      </c>
      <c r="AK588" s="2">
        <f t="shared" si="77"/>
        <v>0</v>
      </c>
      <c r="AL588" s="2">
        <f t="shared" si="74"/>
        <v>0</v>
      </c>
      <c r="AM588" s="88"/>
      <c r="AN588" s="157" t="s">
        <v>774</v>
      </c>
    </row>
    <row r="589" spans="2:40" ht="23.15" customHeight="1" thickBot="1">
      <c r="B589" s="87">
        <v>45781</v>
      </c>
      <c r="C589" s="2" t="s">
        <v>295</v>
      </c>
      <c r="D589" s="15" t="s">
        <v>17</v>
      </c>
      <c r="E589" s="20" t="s">
        <v>25</v>
      </c>
      <c r="F589" s="20" t="s">
        <v>40</v>
      </c>
      <c r="G589" s="11">
        <v>21</v>
      </c>
      <c r="H589" s="11">
        <v>12</v>
      </c>
      <c r="I589" s="18">
        <v>0</v>
      </c>
      <c r="J589" s="11">
        <v>0</v>
      </c>
      <c r="K589" s="19">
        <v>105713.49</v>
      </c>
      <c r="L589" s="41">
        <v>0</v>
      </c>
      <c r="M589" s="41">
        <v>0</v>
      </c>
      <c r="N589" s="41">
        <v>0</v>
      </c>
      <c r="O589" s="41">
        <v>0</v>
      </c>
      <c r="P589" s="41">
        <v>0</v>
      </c>
      <c r="Q589" s="43">
        <v>0</v>
      </c>
      <c r="R589" s="41">
        <v>0</v>
      </c>
      <c r="S589" s="43">
        <v>0</v>
      </c>
      <c r="T589" s="43">
        <v>0</v>
      </c>
      <c r="U589" s="19" t="s">
        <v>295</v>
      </c>
      <c r="V589" s="13">
        <f t="shared" si="75"/>
        <v>105713.49</v>
      </c>
      <c r="W589" s="13"/>
      <c r="X589" s="13"/>
      <c r="Y589" s="13"/>
      <c r="Z589" s="13"/>
      <c r="AA589" s="22">
        <v>45748</v>
      </c>
      <c r="AB589" s="22" cm="1">
        <f t="array" ref="AB5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89" s="4"/>
      <c r="AD589" s="4"/>
      <c r="AE589" s="2"/>
      <c r="AF589" s="3"/>
      <c r="AG589" s="3"/>
      <c r="AH589" s="3"/>
      <c r="AI589" s="3"/>
      <c r="AJ589" s="2">
        <f t="shared" si="76"/>
        <v>0</v>
      </c>
      <c r="AK589" s="2">
        <f t="shared" si="77"/>
        <v>0</v>
      </c>
      <c r="AL589" s="2">
        <f t="shared" si="74"/>
        <v>0</v>
      </c>
      <c r="AM589" s="88"/>
      <c r="AN589" s="157" t="s">
        <v>774</v>
      </c>
    </row>
    <row r="590" spans="2:40" ht="23.15" customHeight="1" thickBot="1">
      <c r="B590" s="87">
        <v>45811</v>
      </c>
      <c r="C590" s="2" t="s">
        <v>295</v>
      </c>
      <c r="D590" s="15" t="s">
        <v>17</v>
      </c>
      <c r="E590" s="20" t="s">
        <v>25</v>
      </c>
      <c r="F590" s="20" t="s">
        <v>40</v>
      </c>
      <c r="G590" s="11">
        <v>21</v>
      </c>
      <c r="H590" s="11">
        <v>12</v>
      </c>
      <c r="I590" s="18">
        <v>0</v>
      </c>
      <c r="J590" s="11">
        <v>0</v>
      </c>
      <c r="K590" s="19">
        <v>105713.49</v>
      </c>
      <c r="L590" s="41">
        <v>0</v>
      </c>
      <c r="M590" s="41">
        <v>0</v>
      </c>
      <c r="N590" s="41">
        <v>0</v>
      </c>
      <c r="O590" s="41">
        <v>0</v>
      </c>
      <c r="P590" s="41">
        <v>0</v>
      </c>
      <c r="Q590" s="43">
        <v>0</v>
      </c>
      <c r="R590" s="41">
        <v>0</v>
      </c>
      <c r="S590" s="43">
        <v>0</v>
      </c>
      <c r="T590" s="43">
        <v>0</v>
      </c>
      <c r="U590" s="19" t="s">
        <v>292</v>
      </c>
      <c r="V590" s="13">
        <f t="shared" si="75"/>
        <v>105713.49</v>
      </c>
      <c r="W590" s="13"/>
      <c r="X590" s="13"/>
      <c r="Y590" s="13"/>
      <c r="Z590" s="13"/>
      <c r="AA590" s="22">
        <v>45778</v>
      </c>
      <c r="AB590" s="22" cm="1">
        <f t="array" ref="AB5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90" s="4"/>
      <c r="AD590" s="4"/>
      <c r="AE590" s="2"/>
      <c r="AF590" s="3"/>
      <c r="AG590" s="3"/>
      <c r="AH590" s="3"/>
      <c r="AI590" s="3"/>
      <c r="AJ590" s="2">
        <f t="shared" si="76"/>
        <v>0</v>
      </c>
      <c r="AK590" s="2">
        <f t="shared" si="77"/>
        <v>0</v>
      </c>
      <c r="AL590" s="2">
        <f t="shared" si="74"/>
        <v>0</v>
      </c>
      <c r="AM590" s="88"/>
      <c r="AN590" s="157" t="s">
        <v>774</v>
      </c>
    </row>
    <row r="591" spans="2:40" ht="23.15" customHeight="1" thickBot="1">
      <c r="B591" s="87">
        <v>45839</v>
      </c>
      <c r="C591" s="2" t="s">
        <v>295</v>
      </c>
      <c r="D591" s="15" t="s">
        <v>17</v>
      </c>
      <c r="E591" s="20" t="s">
        <v>25</v>
      </c>
      <c r="F591" s="20" t="s">
        <v>40</v>
      </c>
      <c r="G591" s="11">
        <v>21</v>
      </c>
      <c r="H591" s="11">
        <v>12</v>
      </c>
      <c r="I591" s="18">
        <v>0</v>
      </c>
      <c r="J591" s="18">
        <v>0</v>
      </c>
      <c r="K591" s="19">
        <v>110501.97</v>
      </c>
      <c r="L591" s="41">
        <v>0</v>
      </c>
      <c r="M591" s="41">
        <v>0</v>
      </c>
      <c r="N591" s="41">
        <v>0</v>
      </c>
      <c r="O591" s="41">
        <v>0</v>
      </c>
      <c r="P591" s="43">
        <v>0</v>
      </c>
      <c r="Q591" s="43">
        <v>0</v>
      </c>
      <c r="R591" s="41">
        <v>0</v>
      </c>
      <c r="S591" s="43">
        <v>0</v>
      </c>
      <c r="T591" s="43">
        <v>0</v>
      </c>
      <c r="U591" s="19" t="s">
        <v>292</v>
      </c>
      <c r="V591" s="13">
        <f t="shared" si="75"/>
        <v>110501.97</v>
      </c>
      <c r="W591" s="13"/>
      <c r="X591" s="13"/>
      <c r="Y591" s="13"/>
      <c r="Z591" s="13"/>
      <c r="AA591" s="22">
        <v>45809</v>
      </c>
      <c r="AB591" s="22" cm="1">
        <f t="array" ref="AB5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91" s="4"/>
      <c r="AD591" s="4"/>
      <c r="AE591" s="2"/>
      <c r="AF591" s="3"/>
      <c r="AG591" s="3"/>
      <c r="AH591" s="3"/>
      <c r="AI591" s="3"/>
      <c r="AJ591" s="2">
        <f t="shared" si="76"/>
        <v>0</v>
      </c>
      <c r="AK591" s="2">
        <f t="shared" si="77"/>
        <v>0</v>
      </c>
      <c r="AL591" s="2">
        <f t="shared" si="74"/>
        <v>0</v>
      </c>
      <c r="AM591" s="88"/>
      <c r="AN591" s="157" t="s">
        <v>774</v>
      </c>
    </row>
    <row r="592" spans="2:40" ht="23.15" customHeight="1" thickBot="1">
      <c r="B592" s="87">
        <v>45811</v>
      </c>
      <c r="C592" s="2" t="s">
        <v>295</v>
      </c>
      <c r="D592" s="15" t="s">
        <v>17</v>
      </c>
      <c r="E592" s="20" t="s">
        <v>30</v>
      </c>
      <c r="F592" s="20" t="s">
        <v>68</v>
      </c>
      <c r="G592" s="11">
        <v>29</v>
      </c>
      <c r="H592" s="11">
        <v>29</v>
      </c>
      <c r="I592" s="18">
        <v>0</v>
      </c>
      <c r="J592" s="11">
        <v>0</v>
      </c>
      <c r="K592" s="19">
        <f>146258.210294818/30.4375*24.4375</f>
        <v>117427.02304984363</v>
      </c>
      <c r="L592" s="41">
        <v>0</v>
      </c>
      <c r="M592" s="41">
        <v>0</v>
      </c>
      <c r="N592" s="41">
        <v>0</v>
      </c>
      <c r="O592" s="41">
        <v>0</v>
      </c>
      <c r="P592" s="41">
        <v>-243.76</v>
      </c>
      <c r="Q592" s="43">
        <v>0</v>
      </c>
      <c r="R592" s="41">
        <v>0</v>
      </c>
      <c r="S592" s="43">
        <v>0</v>
      </c>
      <c r="T592" s="43">
        <v>0</v>
      </c>
      <c r="U592" s="19" t="s">
        <v>292</v>
      </c>
      <c r="V592" s="13">
        <f t="shared" si="75"/>
        <v>117427.02304984363</v>
      </c>
      <c r="W592" s="13"/>
      <c r="X592" s="13"/>
      <c r="Y592" s="13"/>
      <c r="Z592" s="13"/>
      <c r="AA592" s="22">
        <v>45778</v>
      </c>
      <c r="AB592" s="22" cm="1">
        <f t="array" ref="AB5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92" s="4">
        <v>2050.04</v>
      </c>
      <c r="AD592" s="4">
        <v>1092.3800000000001</v>
      </c>
      <c r="AE592" s="2"/>
      <c r="AF592" s="3"/>
      <c r="AG592" s="3"/>
      <c r="AH592" s="3"/>
      <c r="AI592" s="3"/>
      <c r="AJ592" s="2">
        <f t="shared" si="76"/>
        <v>0</v>
      </c>
      <c r="AK592" s="2">
        <f t="shared" si="77"/>
        <v>957.65999999999985</v>
      </c>
      <c r="AL592" s="2">
        <f t="shared" si="74"/>
        <v>0</v>
      </c>
      <c r="AM592" s="88"/>
      <c r="AN592" s="157" t="s">
        <v>774</v>
      </c>
    </row>
    <row r="593" spans="2:40" ht="23.15" customHeight="1" thickBot="1">
      <c r="B593" s="87">
        <v>45754</v>
      </c>
      <c r="C593" s="2" t="s">
        <v>295</v>
      </c>
      <c r="D593" s="15" t="s">
        <v>17</v>
      </c>
      <c r="E593" s="20" t="s">
        <v>30</v>
      </c>
      <c r="F593" s="20" t="s">
        <v>73</v>
      </c>
      <c r="G593" s="11">
        <v>29</v>
      </c>
      <c r="H593" s="11">
        <v>29</v>
      </c>
      <c r="I593" s="18">
        <v>13</v>
      </c>
      <c r="J593" s="11">
        <v>0</v>
      </c>
      <c r="K593" s="19">
        <v>139314.10015761</v>
      </c>
      <c r="L593" s="41">
        <v>0</v>
      </c>
      <c r="M593" s="41">
        <v>-1755.49</v>
      </c>
      <c r="N593" s="41">
        <v>0</v>
      </c>
      <c r="O593" s="41">
        <v>0</v>
      </c>
      <c r="P593" s="41">
        <v>-2902.38</v>
      </c>
      <c r="Q593" s="43">
        <v>0</v>
      </c>
      <c r="R593" s="41">
        <v>0</v>
      </c>
      <c r="S593" s="43">
        <v>0</v>
      </c>
      <c r="T593" s="43">
        <v>-7536.94200000001</v>
      </c>
      <c r="U593" s="19" t="s">
        <v>295</v>
      </c>
      <c r="V593" s="13">
        <f t="shared" si="75"/>
        <v>127119.28815760999</v>
      </c>
      <c r="W593" s="13"/>
      <c r="X593" s="13"/>
      <c r="Y593" s="13"/>
      <c r="Z593" s="13"/>
      <c r="AA593" s="22">
        <v>45717</v>
      </c>
      <c r="AB593" s="22" cm="1">
        <f t="array" ref="AB5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93" s="4"/>
      <c r="AD593" s="4"/>
      <c r="AE593" s="2"/>
      <c r="AF593" s="3"/>
      <c r="AG593" s="3"/>
      <c r="AH593" s="3"/>
      <c r="AI593" s="3"/>
      <c r="AJ593" s="2">
        <f t="shared" si="76"/>
        <v>1755.49</v>
      </c>
      <c r="AK593" s="2">
        <f t="shared" si="77"/>
        <v>0</v>
      </c>
      <c r="AL593" s="2">
        <f t="shared" si="74"/>
        <v>12194.812000000005</v>
      </c>
      <c r="AM593" s="88"/>
      <c r="AN593" s="157" t="s">
        <v>774</v>
      </c>
    </row>
    <row r="594" spans="2:40" ht="23.15" customHeight="1" thickBot="1">
      <c r="B594" s="87"/>
      <c r="C594" s="2" t="s">
        <v>295</v>
      </c>
      <c r="D594" s="15" t="s">
        <v>17</v>
      </c>
      <c r="E594" s="20" t="s">
        <v>30</v>
      </c>
      <c r="F594" s="20" t="s">
        <v>73</v>
      </c>
      <c r="G594" s="11">
        <v>29</v>
      </c>
      <c r="H594" s="11">
        <v>29</v>
      </c>
      <c r="I594" s="18">
        <v>4</v>
      </c>
      <c r="J594" s="11">
        <v>19.149999999999999</v>
      </c>
      <c r="K594" s="19">
        <v>139314.10015761</v>
      </c>
      <c r="L594" s="41">
        <v>0</v>
      </c>
      <c r="M594" s="41">
        <v>-546.23</v>
      </c>
      <c r="N594" s="41">
        <v>0</v>
      </c>
      <c r="O594" s="41">
        <v>-356.31</v>
      </c>
      <c r="P594" s="41">
        <v>-2205.81</v>
      </c>
      <c r="Q594" s="43">
        <v>0</v>
      </c>
      <c r="R594" s="41">
        <v>0</v>
      </c>
      <c r="S594" s="43">
        <v>0</v>
      </c>
      <c r="T594" s="43">
        <v>0</v>
      </c>
      <c r="U594" s="19" t="s">
        <v>295</v>
      </c>
      <c r="V594" s="13">
        <f t="shared" si="75"/>
        <v>136205.75015760999</v>
      </c>
      <c r="W594" s="13"/>
      <c r="X594" s="13"/>
      <c r="Y594" s="13"/>
      <c r="Z594" s="13"/>
      <c r="AA594" s="22">
        <v>45689</v>
      </c>
      <c r="AB594" s="22" cm="1">
        <f t="array" ref="AB5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94" s="4"/>
      <c r="AD594" s="4"/>
      <c r="AE594" s="2"/>
      <c r="AF594" s="3"/>
      <c r="AG594" s="3"/>
      <c r="AH594" s="3"/>
      <c r="AI594" s="3"/>
      <c r="AJ594" s="2">
        <f t="shared" si="76"/>
        <v>546.23</v>
      </c>
      <c r="AK594" s="2">
        <f t="shared" si="77"/>
        <v>0</v>
      </c>
      <c r="AL594" s="2">
        <f t="shared" si="74"/>
        <v>3108.3500000000058</v>
      </c>
      <c r="AM594" s="88"/>
      <c r="AN594" s="157" t="s">
        <v>774</v>
      </c>
    </row>
    <row r="595" spans="2:40" ht="23.15" customHeight="1" thickBot="1">
      <c r="B595" s="87">
        <v>45884</v>
      </c>
      <c r="C595" s="2" t="s">
        <v>295</v>
      </c>
      <c r="D595" s="15" t="s">
        <v>17</v>
      </c>
      <c r="E595" s="20" t="s">
        <v>30</v>
      </c>
      <c r="F595" s="20" t="s">
        <v>68</v>
      </c>
      <c r="G595" s="11">
        <v>29</v>
      </c>
      <c r="H595" s="11">
        <v>29</v>
      </c>
      <c r="I595" s="18">
        <v>9</v>
      </c>
      <c r="J595" s="11">
        <v>9.33</v>
      </c>
      <c r="K595" s="19">
        <v>145531.56</v>
      </c>
      <c r="L595" s="41">
        <v>0</v>
      </c>
      <c r="M595" s="41">
        <v>-1328.3</v>
      </c>
      <c r="N595" s="41">
        <v>0</v>
      </c>
      <c r="O595" s="41">
        <v>-170.37</v>
      </c>
      <c r="P595" s="41">
        <v>-1706.35</v>
      </c>
      <c r="Q595" s="43">
        <v>0</v>
      </c>
      <c r="R595" s="41">
        <v>0</v>
      </c>
      <c r="S595" s="43">
        <v>0</v>
      </c>
      <c r="T595" s="43">
        <v>-726.65029481801321</v>
      </c>
      <c r="U595" s="19" t="s">
        <v>295</v>
      </c>
      <c r="V595" s="13">
        <f t="shared" si="75"/>
        <v>141599.88970518199</v>
      </c>
      <c r="W595" s="13"/>
      <c r="X595" s="13"/>
      <c r="Y595" s="13"/>
      <c r="Z595" s="13"/>
      <c r="AA595" s="22">
        <v>45839</v>
      </c>
      <c r="AB595" s="22" cm="1">
        <f t="array" ref="AB5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95" s="4"/>
      <c r="AD595" s="4"/>
      <c r="AE595" s="2"/>
      <c r="AF595" s="3"/>
      <c r="AG595" s="3"/>
      <c r="AH595" s="3"/>
      <c r="AI595" s="3"/>
      <c r="AJ595" s="2">
        <f t="shared" si="76"/>
        <v>1328.3</v>
      </c>
      <c r="AK595" s="2">
        <f t="shared" si="77"/>
        <v>0</v>
      </c>
      <c r="AL595" s="2">
        <f t="shared" si="74"/>
        <v>3931.6702948180027</v>
      </c>
      <c r="AM595" s="88"/>
      <c r="AN595" s="157" t="s">
        <v>774</v>
      </c>
    </row>
    <row r="596" spans="2:40" ht="23.15" customHeight="1" thickBot="1">
      <c r="B596" s="87">
        <v>45936</v>
      </c>
      <c r="C596" s="2" t="s">
        <v>299</v>
      </c>
      <c r="D596" s="15" t="s">
        <v>17</v>
      </c>
      <c r="E596" s="20" t="s">
        <v>33</v>
      </c>
      <c r="F596" s="20" t="s">
        <v>73</v>
      </c>
      <c r="G596" s="11">
        <v>3</v>
      </c>
      <c r="H596" s="11">
        <v>3</v>
      </c>
      <c r="I596" s="18">
        <v>0</v>
      </c>
      <c r="J596" s="11">
        <v>0</v>
      </c>
      <c r="K596" s="19">
        <v>16800.692672780115</v>
      </c>
      <c r="L596" s="41">
        <v>0</v>
      </c>
      <c r="M596" s="18">
        <v>0</v>
      </c>
      <c r="N596" s="41">
        <v>0</v>
      </c>
      <c r="O596" s="41">
        <v>0</v>
      </c>
      <c r="P596" s="41">
        <v>-42</v>
      </c>
      <c r="Q596" s="43">
        <v>0</v>
      </c>
      <c r="R596" s="41">
        <v>0</v>
      </c>
      <c r="S596" s="43">
        <v>0</v>
      </c>
      <c r="T596" s="43">
        <v>0</v>
      </c>
      <c r="U596" s="19" t="s">
        <v>295</v>
      </c>
      <c r="V596" s="13">
        <f>IFERROR((K596+M596+R596+S596+T596+O596)+IF(U596="Sim",P596+Q604,0),(K596+R596+S596+T596)+IF(U596="Sim",P596+Q604,0))</f>
        <v>16758.692672780115</v>
      </c>
      <c r="W596" s="13"/>
      <c r="X596" s="13"/>
      <c r="Y596" s="13"/>
      <c r="Z596" s="13"/>
      <c r="AA596" s="22">
        <v>45901</v>
      </c>
      <c r="AB596" s="22" cm="1">
        <f t="array" ref="AB5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96" s="4"/>
      <c r="AD596" s="4"/>
      <c r="AE596" s="2"/>
      <c r="AF596" s="3"/>
      <c r="AG596" s="3"/>
      <c r="AH596" s="3"/>
      <c r="AI596" s="3"/>
      <c r="AJ596" s="2">
        <f t="shared" si="76"/>
        <v>0</v>
      </c>
      <c r="AK596" s="2">
        <f t="shared" si="77"/>
        <v>0</v>
      </c>
      <c r="AL596" s="2">
        <f t="shared" si="74"/>
        <v>42</v>
      </c>
      <c r="AM596" s="88"/>
      <c r="AN596" s="157" t="s">
        <v>774</v>
      </c>
    </row>
    <row r="597" spans="2:40" ht="23.15" customHeight="1" thickBot="1">
      <c r="B597" s="87"/>
      <c r="C597" s="2" t="s">
        <v>292</v>
      </c>
      <c r="D597" s="15" t="s">
        <v>18</v>
      </c>
      <c r="E597" s="20" t="s">
        <v>33</v>
      </c>
      <c r="F597" s="20" t="s">
        <v>137</v>
      </c>
      <c r="G597" s="11">
        <v>1</v>
      </c>
      <c r="H597" s="11">
        <v>1</v>
      </c>
      <c r="I597" s="18">
        <v>0</v>
      </c>
      <c r="J597" s="11">
        <v>0</v>
      </c>
      <c r="K597" s="10">
        <v>6250</v>
      </c>
      <c r="L597" s="41">
        <v>0</v>
      </c>
      <c r="M597" s="41">
        <v>0</v>
      </c>
      <c r="N597" s="41">
        <v>0</v>
      </c>
      <c r="O597" s="41">
        <v>0</v>
      </c>
      <c r="P597" s="41">
        <v>0</v>
      </c>
      <c r="Q597" s="43">
        <v>0</v>
      </c>
      <c r="R597" s="41">
        <v>0</v>
      </c>
      <c r="S597" s="43">
        <v>0</v>
      </c>
      <c r="T597" s="43">
        <v>0</v>
      </c>
      <c r="U597" s="19" t="s">
        <v>295</v>
      </c>
      <c r="V597" s="13">
        <f>IFERROR((K597+M597+R597+S597+T597+O597)+IF(U597="Sim",P597+Q597,0),(K597+R597+S597+T597)+IF(U597="Sim",P597+Q597,0))</f>
        <v>6250</v>
      </c>
      <c r="W597" s="13"/>
      <c r="X597" s="13"/>
      <c r="Y597" s="13"/>
      <c r="Z597" s="13"/>
      <c r="AA597" s="22">
        <v>45839</v>
      </c>
      <c r="AB597" s="22" cm="1">
        <f t="array" ref="AB5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97" s="4"/>
      <c r="AD597" s="4"/>
      <c r="AE597" s="2"/>
      <c r="AF597" s="3"/>
      <c r="AG597" s="3"/>
      <c r="AH597" s="3"/>
      <c r="AI597" s="3"/>
      <c r="AJ597" s="2">
        <f t="shared" si="76"/>
        <v>0</v>
      </c>
      <c r="AK597" s="2">
        <f t="shared" si="77"/>
        <v>0</v>
      </c>
      <c r="AL597" s="2">
        <f t="shared" si="74"/>
        <v>0</v>
      </c>
      <c r="AM597" s="88"/>
      <c r="AN597" s="157" t="s">
        <v>774</v>
      </c>
    </row>
    <row r="598" spans="2:40" ht="23.15" customHeight="1" thickBot="1">
      <c r="B598" s="87"/>
      <c r="C598" s="2" t="s">
        <v>292</v>
      </c>
      <c r="D598" s="15" t="s">
        <v>17</v>
      </c>
      <c r="E598" s="20" t="s">
        <v>33</v>
      </c>
      <c r="F598" s="20" t="s">
        <v>73</v>
      </c>
      <c r="G598" s="11">
        <v>3</v>
      </c>
      <c r="H598" s="11"/>
      <c r="I598" s="18" t="s">
        <v>294</v>
      </c>
      <c r="J598" s="18" t="s">
        <v>294</v>
      </c>
      <c r="K598" s="19">
        <v>16800.692672780115</v>
      </c>
      <c r="L598" s="41"/>
      <c r="M598" s="41" t="s">
        <v>294</v>
      </c>
      <c r="N598" s="41"/>
      <c r="O598" s="41" t="s">
        <v>294</v>
      </c>
      <c r="P598" s="41" t="s">
        <v>301</v>
      </c>
      <c r="Q598" s="43">
        <v>-42</v>
      </c>
      <c r="R598" s="41"/>
      <c r="S598" s="43"/>
      <c r="T598" s="43"/>
      <c r="U598" s="19"/>
      <c r="V598" s="13">
        <f>IFERROR((K598+M598+R598+S598+T598+O598)+IF(U598="Sim",P598+#REF!,0),(K598+R598+S598+T598)+IF(U598="Sim",P598+#REF!,0))</f>
        <v>16800.692672780115</v>
      </c>
      <c r="W598" s="13"/>
      <c r="X598" s="13"/>
      <c r="Y598" s="13"/>
      <c r="Z598" s="13"/>
      <c r="AA598" s="22">
        <v>45931</v>
      </c>
      <c r="AB598" s="22" cm="1">
        <f t="array" ref="AB5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98" s="4"/>
      <c r="AD598" s="4"/>
      <c r="AE598" s="2"/>
      <c r="AF598" s="3"/>
      <c r="AG598" s="3"/>
      <c r="AH598" s="3"/>
      <c r="AI598" s="3"/>
      <c r="AJ598" s="2">
        <f t="shared" si="76"/>
        <v>0</v>
      </c>
      <c r="AK598" s="2">
        <f t="shared" si="77"/>
        <v>0</v>
      </c>
      <c r="AL598" s="2">
        <f t="shared" si="74"/>
        <v>0</v>
      </c>
      <c r="AM598" s="88"/>
      <c r="AN598" s="157" t="s">
        <v>774</v>
      </c>
    </row>
    <row r="599" spans="2:40" ht="23.15" customHeight="1" thickBot="1">
      <c r="B599" s="87"/>
      <c r="C599" s="2" t="s">
        <v>292</v>
      </c>
      <c r="D599" s="15" t="s">
        <v>17</v>
      </c>
      <c r="E599" s="20" t="s">
        <v>30</v>
      </c>
      <c r="F599" s="20" t="s">
        <v>68</v>
      </c>
      <c r="G599" s="11">
        <v>29</v>
      </c>
      <c r="H599" s="11">
        <v>29</v>
      </c>
      <c r="I599" s="18" t="s">
        <v>294</v>
      </c>
      <c r="J599" s="11" t="s">
        <v>294</v>
      </c>
      <c r="K599" s="19">
        <v>146258.21</v>
      </c>
      <c r="L599" s="41">
        <v>0</v>
      </c>
      <c r="M599" s="41" t="s">
        <v>294</v>
      </c>
      <c r="N599" s="41">
        <v>0</v>
      </c>
      <c r="O599" s="41" t="s">
        <v>294</v>
      </c>
      <c r="P599" s="41">
        <v>0</v>
      </c>
      <c r="Q599" s="43">
        <v>0</v>
      </c>
      <c r="R599" s="41">
        <v>0</v>
      </c>
      <c r="S599" s="43">
        <v>0</v>
      </c>
      <c r="T599" s="43">
        <v>0</v>
      </c>
      <c r="U599" s="19" t="s">
        <v>292</v>
      </c>
      <c r="V599" s="13">
        <f t="shared" ref="V599:V630" si="78">IFERROR((K599+M599+R599+S599+T599+O599)+IF(U599="Sim",P599+Q599,0),(K599+R599+S599+T599)+IF(U599="Sim",P599+Q599,0))</f>
        <v>146258.21</v>
      </c>
      <c r="W599" s="13"/>
      <c r="X599" s="13"/>
      <c r="Y599" s="13"/>
      <c r="Z599" s="13"/>
      <c r="AA599" s="22">
        <v>45748</v>
      </c>
      <c r="AB599" s="22" cm="1">
        <f t="array" ref="AB5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99" s="4"/>
      <c r="AD599" s="4"/>
      <c r="AE599" s="2"/>
      <c r="AF599" s="3"/>
      <c r="AG599" s="3"/>
      <c r="AH599" s="3"/>
      <c r="AI599" s="3"/>
      <c r="AJ599" s="2">
        <f t="shared" si="76"/>
        <v>0</v>
      </c>
      <c r="AK599" s="2">
        <f t="shared" si="77"/>
        <v>0</v>
      </c>
      <c r="AL599" s="2">
        <f t="shared" si="74"/>
        <v>0</v>
      </c>
      <c r="AM599" s="88"/>
      <c r="AN599" s="157" t="s">
        <v>774</v>
      </c>
    </row>
    <row r="600" spans="2:40" ht="23.15" customHeight="1" thickBot="1">
      <c r="B600" s="87">
        <v>45841</v>
      </c>
      <c r="C600" s="2" t="s">
        <v>295</v>
      </c>
      <c r="D600" s="15" t="s">
        <v>17</v>
      </c>
      <c r="E600" s="20" t="s">
        <v>30</v>
      </c>
      <c r="F600" s="20" t="s">
        <v>68</v>
      </c>
      <c r="G600" s="11">
        <v>29</v>
      </c>
      <c r="H600" s="11">
        <v>29</v>
      </c>
      <c r="I600" s="18">
        <v>0</v>
      </c>
      <c r="J600" s="11">
        <v>0</v>
      </c>
      <c r="K600" s="19">
        <v>146258.21029481801</v>
      </c>
      <c r="L600" s="41">
        <v>0</v>
      </c>
      <c r="M600" s="41">
        <v>0</v>
      </c>
      <c r="N600" s="41">
        <v>0</v>
      </c>
      <c r="O600" s="41">
        <v>0</v>
      </c>
      <c r="P600" s="41">
        <f>-243.76</f>
        <v>-243.76</v>
      </c>
      <c r="Q600" s="43">
        <v>0</v>
      </c>
      <c r="R600" s="41">
        <v>0</v>
      </c>
      <c r="S600" s="43">
        <v>0</v>
      </c>
      <c r="T600" s="43">
        <v>0</v>
      </c>
      <c r="U600" s="19" t="s">
        <v>292</v>
      </c>
      <c r="V600" s="13">
        <f t="shared" si="78"/>
        <v>146258.21029481801</v>
      </c>
      <c r="W600" s="13"/>
      <c r="X600" s="13"/>
      <c r="Y600" s="13"/>
      <c r="Z600" s="13"/>
      <c r="AA600" s="22">
        <v>45809</v>
      </c>
      <c r="AB600" s="22" cm="1">
        <f t="array" ref="AB6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00" s="4"/>
      <c r="AD600" s="4"/>
      <c r="AE600" s="2"/>
      <c r="AF600" s="3"/>
      <c r="AG600" s="3"/>
      <c r="AH600" s="3"/>
      <c r="AI600" s="3"/>
      <c r="AJ600" s="2">
        <f t="shared" si="76"/>
        <v>0</v>
      </c>
      <c r="AK600" s="2">
        <f t="shared" si="77"/>
        <v>0</v>
      </c>
      <c r="AL600" s="2">
        <f t="shared" si="74"/>
        <v>0</v>
      </c>
      <c r="AM600" s="88"/>
      <c r="AN600" s="157" t="s">
        <v>774</v>
      </c>
    </row>
    <row r="601" spans="2:40" ht="23.15" customHeight="1" thickBot="1">
      <c r="B601" s="87">
        <v>45904</v>
      </c>
      <c r="C601" s="2" t="s">
        <v>295</v>
      </c>
      <c r="D601" s="15" t="s">
        <v>17</v>
      </c>
      <c r="E601" s="20" t="s">
        <v>30</v>
      </c>
      <c r="F601" s="20" t="s">
        <v>68</v>
      </c>
      <c r="G601" s="11">
        <v>29</v>
      </c>
      <c r="H601" s="11">
        <v>29</v>
      </c>
      <c r="I601" s="18">
        <v>12</v>
      </c>
      <c r="J601" s="43">
        <v>0</v>
      </c>
      <c r="K601" s="19">
        <v>145531.56</v>
      </c>
      <c r="L601" s="41">
        <v>0</v>
      </c>
      <c r="M601" s="41">
        <v>-1767.17</v>
      </c>
      <c r="N601" s="41">
        <v>0</v>
      </c>
      <c r="O601" s="41">
        <v>0</v>
      </c>
      <c r="P601" s="41">
        <v>-1940.42</v>
      </c>
      <c r="Q601" s="43">
        <v>0</v>
      </c>
      <c r="R601" s="41">
        <v>0</v>
      </c>
      <c r="S601" s="43">
        <v>0</v>
      </c>
      <c r="T601" s="43">
        <v>0</v>
      </c>
      <c r="U601" s="19" t="s">
        <v>295</v>
      </c>
      <c r="V601" s="13">
        <f t="shared" si="78"/>
        <v>141823.96999999997</v>
      </c>
      <c r="W601" s="13"/>
      <c r="X601" s="13"/>
      <c r="Y601" s="13"/>
      <c r="Z601" s="13"/>
      <c r="AA601" s="22">
        <v>45870</v>
      </c>
      <c r="AB601" s="22" cm="1">
        <f t="array" ref="AB6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01" s="4"/>
      <c r="AD601" s="4"/>
      <c r="AE601" s="2"/>
      <c r="AF601" s="3"/>
      <c r="AG601" s="3"/>
      <c r="AH601" s="3"/>
      <c r="AI601" s="3"/>
      <c r="AJ601" s="2">
        <f t="shared" si="76"/>
        <v>1767.17</v>
      </c>
      <c r="AK601" s="2">
        <f t="shared" si="77"/>
        <v>0</v>
      </c>
      <c r="AL601" s="2">
        <f t="shared" si="74"/>
        <v>3707.5900000000256</v>
      </c>
      <c r="AM601" s="88"/>
      <c r="AN601" s="157" t="s">
        <v>774</v>
      </c>
    </row>
    <row r="602" spans="2:40" ht="23.15" customHeight="1" thickBot="1">
      <c r="B602" s="87">
        <v>45933</v>
      </c>
      <c r="C602" s="2" t="s">
        <v>295</v>
      </c>
      <c r="D602" s="15" t="s">
        <v>17</v>
      </c>
      <c r="E602" s="20" t="s">
        <v>30</v>
      </c>
      <c r="F602" s="20" t="s">
        <v>68</v>
      </c>
      <c r="G602" s="11">
        <v>29</v>
      </c>
      <c r="H602" s="11">
        <v>29</v>
      </c>
      <c r="I602" s="18">
        <v>6</v>
      </c>
      <c r="J602" s="11">
        <v>0</v>
      </c>
      <c r="K602" s="19">
        <v>145531.56</v>
      </c>
      <c r="L602" s="41">
        <v>0</v>
      </c>
      <c r="M602" s="18">
        <v>-851.96</v>
      </c>
      <c r="N602" s="41">
        <v>0</v>
      </c>
      <c r="O602" s="41">
        <v>0</v>
      </c>
      <c r="P602" s="41">
        <v>-1212.76</v>
      </c>
      <c r="Q602" s="43">
        <v>0</v>
      </c>
      <c r="R602" s="41">
        <v>0</v>
      </c>
      <c r="S602" s="43">
        <v>0</v>
      </c>
      <c r="T602" s="43">
        <v>0</v>
      </c>
      <c r="U602" s="19" t="s">
        <v>295</v>
      </c>
      <c r="V602" s="13">
        <f t="shared" si="78"/>
        <v>143466.84</v>
      </c>
      <c r="W602" s="13"/>
      <c r="X602" s="13"/>
      <c r="Y602" s="13"/>
      <c r="Z602" s="13"/>
      <c r="AA602" s="22">
        <v>45901</v>
      </c>
      <c r="AB602" s="22" cm="1">
        <f t="array" ref="AB6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02" s="4"/>
      <c r="AD602" s="4"/>
      <c r="AE602" s="2"/>
      <c r="AF602" s="3"/>
      <c r="AG602" s="3"/>
      <c r="AH602" s="3"/>
      <c r="AI602" s="3"/>
      <c r="AJ602" s="2">
        <f t="shared" si="76"/>
        <v>851.96</v>
      </c>
      <c r="AK602" s="2">
        <f t="shared" si="77"/>
        <v>0</v>
      </c>
      <c r="AL602" s="2">
        <f t="shared" si="74"/>
        <v>2064.7200000000012</v>
      </c>
      <c r="AM602" s="88"/>
      <c r="AN602" s="157" t="s">
        <v>774</v>
      </c>
    </row>
    <row r="603" spans="2:40" ht="23.15" customHeight="1" thickBot="1">
      <c r="B603" s="87"/>
      <c r="C603" s="2" t="s">
        <v>292</v>
      </c>
      <c r="D603" s="15" t="s">
        <v>17</v>
      </c>
      <c r="E603" s="20" t="s">
        <v>30</v>
      </c>
      <c r="F603" s="20" t="s">
        <v>68</v>
      </c>
      <c r="G603" s="11">
        <v>29</v>
      </c>
      <c r="H603" s="11"/>
      <c r="I603" s="18" t="s">
        <v>294</v>
      </c>
      <c r="J603" s="18" t="s">
        <v>294</v>
      </c>
      <c r="K603" s="19">
        <v>154640.57</v>
      </c>
      <c r="L603" s="41"/>
      <c r="M603" s="41" t="s">
        <v>294</v>
      </c>
      <c r="N603" s="41"/>
      <c r="O603" s="41" t="s">
        <v>294</v>
      </c>
      <c r="P603" s="41" t="s">
        <v>293</v>
      </c>
      <c r="Q603" s="43"/>
      <c r="R603" s="41"/>
      <c r="S603" s="43"/>
      <c r="T603" s="43"/>
      <c r="U603" s="19"/>
      <c r="V603" s="13">
        <f t="shared" si="78"/>
        <v>154640.57</v>
      </c>
      <c r="W603" s="13"/>
      <c r="X603" s="13"/>
      <c r="Y603" s="13"/>
      <c r="Z603" s="13"/>
      <c r="AA603" s="22">
        <v>45931</v>
      </c>
      <c r="AB603" s="22" cm="1">
        <f t="array" ref="AB6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03" s="4"/>
      <c r="AD603" s="4"/>
      <c r="AE603" s="2"/>
      <c r="AF603" s="3"/>
      <c r="AG603" s="3"/>
      <c r="AH603" s="3"/>
      <c r="AI603" s="3"/>
      <c r="AJ603" s="2">
        <f t="shared" si="76"/>
        <v>0</v>
      </c>
      <c r="AK603" s="2">
        <f t="shared" si="77"/>
        <v>0</v>
      </c>
      <c r="AL603" s="2">
        <f t="shared" si="74"/>
        <v>0</v>
      </c>
      <c r="AM603" s="88"/>
      <c r="AN603" s="157" t="s">
        <v>774</v>
      </c>
    </row>
    <row r="604" spans="2:40" ht="23.15" customHeight="1" thickBot="1">
      <c r="B604" s="87"/>
      <c r="C604" s="2" t="s">
        <v>292</v>
      </c>
      <c r="D604" s="15" t="s">
        <v>17</v>
      </c>
      <c r="E604" s="20" t="s">
        <v>160</v>
      </c>
      <c r="F604" s="20" t="s">
        <v>73</v>
      </c>
      <c r="G604" s="11">
        <v>4</v>
      </c>
      <c r="H604" s="11">
        <v>4</v>
      </c>
      <c r="I604" s="18" t="s">
        <v>294</v>
      </c>
      <c r="J604" s="18" t="s">
        <v>294</v>
      </c>
      <c r="K604" s="10">
        <v>17513.52</v>
      </c>
      <c r="L604" s="41">
        <v>0</v>
      </c>
      <c r="M604" s="18" t="s">
        <v>294</v>
      </c>
      <c r="N604" s="41">
        <v>0</v>
      </c>
      <c r="O604" s="41" t="s">
        <v>294</v>
      </c>
      <c r="P604" s="41">
        <v>0</v>
      </c>
      <c r="Q604" s="43">
        <v>0</v>
      </c>
      <c r="R604" s="43">
        <v>0</v>
      </c>
      <c r="S604" s="43">
        <v>0</v>
      </c>
      <c r="T604" s="43">
        <v>0</v>
      </c>
      <c r="U604" s="19"/>
      <c r="V604" s="13">
        <f t="shared" si="78"/>
        <v>17513.52</v>
      </c>
      <c r="W604" s="13"/>
      <c r="X604" s="13"/>
      <c r="Y604" s="13"/>
      <c r="Z604" s="13"/>
      <c r="AA604" s="22">
        <v>45870</v>
      </c>
      <c r="AB604" s="22" cm="1">
        <f t="array" ref="AB6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04" s="4"/>
      <c r="AD604" s="4"/>
      <c r="AE604" s="2"/>
      <c r="AF604" s="3"/>
      <c r="AG604" s="3"/>
      <c r="AH604" s="3"/>
      <c r="AI604" s="3"/>
      <c r="AJ604" s="2">
        <f t="shared" si="76"/>
        <v>0</v>
      </c>
      <c r="AK604" s="2">
        <f t="shared" si="77"/>
        <v>0</v>
      </c>
      <c r="AL604" s="2">
        <f t="shared" si="74"/>
        <v>0</v>
      </c>
      <c r="AM604" s="88"/>
      <c r="AN604" s="157" t="s">
        <v>774</v>
      </c>
    </row>
    <row r="605" spans="2:40" ht="23.15" customHeight="1" thickBot="1">
      <c r="B605" s="87"/>
      <c r="C605" s="2" t="s">
        <v>295</v>
      </c>
      <c r="D605" s="15" t="s">
        <v>17</v>
      </c>
      <c r="E605" s="20" t="s">
        <v>160</v>
      </c>
      <c r="F605" s="20" t="s">
        <v>73</v>
      </c>
      <c r="G605" s="11">
        <v>4</v>
      </c>
      <c r="H605" s="11">
        <v>4</v>
      </c>
      <c r="I605" s="18">
        <v>0</v>
      </c>
      <c r="J605" s="18">
        <v>0</v>
      </c>
      <c r="K605" s="10">
        <v>17513.52</v>
      </c>
      <c r="L605" s="41">
        <v>0</v>
      </c>
      <c r="M605" s="18">
        <v>0</v>
      </c>
      <c r="N605" s="41">
        <v>0</v>
      </c>
      <c r="O605" s="41">
        <v>0</v>
      </c>
      <c r="P605" s="41">
        <v>0</v>
      </c>
      <c r="Q605" s="43">
        <v>0</v>
      </c>
      <c r="R605" s="43">
        <v>0</v>
      </c>
      <c r="S605" s="43">
        <v>0</v>
      </c>
      <c r="T605" s="43">
        <v>0</v>
      </c>
      <c r="U605" s="19" t="s">
        <v>295</v>
      </c>
      <c r="V605" s="13">
        <f t="shared" si="78"/>
        <v>17513.52</v>
      </c>
      <c r="W605" s="13"/>
      <c r="X605" s="13"/>
      <c r="Y605" s="13"/>
      <c r="Z605" s="13"/>
      <c r="AA605" s="22">
        <v>45901</v>
      </c>
      <c r="AB605" s="22" cm="1">
        <f t="array" ref="AB6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05" s="4"/>
      <c r="AD605" s="4"/>
      <c r="AE605" s="2"/>
      <c r="AF605" s="3"/>
      <c r="AG605" s="3"/>
      <c r="AH605" s="3"/>
      <c r="AI605" s="3"/>
      <c r="AJ605" s="2">
        <f t="shared" si="76"/>
        <v>0</v>
      </c>
      <c r="AK605" s="2">
        <f t="shared" si="77"/>
        <v>0</v>
      </c>
      <c r="AL605" s="2">
        <f t="shared" si="74"/>
        <v>0</v>
      </c>
      <c r="AM605" s="88"/>
      <c r="AN605" s="157" t="s">
        <v>774</v>
      </c>
    </row>
    <row r="606" spans="2:40" ht="23.15" customHeight="1" thickBot="1">
      <c r="B606" s="87"/>
      <c r="C606" s="2" t="s">
        <v>292</v>
      </c>
      <c r="D606" s="15" t="s">
        <v>17</v>
      </c>
      <c r="E606" s="20" t="s">
        <v>160</v>
      </c>
      <c r="F606" s="20" t="s">
        <v>73</v>
      </c>
      <c r="G606" s="11">
        <v>4</v>
      </c>
      <c r="H606" s="11"/>
      <c r="I606" s="18" t="s">
        <v>294</v>
      </c>
      <c r="J606" s="18" t="s">
        <v>294</v>
      </c>
      <c r="K606" s="10">
        <v>17513.52</v>
      </c>
      <c r="L606" s="41"/>
      <c r="M606" s="41" t="s">
        <v>294</v>
      </c>
      <c r="N606" s="41"/>
      <c r="O606" s="41" t="s">
        <v>294</v>
      </c>
      <c r="P606" s="41" t="s">
        <v>301</v>
      </c>
      <c r="Q606" s="43"/>
      <c r="R606" s="43"/>
      <c r="S606" s="43"/>
      <c r="T606" s="43"/>
      <c r="U606" s="19"/>
      <c r="V606" s="13">
        <f t="shared" si="78"/>
        <v>17513.52</v>
      </c>
      <c r="W606" s="13"/>
      <c r="X606" s="13"/>
      <c r="Y606" s="13"/>
      <c r="Z606" s="13"/>
      <c r="AA606" s="22">
        <v>45931</v>
      </c>
      <c r="AB606" s="22" cm="1">
        <f t="array" ref="AB6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06" s="4"/>
      <c r="AD606" s="4"/>
      <c r="AE606" s="2"/>
      <c r="AF606" s="3"/>
      <c r="AG606" s="3"/>
      <c r="AH606" s="3"/>
      <c r="AI606" s="3"/>
      <c r="AJ606" s="2">
        <f t="shared" si="76"/>
        <v>0</v>
      </c>
      <c r="AK606" s="2">
        <f t="shared" si="77"/>
        <v>0</v>
      </c>
      <c r="AL606" s="2">
        <f t="shared" si="74"/>
        <v>0</v>
      </c>
      <c r="AM606" s="88"/>
      <c r="AN606" s="157" t="s">
        <v>774</v>
      </c>
    </row>
    <row r="607" spans="2:40" ht="23.15" customHeight="1" thickBot="1">
      <c r="B607" s="87">
        <v>45903</v>
      </c>
      <c r="C607" s="2" t="s">
        <v>295</v>
      </c>
      <c r="D607" s="15" t="s">
        <v>17</v>
      </c>
      <c r="E607" s="20" t="s">
        <v>25</v>
      </c>
      <c r="F607" s="20" t="s">
        <v>40</v>
      </c>
      <c r="G607" s="11">
        <v>21</v>
      </c>
      <c r="H607" s="11">
        <v>12</v>
      </c>
      <c r="I607" s="18">
        <v>0</v>
      </c>
      <c r="J607" s="18">
        <v>0</v>
      </c>
      <c r="K607" s="19">
        <v>141717.71532566083</v>
      </c>
      <c r="L607" s="41">
        <v>0</v>
      </c>
      <c r="M607" s="41">
        <v>0</v>
      </c>
      <c r="N607" s="41">
        <v>0</v>
      </c>
      <c r="O607" s="41">
        <v>0</v>
      </c>
      <c r="P607" s="41">
        <v>0</v>
      </c>
      <c r="Q607" s="43">
        <v>0</v>
      </c>
      <c r="R607" s="43">
        <v>0</v>
      </c>
      <c r="S607" s="43">
        <v>0</v>
      </c>
      <c r="T607" s="43">
        <v>0</v>
      </c>
      <c r="U607" s="19"/>
      <c r="V607" s="13">
        <f t="shared" si="78"/>
        <v>141717.71532566083</v>
      </c>
      <c r="W607" s="13"/>
      <c r="X607" s="13"/>
      <c r="Y607" s="13"/>
      <c r="Z607" s="13"/>
      <c r="AA607" s="22">
        <v>45870</v>
      </c>
      <c r="AB607" s="22" cm="1">
        <f t="array" ref="AB6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07" s="4"/>
      <c r="AD607" s="4"/>
      <c r="AE607" s="2"/>
      <c r="AF607" s="3"/>
      <c r="AG607" s="3"/>
      <c r="AH607" s="3"/>
      <c r="AI607" s="3"/>
      <c r="AJ607" s="2">
        <f t="shared" si="76"/>
        <v>0</v>
      </c>
      <c r="AK607" s="2">
        <f t="shared" si="77"/>
        <v>0</v>
      </c>
      <c r="AL607" s="2">
        <f t="shared" si="74"/>
        <v>0</v>
      </c>
      <c r="AM607" s="88"/>
      <c r="AN607" s="157" t="s">
        <v>774</v>
      </c>
    </row>
    <row r="608" spans="2:40" ht="23.15" customHeight="1" thickBot="1">
      <c r="B608" s="87">
        <v>45933</v>
      </c>
      <c r="C608" s="2" t="s">
        <v>295</v>
      </c>
      <c r="D608" s="15" t="s">
        <v>17</v>
      </c>
      <c r="E608" s="20" t="s">
        <v>25</v>
      </c>
      <c r="F608" s="20" t="s">
        <v>40</v>
      </c>
      <c r="G608" s="11">
        <v>21</v>
      </c>
      <c r="H608" s="11">
        <v>17</v>
      </c>
      <c r="I608" s="18">
        <v>0</v>
      </c>
      <c r="J608" s="18">
        <v>0</v>
      </c>
      <c r="K608" s="19">
        <v>141717.71532566083</v>
      </c>
      <c r="L608" s="41">
        <v>0</v>
      </c>
      <c r="M608" s="18">
        <v>0</v>
      </c>
      <c r="N608" s="41">
        <v>0</v>
      </c>
      <c r="O608" s="41">
        <v>0</v>
      </c>
      <c r="P608" s="41">
        <v>0</v>
      </c>
      <c r="Q608" s="43">
        <v>0</v>
      </c>
      <c r="R608" s="43">
        <v>0</v>
      </c>
      <c r="S608" s="43">
        <v>0</v>
      </c>
      <c r="T608" s="43">
        <v>0</v>
      </c>
      <c r="U608" s="19" t="s">
        <v>295</v>
      </c>
      <c r="V608" s="13">
        <f t="shared" si="78"/>
        <v>141717.71532566083</v>
      </c>
      <c r="W608" s="13"/>
      <c r="X608" s="13"/>
      <c r="Y608" s="13"/>
      <c r="Z608" s="13"/>
      <c r="AA608" s="22">
        <v>45901</v>
      </c>
      <c r="AB608" s="22" cm="1">
        <f t="array" ref="AB6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08" s="4"/>
      <c r="AD608" s="4"/>
      <c r="AE608" s="2"/>
      <c r="AF608" s="3"/>
      <c r="AG608" s="3"/>
      <c r="AH608" s="3"/>
      <c r="AI608" s="3"/>
      <c r="AJ608" s="2">
        <f t="shared" si="76"/>
        <v>0</v>
      </c>
      <c r="AK608" s="2">
        <f t="shared" si="77"/>
        <v>0</v>
      </c>
      <c r="AL608" s="2">
        <f t="shared" si="74"/>
        <v>0</v>
      </c>
      <c r="AM608" s="88"/>
      <c r="AN608" s="157" t="s">
        <v>774</v>
      </c>
    </row>
    <row r="609" spans="2:40" ht="23.15" customHeight="1" thickBot="1">
      <c r="B609" s="87"/>
      <c r="C609" s="2" t="s">
        <v>292</v>
      </c>
      <c r="D609" s="15" t="s">
        <v>17</v>
      </c>
      <c r="E609" s="20" t="s">
        <v>25</v>
      </c>
      <c r="F609" s="20" t="s">
        <v>40</v>
      </c>
      <c r="G609" s="11">
        <v>21</v>
      </c>
      <c r="H609" s="11"/>
      <c r="I609" s="18" t="s">
        <v>294</v>
      </c>
      <c r="J609" s="18" t="s">
        <v>294</v>
      </c>
      <c r="K609" s="19">
        <v>141717.71532566083</v>
      </c>
      <c r="L609" s="41"/>
      <c r="M609" s="41" t="s">
        <v>294</v>
      </c>
      <c r="N609" s="41"/>
      <c r="O609" s="41" t="s">
        <v>294</v>
      </c>
      <c r="P609" s="41" t="s">
        <v>301</v>
      </c>
      <c r="Q609" s="43"/>
      <c r="R609" s="43"/>
      <c r="S609" s="43"/>
      <c r="T609" s="43"/>
      <c r="U609" s="19"/>
      <c r="V609" s="13">
        <f t="shared" si="78"/>
        <v>141717.71532566083</v>
      </c>
      <c r="W609" s="13"/>
      <c r="X609" s="13"/>
      <c r="Y609" s="13"/>
      <c r="Z609" s="13"/>
      <c r="AA609" s="22">
        <v>45931</v>
      </c>
      <c r="AB609" s="22" cm="1">
        <f t="array" ref="AB6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09" s="4"/>
      <c r="AD609" s="4"/>
      <c r="AE609" s="2"/>
      <c r="AF609" s="3"/>
      <c r="AG609" s="3"/>
      <c r="AH609" s="3"/>
      <c r="AI609" s="3"/>
      <c r="AJ609" s="2">
        <f t="shared" si="76"/>
        <v>0</v>
      </c>
      <c r="AK609" s="2">
        <f t="shared" si="77"/>
        <v>0</v>
      </c>
      <c r="AL609" s="2">
        <f t="shared" si="74"/>
        <v>0</v>
      </c>
      <c r="AM609" s="88"/>
      <c r="AN609" s="157" t="s">
        <v>774</v>
      </c>
    </row>
    <row r="610" spans="2:40" ht="23.15" customHeight="1" thickBot="1">
      <c r="B610" s="87">
        <v>45903</v>
      </c>
      <c r="C610" s="2" t="s">
        <v>295</v>
      </c>
      <c r="D610" s="15" t="s">
        <v>17</v>
      </c>
      <c r="E610" s="20" t="s">
        <v>26</v>
      </c>
      <c r="F610" s="20" t="s">
        <v>128</v>
      </c>
      <c r="G610" s="11">
        <v>3</v>
      </c>
      <c r="H610" s="11">
        <v>1</v>
      </c>
      <c r="I610" s="18">
        <v>0</v>
      </c>
      <c r="J610" s="18">
        <v>0</v>
      </c>
      <c r="K610" s="13">
        <v>5100</v>
      </c>
      <c r="L610" s="41">
        <v>0</v>
      </c>
      <c r="M610" s="41">
        <v>0</v>
      </c>
      <c r="N610" s="41">
        <v>0</v>
      </c>
      <c r="O610" s="41">
        <v>0</v>
      </c>
      <c r="P610" s="41">
        <v>0</v>
      </c>
      <c r="Q610" s="43">
        <v>0</v>
      </c>
      <c r="R610" s="43">
        <v>0</v>
      </c>
      <c r="S610" s="43">
        <v>0</v>
      </c>
      <c r="T610" s="43">
        <v>0</v>
      </c>
      <c r="U610" s="19"/>
      <c r="V610" s="13">
        <f t="shared" si="78"/>
        <v>5100</v>
      </c>
      <c r="W610" s="13"/>
      <c r="X610" s="13"/>
      <c r="Y610" s="13"/>
      <c r="Z610" s="13"/>
      <c r="AA610" s="22">
        <v>45870</v>
      </c>
      <c r="AB610" s="22" cm="1">
        <f t="array" ref="AB6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10" s="4"/>
      <c r="AD610" s="4"/>
      <c r="AE610" s="2"/>
      <c r="AF610" s="3"/>
      <c r="AG610" s="3"/>
      <c r="AH610" s="3"/>
      <c r="AI610" s="3"/>
      <c r="AJ610" s="2">
        <f t="shared" si="76"/>
        <v>0</v>
      </c>
      <c r="AK610" s="2">
        <f t="shared" si="77"/>
        <v>0</v>
      </c>
      <c r="AL610" s="2">
        <f t="shared" si="74"/>
        <v>0</v>
      </c>
      <c r="AM610" s="88"/>
      <c r="AN610" s="157" t="s">
        <v>774</v>
      </c>
    </row>
    <row r="611" spans="2:40" ht="23.15" customHeight="1" thickBot="1">
      <c r="B611" s="87">
        <v>45933</v>
      </c>
      <c r="C611" s="2" t="s">
        <v>295</v>
      </c>
      <c r="D611" s="15" t="s">
        <v>17</v>
      </c>
      <c r="E611" s="20" t="s">
        <v>26</v>
      </c>
      <c r="F611" s="20" t="s">
        <v>128</v>
      </c>
      <c r="G611" s="11">
        <v>3</v>
      </c>
      <c r="H611" s="11">
        <f>1/4.3</f>
        <v>0.23255813953488372</v>
      </c>
      <c r="I611" s="18">
        <v>0</v>
      </c>
      <c r="J611" s="18">
        <v>0</v>
      </c>
      <c r="K611" s="13">
        <v>5100</v>
      </c>
      <c r="L611" s="41">
        <v>0</v>
      </c>
      <c r="M611" s="18">
        <v>0</v>
      </c>
      <c r="N611" s="41">
        <v>0</v>
      </c>
      <c r="O611" s="41">
        <v>0</v>
      </c>
      <c r="P611" s="41">
        <v>0</v>
      </c>
      <c r="Q611" s="43">
        <v>0</v>
      </c>
      <c r="R611" s="43">
        <v>0</v>
      </c>
      <c r="S611" s="43">
        <v>0</v>
      </c>
      <c r="T611" s="43">
        <v>0</v>
      </c>
      <c r="U611" s="19" t="s">
        <v>295</v>
      </c>
      <c r="V611" s="13">
        <f t="shared" si="78"/>
        <v>5100</v>
      </c>
      <c r="W611" s="13"/>
      <c r="X611" s="13"/>
      <c r="Y611" s="13"/>
      <c r="Z611" s="13"/>
      <c r="AA611" s="22">
        <v>45901</v>
      </c>
      <c r="AB611" s="22" cm="1">
        <f t="array" ref="AB6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11" s="4"/>
      <c r="AD611" s="4"/>
      <c r="AE611" s="2"/>
      <c r="AF611" s="3"/>
      <c r="AG611" s="3"/>
      <c r="AH611" s="3"/>
      <c r="AI611" s="3"/>
      <c r="AJ611" s="2">
        <f t="shared" si="76"/>
        <v>0</v>
      </c>
      <c r="AK611" s="2">
        <f t="shared" si="77"/>
        <v>0</v>
      </c>
      <c r="AL611" s="2">
        <f t="shared" si="74"/>
        <v>0</v>
      </c>
      <c r="AM611" s="88"/>
      <c r="AN611" s="157" t="s">
        <v>774</v>
      </c>
    </row>
    <row r="612" spans="2:40" ht="23.15" customHeight="1" thickBot="1">
      <c r="B612" s="87"/>
      <c r="C612" s="2" t="s">
        <v>292</v>
      </c>
      <c r="D612" s="15" t="s">
        <v>17</v>
      </c>
      <c r="E612" s="20" t="s">
        <v>26</v>
      </c>
      <c r="F612" s="20" t="s">
        <v>128</v>
      </c>
      <c r="G612" s="11">
        <v>3</v>
      </c>
      <c r="H612" s="11"/>
      <c r="I612" s="18" t="s">
        <v>294</v>
      </c>
      <c r="J612" s="18" t="s">
        <v>294</v>
      </c>
      <c r="K612" s="13">
        <v>5100</v>
      </c>
      <c r="L612" s="41"/>
      <c r="M612" s="43" t="s">
        <v>294</v>
      </c>
      <c r="N612" s="41"/>
      <c r="O612" s="41" t="s">
        <v>294</v>
      </c>
      <c r="P612" s="41" t="s">
        <v>301</v>
      </c>
      <c r="Q612" s="43"/>
      <c r="R612" s="43"/>
      <c r="S612" s="43"/>
      <c r="T612" s="43"/>
      <c r="U612" s="19"/>
      <c r="V612" s="13">
        <f t="shared" si="78"/>
        <v>5100</v>
      </c>
      <c r="W612" s="13"/>
      <c r="X612" s="13"/>
      <c r="Y612" s="13"/>
      <c r="Z612" s="13"/>
      <c r="AA612" s="22">
        <v>45931</v>
      </c>
      <c r="AB612" s="22" cm="1">
        <f t="array" ref="AB6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12" s="4"/>
      <c r="AD612" s="4"/>
      <c r="AE612" s="2"/>
      <c r="AF612" s="3"/>
      <c r="AG612" s="3"/>
      <c r="AH612" s="3"/>
      <c r="AI612" s="3"/>
      <c r="AJ612" s="2">
        <f t="shared" si="76"/>
        <v>0</v>
      </c>
      <c r="AK612" s="2">
        <f t="shared" si="77"/>
        <v>0</v>
      </c>
      <c r="AL612" s="2">
        <f t="shared" si="74"/>
        <v>0</v>
      </c>
      <c r="AM612" s="88"/>
      <c r="AN612" s="157" t="s">
        <v>774</v>
      </c>
    </row>
    <row r="613" spans="2:40" ht="23.15" customHeight="1" thickBot="1">
      <c r="B613" s="87"/>
      <c r="C613" s="2" t="s">
        <v>292</v>
      </c>
      <c r="D613" s="15" t="s">
        <v>17</v>
      </c>
      <c r="E613" s="20" t="s">
        <v>31</v>
      </c>
      <c r="F613" s="20" t="s">
        <v>40</v>
      </c>
      <c r="G613" s="11">
        <v>16</v>
      </c>
      <c r="H613" s="11">
        <v>14</v>
      </c>
      <c r="I613" s="18" t="s">
        <v>294</v>
      </c>
      <c r="J613" s="18" t="s">
        <v>294</v>
      </c>
      <c r="K613" s="19">
        <v>72690.395702477283</v>
      </c>
      <c r="L613" s="41">
        <v>0</v>
      </c>
      <c r="M613" s="11" t="s">
        <v>294</v>
      </c>
      <c r="N613" s="41">
        <v>0</v>
      </c>
      <c r="O613" s="41" t="s">
        <v>294</v>
      </c>
      <c r="P613" s="41">
        <v>0</v>
      </c>
      <c r="Q613" s="43">
        <v>0</v>
      </c>
      <c r="R613" s="43">
        <v>0</v>
      </c>
      <c r="S613" s="43">
        <v>0</v>
      </c>
      <c r="T613" s="43">
        <v>0</v>
      </c>
      <c r="U613" s="19"/>
      <c r="V613" s="13">
        <f t="shared" si="78"/>
        <v>72690.395702477283</v>
      </c>
      <c r="W613" s="13"/>
      <c r="X613" s="13"/>
      <c r="Y613" s="13">
        <v>15058.71</v>
      </c>
      <c r="Z613" s="45">
        <v>1</v>
      </c>
      <c r="AA613" s="22">
        <v>45870</v>
      </c>
      <c r="AB613" s="22" cm="1">
        <f t="array" ref="AB6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13" s="4"/>
      <c r="AD613" s="4"/>
      <c r="AE613" s="2"/>
      <c r="AF613" s="3"/>
      <c r="AG613" s="3"/>
      <c r="AH613" s="3"/>
      <c r="AI613" s="3"/>
      <c r="AJ613" s="2">
        <f t="shared" si="76"/>
        <v>0</v>
      </c>
      <c r="AK613" s="2">
        <f t="shared" si="77"/>
        <v>0</v>
      </c>
      <c r="AL613" s="2">
        <f t="shared" si="74"/>
        <v>0</v>
      </c>
      <c r="AM613" s="88"/>
      <c r="AN613" s="157" t="s">
        <v>774</v>
      </c>
    </row>
    <row r="614" spans="2:40" ht="23.15" customHeight="1" thickBot="1">
      <c r="B614" s="87"/>
      <c r="C614" s="2" t="s">
        <v>292</v>
      </c>
      <c r="D614" s="15" t="s">
        <v>17</v>
      </c>
      <c r="E614" s="20" t="s">
        <v>31</v>
      </c>
      <c r="F614" s="20" t="s">
        <v>40</v>
      </c>
      <c r="G614" s="11">
        <v>16</v>
      </c>
      <c r="H614" s="11">
        <v>14</v>
      </c>
      <c r="I614" s="18" t="s">
        <v>294</v>
      </c>
      <c r="J614" s="18" t="s">
        <v>294</v>
      </c>
      <c r="K614" s="19">
        <v>72690.395702477283</v>
      </c>
      <c r="L614" s="41">
        <v>0</v>
      </c>
      <c r="M614" s="18" t="s">
        <v>294</v>
      </c>
      <c r="N614" s="41">
        <v>0</v>
      </c>
      <c r="O614" s="41" t="s">
        <v>294</v>
      </c>
      <c r="P614" s="41">
        <v>0</v>
      </c>
      <c r="Q614" s="43">
        <v>0</v>
      </c>
      <c r="R614" s="43">
        <v>0</v>
      </c>
      <c r="S614" s="43">
        <v>0</v>
      </c>
      <c r="T614" s="43">
        <v>0</v>
      </c>
      <c r="U614" s="19"/>
      <c r="V614" s="13">
        <f t="shared" si="78"/>
        <v>72690.395702477283</v>
      </c>
      <c r="W614" s="13"/>
      <c r="X614" s="13"/>
      <c r="Y614" s="13"/>
      <c r="Z614" s="13"/>
      <c r="AA614" s="22">
        <v>45901</v>
      </c>
      <c r="AB614" s="22" cm="1">
        <f t="array" ref="AB6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14" s="4"/>
      <c r="AD614" s="4"/>
      <c r="AE614" s="2"/>
      <c r="AF614" s="3"/>
      <c r="AG614" s="3"/>
      <c r="AH614" s="3"/>
      <c r="AI614" s="3"/>
      <c r="AJ614" s="2">
        <f t="shared" si="76"/>
        <v>0</v>
      </c>
      <c r="AK614" s="2">
        <f t="shared" si="77"/>
        <v>0</v>
      </c>
      <c r="AL614" s="2">
        <f t="shared" si="74"/>
        <v>0</v>
      </c>
      <c r="AM614" s="88"/>
      <c r="AN614" s="157" t="s">
        <v>774</v>
      </c>
    </row>
    <row r="615" spans="2:40" ht="23.15" customHeight="1" thickBot="1">
      <c r="B615" s="87"/>
      <c r="C615" s="2" t="s">
        <v>292</v>
      </c>
      <c r="D615" s="15" t="s">
        <v>17</v>
      </c>
      <c r="E615" s="20" t="s">
        <v>31</v>
      </c>
      <c r="F615" s="20" t="s">
        <v>40</v>
      </c>
      <c r="G615" s="11">
        <v>16</v>
      </c>
      <c r="H615" s="11"/>
      <c r="I615" s="18" t="s">
        <v>294</v>
      </c>
      <c r="J615" s="18" t="s">
        <v>294</v>
      </c>
      <c r="K615" s="19">
        <v>72690.395702477283</v>
      </c>
      <c r="L615" s="41"/>
      <c r="M615" s="41" t="s">
        <v>294</v>
      </c>
      <c r="N615" s="41"/>
      <c r="O615" s="41" t="s">
        <v>294</v>
      </c>
      <c r="P615" s="41" t="s">
        <v>293</v>
      </c>
      <c r="Q615" s="43"/>
      <c r="R615" s="43"/>
      <c r="S615" s="43"/>
      <c r="T615" s="43"/>
      <c r="U615" s="19"/>
      <c r="V615" s="13">
        <f t="shared" si="78"/>
        <v>72690.395702477283</v>
      </c>
      <c r="W615" s="13"/>
      <c r="X615" s="13"/>
      <c r="Y615" s="13"/>
      <c r="Z615" s="13"/>
      <c r="AA615" s="22">
        <v>45931</v>
      </c>
      <c r="AB615" s="22" cm="1">
        <f t="array" ref="AB6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15" s="4"/>
      <c r="AD615" s="4"/>
      <c r="AE615" s="2"/>
      <c r="AF615" s="3"/>
      <c r="AG615" s="3"/>
      <c r="AH615" s="3"/>
      <c r="AI615" s="3"/>
      <c r="AJ615" s="2">
        <f t="shared" si="76"/>
        <v>0</v>
      </c>
      <c r="AK615" s="2">
        <f t="shared" si="77"/>
        <v>0</v>
      </c>
      <c r="AL615" s="2">
        <f t="shared" si="74"/>
        <v>0</v>
      </c>
      <c r="AM615" s="88"/>
      <c r="AN615" s="157" t="s">
        <v>774</v>
      </c>
    </row>
    <row r="616" spans="2:40" ht="23.15" customHeight="1" thickBot="1">
      <c r="B616" s="87"/>
      <c r="C616" s="2" t="s">
        <v>292</v>
      </c>
      <c r="D616" s="15" t="s">
        <v>17</v>
      </c>
      <c r="E616" s="20" t="s">
        <v>32</v>
      </c>
      <c r="F616" s="20" t="s">
        <v>40</v>
      </c>
      <c r="G616" s="11">
        <v>11</v>
      </c>
      <c r="H616" s="18">
        <v>11</v>
      </c>
      <c r="I616" s="18" t="s">
        <v>294</v>
      </c>
      <c r="J616" s="18" t="s">
        <v>294</v>
      </c>
      <c r="K616" s="19">
        <v>72328.600856634468</v>
      </c>
      <c r="L616" s="41">
        <v>0</v>
      </c>
      <c r="M616" s="18" t="s">
        <v>294</v>
      </c>
      <c r="N616" s="41">
        <v>0</v>
      </c>
      <c r="O616" s="41" t="s">
        <v>294</v>
      </c>
      <c r="P616" s="41">
        <v>-120.55</v>
      </c>
      <c r="Q616" s="43">
        <v>-120.55</v>
      </c>
      <c r="R616" s="43">
        <v>0</v>
      </c>
      <c r="S616" s="43">
        <v>0</v>
      </c>
      <c r="T616" s="43">
        <v>0</v>
      </c>
      <c r="U616" s="19" t="s">
        <v>295</v>
      </c>
      <c r="V616" s="13">
        <f t="shared" si="78"/>
        <v>72087.500856634462</v>
      </c>
      <c r="W616" s="13"/>
      <c r="X616" s="13"/>
      <c r="Y616" s="13"/>
      <c r="Z616" s="13"/>
      <c r="AA616" s="22">
        <v>45870</v>
      </c>
      <c r="AB616" s="22" cm="1">
        <f t="array" ref="AB6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16" s="4"/>
      <c r="AD616" s="4"/>
      <c r="AE616" s="2"/>
      <c r="AF616" s="3"/>
      <c r="AG616" s="3"/>
      <c r="AH616" s="3"/>
      <c r="AI616" s="3"/>
      <c r="AJ616" s="2">
        <f t="shared" si="76"/>
        <v>0</v>
      </c>
      <c r="AK616" s="2">
        <f t="shared" si="77"/>
        <v>0</v>
      </c>
      <c r="AL616" s="2">
        <f t="shared" ref="AL616:AL679" si="79">K616-V616</f>
        <v>241.10000000000582</v>
      </c>
      <c r="AM616" s="88"/>
      <c r="AN616" s="157" t="s">
        <v>774</v>
      </c>
    </row>
    <row r="617" spans="2:40" ht="23.15" customHeight="1" thickBot="1">
      <c r="B617" s="87"/>
      <c r="C617" s="2" t="s">
        <v>292</v>
      </c>
      <c r="D617" s="15" t="s">
        <v>17</v>
      </c>
      <c r="E617" s="20" t="s">
        <v>32</v>
      </c>
      <c r="F617" s="20" t="s">
        <v>40</v>
      </c>
      <c r="G617" s="11">
        <v>11</v>
      </c>
      <c r="H617" s="11">
        <v>11</v>
      </c>
      <c r="I617" s="18" t="s">
        <v>294</v>
      </c>
      <c r="J617" s="18" t="s">
        <v>294</v>
      </c>
      <c r="K617" s="249">
        <v>72328.600856634468</v>
      </c>
      <c r="L617" s="41">
        <v>0</v>
      </c>
      <c r="M617" s="18" t="s">
        <v>294</v>
      </c>
      <c r="N617" s="41">
        <v>0</v>
      </c>
      <c r="O617" s="41" t="s">
        <v>294</v>
      </c>
      <c r="P617" s="41">
        <v>-120.55</v>
      </c>
      <c r="Q617" s="43">
        <v>0</v>
      </c>
      <c r="R617" s="43">
        <v>0</v>
      </c>
      <c r="S617" s="43">
        <v>0</v>
      </c>
      <c r="T617" s="43">
        <v>0</v>
      </c>
      <c r="U617" s="19"/>
      <c r="V617" s="13">
        <f t="shared" si="78"/>
        <v>72328.600856634468</v>
      </c>
      <c r="W617" s="13"/>
      <c r="X617" s="13"/>
      <c r="Y617" s="13"/>
      <c r="Z617" s="13"/>
      <c r="AA617" s="22">
        <v>45901</v>
      </c>
      <c r="AB617" s="22" cm="1">
        <f t="array" ref="AB6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17" s="4"/>
      <c r="AD617" s="4"/>
      <c r="AE617" s="2"/>
      <c r="AF617" s="3"/>
      <c r="AG617" s="3"/>
      <c r="AH617" s="3"/>
      <c r="AI617" s="3"/>
      <c r="AJ617" s="2">
        <f t="shared" si="76"/>
        <v>0</v>
      </c>
      <c r="AK617" s="2">
        <f t="shared" si="77"/>
        <v>0</v>
      </c>
      <c r="AL617" s="2">
        <f t="shared" si="79"/>
        <v>0</v>
      </c>
      <c r="AM617" s="88"/>
      <c r="AN617" s="157" t="s">
        <v>774</v>
      </c>
    </row>
    <row r="618" spans="2:40" ht="23.15" customHeight="1" thickBot="1">
      <c r="B618" s="87"/>
      <c r="C618" s="2"/>
      <c r="D618" s="15" t="s">
        <v>17</v>
      </c>
      <c r="E618" s="20" t="s">
        <v>32</v>
      </c>
      <c r="F618" s="20" t="s">
        <v>40</v>
      </c>
      <c r="G618" s="11">
        <v>11</v>
      </c>
      <c r="H618" s="11"/>
      <c r="I618" s="18" t="s">
        <v>294</v>
      </c>
      <c r="J618" s="18" t="s">
        <v>294</v>
      </c>
      <c r="K618" s="249">
        <v>72328.600856634468</v>
      </c>
      <c r="L618" s="41"/>
      <c r="M618" s="41" t="s">
        <v>294</v>
      </c>
      <c r="N618" s="41"/>
      <c r="O618" s="41" t="s">
        <v>294</v>
      </c>
      <c r="P618" s="41" t="s">
        <v>301</v>
      </c>
      <c r="Q618" s="43"/>
      <c r="R618" s="43"/>
      <c r="S618" s="43"/>
      <c r="T618" s="43"/>
      <c r="U618" s="19"/>
      <c r="V618" s="13">
        <f t="shared" si="78"/>
        <v>72328.600856634468</v>
      </c>
      <c r="W618" s="13"/>
      <c r="X618" s="13"/>
      <c r="Y618" s="13"/>
      <c r="Z618" s="13"/>
      <c r="AA618" s="22">
        <v>45931</v>
      </c>
      <c r="AB618" s="22" cm="1">
        <f t="array" ref="AB6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18" s="4"/>
      <c r="AD618" s="4"/>
      <c r="AE618" s="2"/>
      <c r="AF618" s="3"/>
      <c r="AG618" s="3"/>
      <c r="AH618" s="3"/>
      <c r="AI618" s="3"/>
      <c r="AJ618" s="2">
        <f t="shared" si="76"/>
        <v>0</v>
      </c>
      <c r="AK618" s="2">
        <f t="shared" si="77"/>
        <v>0</v>
      </c>
      <c r="AL618" s="2">
        <f t="shared" si="79"/>
        <v>0</v>
      </c>
      <c r="AM618" s="88"/>
      <c r="AN618" s="157" t="s">
        <v>774</v>
      </c>
    </row>
    <row r="619" spans="2:40" ht="23.15" customHeight="1" thickBot="1">
      <c r="B619" s="87"/>
      <c r="C619" s="2"/>
      <c r="D619" s="15" t="s">
        <v>17</v>
      </c>
      <c r="E619" s="20" t="s">
        <v>28</v>
      </c>
      <c r="F619" s="20" t="s">
        <v>37</v>
      </c>
      <c r="G619" s="11">
        <v>16</v>
      </c>
      <c r="H619" s="11"/>
      <c r="I619" s="18"/>
      <c r="J619" s="18"/>
      <c r="K619" s="19"/>
      <c r="L619" s="41"/>
      <c r="M619" s="41"/>
      <c r="N619" s="41"/>
      <c r="O619" s="41"/>
      <c r="P619" s="41"/>
      <c r="Q619" s="43"/>
      <c r="R619" s="43"/>
      <c r="S619" s="43"/>
      <c r="T619" s="43"/>
      <c r="U619" s="19"/>
      <c r="V619" s="13">
        <f t="shared" si="78"/>
        <v>0</v>
      </c>
      <c r="W619" s="13"/>
      <c r="X619" s="13"/>
      <c r="Y619" s="13"/>
      <c r="Z619" s="13"/>
      <c r="AA619" s="22">
        <v>45962</v>
      </c>
      <c r="AB619" s="22" cm="1">
        <f t="array" ref="AB6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19" s="4"/>
      <c r="AD619" s="4"/>
      <c r="AE619" s="2"/>
      <c r="AF619" s="3"/>
      <c r="AG619" s="3"/>
      <c r="AH619" s="3"/>
      <c r="AI619" s="3"/>
      <c r="AJ619" s="2">
        <f t="shared" si="76"/>
        <v>0</v>
      </c>
      <c r="AK619" s="2">
        <f t="shared" si="77"/>
        <v>0</v>
      </c>
      <c r="AL619" s="2">
        <f t="shared" si="79"/>
        <v>0</v>
      </c>
      <c r="AM619" s="88"/>
      <c r="AN619" s="157" t="s">
        <v>774</v>
      </c>
    </row>
    <row r="620" spans="2:40" ht="23.15" customHeight="1" thickBot="1">
      <c r="B620" s="87"/>
      <c r="C620" s="2"/>
      <c r="D620" s="15" t="s">
        <v>17</v>
      </c>
      <c r="E620" s="20" t="s">
        <v>33</v>
      </c>
      <c r="F620" s="20" t="s">
        <v>73</v>
      </c>
      <c r="G620" s="11">
        <v>3</v>
      </c>
      <c r="H620" s="11"/>
      <c r="I620" s="18"/>
      <c r="J620" s="18"/>
      <c r="K620" s="19"/>
      <c r="L620" s="41"/>
      <c r="M620" s="41"/>
      <c r="N620" s="41"/>
      <c r="O620" s="41"/>
      <c r="P620" s="41"/>
      <c r="Q620" s="43"/>
      <c r="R620" s="43"/>
      <c r="S620" s="43"/>
      <c r="T620" s="43"/>
      <c r="U620" s="19"/>
      <c r="V620" s="13">
        <f t="shared" si="78"/>
        <v>0</v>
      </c>
      <c r="W620" s="13"/>
      <c r="X620" s="13"/>
      <c r="Y620" s="13"/>
      <c r="Z620" s="13"/>
      <c r="AA620" s="22">
        <v>45962</v>
      </c>
      <c r="AB620" s="22" cm="1">
        <f t="array" ref="AB6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0" s="4"/>
      <c r="AD620" s="4"/>
      <c r="AE620" s="2"/>
      <c r="AF620" s="3"/>
      <c r="AG620" s="3"/>
      <c r="AH620" s="3"/>
      <c r="AI620" s="3"/>
      <c r="AJ620" s="2">
        <f t="shared" si="76"/>
        <v>0</v>
      </c>
      <c r="AK620" s="2">
        <f t="shared" si="77"/>
        <v>0</v>
      </c>
      <c r="AL620" s="2">
        <f t="shared" si="79"/>
        <v>0</v>
      </c>
      <c r="AM620" s="88"/>
      <c r="AN620" s="157" t="s">
        <v>774</v>
      </c>
    </row>
    <row r="621" spans="2:40" ht="23.15" customHeight="1" thickBot="1">
      <c r="B621" s="87"/>
      <c r="C621" s="2"/>
      <c r="D621" s="15" t="s">
        <v>17</v>
      </c>
      <c r="E621" s="20" t="s">
        <v>30</v>
      </c>
      <c r="F621" s="20" t="s">
        <v>68</v>
      </c>
      <c r="G621" s="11">
        <v>29</v>
      </c>
      <c r="H621" s="11"/>
      <c r="I621" s="18"/>
      <c r="J621" s="18"/>
      <c r="K621" s="19"/>
      <c r="L621" s="41"/>
      <c r="M621" s="41"/>
      <c r="N621" s="41"/>
      <c r="O621" s="41"/>
      <c r="P621" s="41"/>
      <c r="Q621" s="41"/>
      <c r="R621" s="41"/>
      <c r="S621" s="41"/>
      <c r="T621" s="41"/>
      <c r="U621" s="19"/>
      <c r="V621" s="13">
        <f t="shared" si="78"/>
        <v>0</v>
      </c>
      <c r="W621" s="13"/>
      <c r="X621" s="13"/>
      <c r="Y621" s="13"/>
      <c r="Z621" s="13"/>
      <c r="AA621" s="22">
        <v>45962</v>
      </c>
      <c r="AB621" s="22" cm="1">
        <f t="array" ref="AB6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1" s="4"/>
      <c r="AD621" s="4"/>
      <c r="AE621" s="2"/>
      <c r="AF621" s="3"/>
      <c r="AG621" s="3"/>
      <c r="AH621" s="3"/>
      <c r="AI621" s="3"/>
      <c r="AJ621" s="2">
        <f t="shared" si="76"/>
        <v>0</v>
      </c>
      <c r="AK621" s="2">
        <f t="shared" si="77"/>
        <v>0</v>
      </c>
      <c r="AL621" s="2">
        <f t="shared" si="79"/>
        <v>0</v>
      </c>
      <c r="AM621" s="88"/>
      <c r="AN621" s="157" t="s">
        <v>774</v>
      </c>
    </row>
    <row r="622" spans="2:40" ht="23.15" customHeight="1" thickBot="1">
      <c r="B622" s="87"/>
      <c r="C622" s="2"/>
      <c r="D622" s="15" t="s">
        <v>17</v>
      </c>
      <c r="E622" s="20" t="s">
        <v>160</v>
      </c>
      <c r="F622" s="20" t="s">
        <v>73</v>
      </c>
      <c r="G622" s="11">
        <v>4</v>
      </c>
      <c r="H622" s="11"/>
      <c r="I622" s="18"/>
      <c r="J622" s="18"/>
      <c r="K622" s="19"/>
      <c r="L622" s="41"/>
      <c r="M622" s="41"/>
      <c r="N622" s="41"/>
      <c r="O622" s="41"/>
      <c r="P622" s="41"/>
      <c r="Q622" s="43"/>
      <c r="R622" s="43"/>
      <c r="S622" s="43"/>
      <c r="T622" s="43"/>
      <c r="U622" s="19"/>
      <c r="V622" s="13">
        <f t="shared" si="78"/>
        <v>0</v>
      </c>
      <c r="W622" s="13"/>
      <c r="X622" s="13"/>
      <c r="Y622" s="13"/>
      <c r="Z622" s="13"/>
      <c r="AA622" s="22">
        <v>45962</v>
      </c>
      <c r="AB622" s="22" cm="1">
        <f t="array" ref="AB6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2" s="4"/>
      <c r="AD622" s="4"/>
      <c r="AE622" s="2"/>
      <c r="AF622" s="3"/>
      <c r="AG622" s="3"/>
      <c r="AH622" s="3"/>
      <c r="AI622" s="3"/>
      <c r="AJ622" s="2">
        <f t="shared" si="76"/>
        <v>0</v>
      </c>
      <c r="AK622" s="2">
        <f t="shared" si="77"/>
        <v>0</v>
      </c>
      <c r="AL622" s="2">
        <f t="shared" si="79"/>
        <v>0</v>
      </c>
      <c r="AM622" s="88"/>
      <c r="AN622" s="157" t="s">
        <v>774</v>
      </c>
    </row>
    <row r="623" spans="2:40" ht="23.15" customHeight="1" thickBot="1">
      <c r="B623" s="87"/>
      <c r="C623" s="2"/>
      <c r="D623" s="15" t="s">
        <v>17</v>
      </c>
      <c r="E623" s="20" t="s">
        <v>25</v>
      </c>
      <c r="F623" s="20" t="s">
        <v>40</v>
      </c>
      <c r="G623" s="11">
        <v>21</v>
      </c>
      <c r="H623" s="11"/>
      <c r="I623" s="18"/>
      <c r="J623" s="18"/>
      <c r="K623" s="19"/>
      <c r="L623" s="41"/>
      <c r="M623" s="41"/>
      <c r="N623" s="41"/>
      <c r="O623" s="41"/>
      <c r="P623" s="41"/>
      <c r="Q623" s="41"/>
      <c r="R623" s="41"/>
      <c r="S623" s="41"/>
      <c r="T623" s="41"/>
      <c r="U623" s="19"/>
      <c r="V623" s="13">
        <f t="shared" si="78"/>
        <v>0</v>
      </c>
      <c r="W623" s="13"/>
      <c r="X623" s="13"/>
      <c r="Y623" s="13"/>
      <c r="Z623" s="13"/>
      <c r="AA623" s="22">
        <v>45962</v>
      </c>
      <c r="AB623" s="22" cm="1">
        <f t="array" ref="AB6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3" s="4"/>
      <c r="AD623" s="4"/>
      <c r="AE623" s="2"/>
      <c r="AF623" s="3"/>
      <c r="AG623" s="3"/>
      <c r="AH623" s="3"/>
      <c r="AI623" s="3"/>
      <c r="AJ623" s="2">
        <f t="shared" si="76"/>
        <v>0</v>
      </c>
      <c r="AK623" s="2">
        <f t="shared" si="77"/>
        <v>0</v>
      </c>
      <c r="AL623" s="2">
        <f t="shared" si="79"/>
        <v>0</v>
      </c>
      <c r="AM623" s="88"/>
      <c r="AN623" s="157" t="s">
        <v>774</v>
      </c>
    </row>
    <row r="624" spans="2:40" ht="23.15" customHeight="1" thickBot="1">
      <c r="B624" s="87"/>
      <c r="C624" s="2"/>
      <c r="D624" s="15" t="s">
        <v>17</v>
      </c>
      <c r="E624" s="20" t="s">
        <v>26</v>
      </c>
      <c r="F624" s="20" t="s">
        <v>128</v>
      </c>
      <c r="G624" s="11">
        <v>3</v>
      </c>
      <c r="H624" s="11"/>
      <c r="I624" s="18"/>
      <c r="J624" s="18"/>
      <c r="K624" s="19"/>
      <c r="L624" s="41"/>
      <c r="M624" s="41"/>
      <c r="N624" s="41"/>
      <c r="O624" s="41"/>
      <c r="P624" s="41"/>
      <c r="Q624" s="43"/>
      <c r="R624" s="43"/>
      <c r="S624" s="43"/>
      <c r="T624" s="43"/>
      <c r="U624" s="19"/>
      <c r="V624" s="13">
        <f t="shared" si="78"/>
        <v>0</v>
      </c>
      <c r="W624" s="13"/>
      <c r="X624" s="13"/>
      <c r="Y624" s="13"/>
      <c r="Z624" s="13"/>
      <c r="AA624" s="22">
        <v>45962</v>
      </c>
      <c r="AB624" s="22" cm="1">
        <f t="array" ref="AB6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4" s="4"/>
      <c r="AD624" s="4"/>
      <c r="AE624" s="2"/>
      <c r="AF624" s="3"/>
      <c r="AG624" s="3"/>
      <c r="AH624" s="3"/>
      <c r="AI624" s="3"/>
      <c r="AJ624" s="2">
        <f t="shared" si="76"/>
        <v>0</v>
      </c>
      <c r="AK624" s="2">
        <f t="shared" si="77"/>
        <v>0</v>
      </c>
      <c r="AL624" s="2">
        <f t="shared" si="79"/>
        <v>0</v>
      </c>
      <c r="AM624" s="88"/>
      <c r="AN624" s="157" t="s">
        <v>774</v>
      </c>
    </row>
    <row r="625" spans="2:40" ht="23.15" customHeight="1" thickBot="1">
      <c r="B625" s="87"/>
      <c r="C625" s="2"/>
      <c r="D625" s="15" t="s">
        <v>17</v>
      </c>
      <c r="E625" s="20" t="s">
        <v>31</v>
      </c>
      <c r="F625" s="20" t="s">
        <v>40</v>
      </c>
      <c r="G625" s="11">
        <v>16</v>
      </c>
      <c r="H625" s="11"/>
      <c r="I625" s="18"/>
      <c r="J625" s="18"/>
      <c r="K625" s="19"/>
      <c r="L625" s="41"/>
      <c r="M625" s="41"/>
      <c r="N625" s="41"/>
      <c r="O625" s="41"/>
      <c r="P625" s="41"/>
      <c r="Q625" s="43"/>
      <c r="R625" s="43"/>
      <c r="S625" s="43"/>
      <c r="T625" s="43"/>
      <c r="U625" s="19"/>
      <c r="V625" s="13">
        <f t="shared" si="78"/>
        <v>0</v>
      </c>
      <c r="W625" s="13"/>
      <c r="X625" s="13"/>
      <c r="Y625" s="13"/>
      <c r="Z625" s="13"/>
      <c r="AA625" s="22">
        <v>45962</v>
      </c>
      <c r="AB625" s="22" cm="1">
        <f t="array" ref="AB6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5" s="4"/>
      <c r="AD625" s="4"/>
      <c r="AE625" s="2"/>
      <c r="AF625" s="3"/>
      <c r="AG625" s="3"/>
      <c r="AH625" s="3"/>
      <c r="AI625" s="3"/>
      <c r="AJ625" s="2">
        <f t="shared" si="76"/>
        <v>0</v>
      </c>
      <c r="AK625" s="2">
        <f t="shared" si="77"/>
        <v>0</v>
      </c>
      <c r="AL625" s="2">
        <f t="shared" si="79"/>
        <v>0</v>
      </c>
      <c r="AM625" s="88"/>
      <c r="AN625" s="157" t="s">
        <v>774</v>
      </c>
    </row>
    <row r="626" spans="2:40" ht="23.15" customHeight="1" thickBot="1">
      <c r="B626" s="87"/>
      <c r="C626" s="2"/>
      <c r="D626" s="15" t="s">
        <v>17</v>
      </c>
      <c r="E626" s="20" t="s">
        <v>32</v>
      </c>
      <c r="F626" s="20" t="s">
        <v>40</v>
      </c>
      <c r="G626" s="11">
        <v>11</v>
      </c>
      <c r="H626" s="11"/>
      <c r="I626" s="18"/>
      <c r="J626" s="18"/>
      <c r="K626" s="19"/>
      <c r="L626" s="41"/>
      <c r="M626" s="41"/>
      <c r="N626" s="41"/>
      <c r="O626" s="41"/>
      <c r="P626" s="41"/>
      <c r="Q626" s="41"/>
      <c r="R626" s="43"/>
      <c r="S626" s="43"/>
      <c r="T626" s="43"/>
      <c r="U626" s="19"/>
      <c r="V626" s="13">
        <f t="shared" si="78"/>
        <v>0</v>
      </c>
      <c r="W626" s="13"/>
      <c r="X626" s="13"/>
      <c r="Y626" s="13"/>
      <c r="Z626" s="13"/>
      <c r="AA626" s="22">
        <v>45962</v>
      </c>
      <c r="AB626" s="22" cm="1">
        <f t="array" ref="AB6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6" s="4"/>
      <c r="AD626" s="4"/>
      <c r="AE626" s="2"/>
      <c r="AF626" s="3"/>
      <c r="AG626" s="3"/>
      <c r="AH626" s="3"/>
      <c r="AI626" s="3"/>
      <c r="AJ626" s="2">
        <f t="shared" si="76"/>
        <v>0</v>
      </c>
      <c r="AK626" s="2">
        <f t="shared" si="77"/>
        <v>0</v>
      </c>
      <c r="AL626" s="2">
        <f t="shared" si="79"/>
        <v>0</v>
      </c>
      <c r="AM626" s="88"/>
      <c r="AN626" s="157" t="s">
        <v>774</v>
      </c>
    </row>
    <row r="627" spans="2:40" ht="23.15" customHeight="1" thickBot="1">
      <c r="B627" s="87"/>
      <c r="C627" s="2"/>
      <c r="D627" s="15" t="s">
        <v>17</v>
      </c>
      <c r="E627" s="20" t="s">
        <v>28</v>
      </c>
      <c r="F627" s="20" t="s">
        <v>37</v>
      </c>
      <c r="G627" s="11">
        <v>16</v>
      </c>
      <c r="H627" s="11"/>
      <c r="I627" s="18"/>
      <c r="J627" s="18"/>
      <c r="K627" s="19"/>
      <c r="L627" s="41"/>
      <c r="M627" s="41"/>
      <c r="N627" s="41"/>
      <c r="O627" s="41"/>
      <c r="P627" s="41"/>
      <c r="Q627" s="43"/>
      <c r="R627" s="43"/>
      <c r="S627" s="43"/>
      <c r="T627" s="43"/>
      <c r="U627" s="19"/>
      <c r="V627" s="13">
        <f t="shared" si="78"/>
        <v>0</v>
      </c>
      <c r="W627" s="13"/>
      <c r="X627" s="13"/>
      <c r="Y627" s="13"/>
      <c r="Z627" s="13"/>
      <c r="AA627" s="22">
        <v>45992</v>
      </c>
      <c r="AB627" s="22" cm="1">
        <f t="array" ref="AB6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27" s="4"/>
      <c r="AD627" s="4"/>
      <c r="AE627" s="2"/>
      <c r="AF627" s="3"/>
      <c r="AG627" s="3"/>
      <c r="AH627" s="3"/>
      <c r="AI627" s="3"/>
      <c r="AJ627" s="2">
        <f t="shared" si="76"/>
        <v>0</v>
      </c>
      <c r="AK627" s="2">
        <f t="shared" si="77"/>
        <v>0</v>
      </c>
      <c r="AL627" s="2">
        <f t="shared" si="79"/>
        <v>0</v>
      </c>
      <c r="AM627" s="88"/>
      <c r="AN627" s="157" t="s">
        <v>774</v>
      </c>
    </row>
    <row r="628" spans="2:40" ht="23.15" customHeight="1" thickBot="1">
      <c r="B628" s="87"/>
      <c r="C628" s="2"/>
      <c r="D628" s="15" t="s">
        <v>17</v>
      </c>
      <c r="E628" s="20" t="s">
        <v>33</v>
      </c>
      <c r="F628" s="20" t="s">
        <v>73</v>
      </c>
      <c r="G628" s="11">
        <v>3</v>
      </c>
      <c r="H628" s="11"/>
      <c r="I628" s="18"/>
      <c r="J628" s="18"/>
      <c r="K628" s="19"/>
      <c r="L628" s="41"/>
      <c r="M628" s="41"/>
      <c r="N628" s="41"/>
      <c r="O628" s="41"/>
      <c r="P628" s="41"/>
      <c r="Q628" s="43"/>
      <c r="R628" s="43"/>
      <c r="S628" s="43"/>
      <c r="T628" s="43"/>
      <c r="U628" s="19"/>
      <c r="V628" s="13">
        <f t="shared" si="78"/>
        <v>0</v>
      </c>
      <c r="W628" s="13"/>
      <c r="X628" s="13"/>
      <c r="Y628" s="13"/>
      <c r="Z628" s="13"/>
      <c r="AA628" s="22">
        <v>45992</v>
      </c>
      <c r="AB628" s="22" cm="1">
        <f t="array" ref="AB6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28" s="4"/>
      <c r="AD628" s="4"/>
      <c r="AE628" s="2"/>
      <c r="AF628" s="3"/>
      <c r="AG628" s="3"/>
      <c r="AH628" s="3"/>
      <c r="AI628" s="3"/>
      <c r="AJ628" s="2">
        <f t="shared" si="76"/>
        <v>0</v>
      </c>
      <c r="AK628" s="2">
        <f t="shared" si="77"/>
        <v>0</v>
      </c>
      <c r="AL628" s="2">
        <f t="shared" si="79"/>
        <v>0</v>
      </c>
      <c r="AM628" s="88"/>
      <c r="AN628" s="157" t="s">
        <v>774</v>
      </c>
    </row>
    <row r="629" spans="2:40" ht="23.15" customHeight="1" thickBot="1">
      <c r="B629" s="87"/>
      <c r="C629" s="2"/>
      <c r="D629" s="15" t="s">
        <v>17</v>
      </c>
      <c r="E629" s="20" t="s">
        <v>30</v>
      </c>
      <c r="F629" s="20" t="s">
        <v>68</v>
      </c>
      <c r="G629" s="11">
        <v>29</v>
      </c>
      <c r="H629" s="11"/>
      <c r="I629" s="18"/>
      <c r="J629" s="18"/>
      <c r="K629" s="19"/>
      <c r="L629" s="41"/>
      <c r="M629" s="41"/>
      <c r="N629" s="41"/>
      <c r="O629" s="41"/>
      <c r="P629" s="41"/>
      <c r="Q629" s="43"/>
      <c r="R629" s="43"/>
      <c r="S629" s="43"/>
      <c r="T629" s="43"/>
      <c r="U629" s="19"/>
      <c r="V629" s="13">
        <f t="shared" si="78"/>
        <v>0</v>
      </c>
      <c r="W629" s="13"/>
      <c r="X629" s="13"/>
      <c r="Y629" s="13"/>
      <c r="Z629" s="13"/>
      <c r="AA629" s="22">
        <v>45992</v>
      </c>
      <c r="AB629" s="22" cm="1">
        <f t="array" ref="AB6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29" s="4"/>
      <c r="AD629" s="4"/>
      <c r="AE629" s="2"/>
      <c r="AF629" s="3"/>
      <c r="AG629" s="3"/>
      <c r="AH629" s="3"/>
      <c r="AI629" s="3"/>
      <c r="AJ629" s="2">
        <f t="shared" si="76"/>
        <v>0</v>
      </c>
      <c r="AK629" s="2">
        <f t="shared" si="77"/>
        <v>0</v>
      </c>
      <c r="AL629" s="2">
        <f t="shared" si="79"/>
        <v>0</v>
      </c>
      <c r="AM629" s="88"/>
      <c r="AN629" s="157" t="s">
        <v>774</v>
      </c>
    </row>
    <row r="630" spans="2:40" ht="23.15" customHeight="1" thickBot="1">
      <c r="B630" s="87"/>
      <c r="C630" s="2"/>
      <c r="D630" s="15" t="s">
        <v>17</v>
      </c>
      <c r="E630" s="20" t="s">
        <v>160</v>
      </c>
      <c r="F630" s="20" t="s">
        <v>73</v>
      </c>
      <c r="G630" s="11">
        <v>4</v>
      </c>
      <c r="H630" s="11"/>
      <c r="I630" s="18"/>
      <c r="J630" s="18"/>
      <c r="K630" s="19"/>
      <c r="L630" s="41"/>
      <c r="M630" s="41"/>
      <c r="N630" s="41"/>
      <c r="O630" s="41"/>
      <c r="P630" s="41"/>
      <c r="Q630" s="43"/>
      <c r="R630" s="43"/>
      <c r="S630" s="43"/>
      <c r="T630" s="43"/>
      <c r="U630" s="19"/>
      <c r="V630" s="13">
        <f t="shared" si="78"/>
        <v>0</v>
      </c>
      <c r="W630" s="13"/>
      <c r="X630" s="13"/>
      <c r="Y630" s="13"/>
      <c r="Z630" s="13"/>
      <c r="AA630" s="22">
        <v>45992</v>
      </c>
      <c r="AB630" s="22" cm="1">
        <f t="array" ref="AB6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30" s="4"/>
      <c r="AD630" s="4"/>
      <c r="AE630" s="2"/>
      <c r="AF630" s="3"/>
      <c r="AG630" s="3"/>
      <c r="AH630" s="3"/>
      <c r="AI630" s="3"/>
      <c r="AJ630" s="2">
        <f t="shared" si="76"/>
        <v>0</v>
      </c>
      <c r="AK630" s="2">
        <f t="shared" si="77"/>
        <v>0</v>
      </c>
      <c r="AL630" s="2">
        <f t="shared" si="79"/>
        <v>0</v>
      </c>
      <c r="AM630" s="88"/>
      <c r="AN630" s="157" t="s">
        <v>774</v>
      </c>
    </row>
    <row r="631" spans="2:40" ht="23.15" customHeight="1" thickBot="1">
      <c r="B631" s="87"/>
      <c r="C631" s="2"/>
      <c r="D631" s="15" t="s">
        <v>17</v>
      </c>
      <c r="E631" s="20" t="s">
        <v>25</v>
      </c>
      <c r="F631" s="20" t="s">
        <v>40</v>
      </c>
      <c r="G631" s="11">
        <v>21</v>
      </c>
      <c r="H631" s="11"/>
      <c r="I631" s="18"/>
      <c r="J631" s="18"/>
      <c r="K631" s="19"/>
      <c r="L631" s="41"/>
      <c r="M631" s="41"/>
      <c r="N631" s="41"/>
      <c r="O631" s="41"/>
      <c r="P631" s="41"/>
      <c r="Q631" s="43"/>
      <c r="R631" s="43"/>
      <c r="S631" s="43"/>
      <c r="T631" s="43"/>
      <c r="U631" s="19"/>
      <c r="V631" s="13">
        <f t="shared" ref="V631:V662" si="80">IFERROR((K631+M631+R631+S631+T631+O631)+IF(U631="Sim",P631+Q631,0),(K631+R631+S631+T631)+IF(U631="Sim",P631+Q631,0))</f>
        <v>0</v>
      </c>
      <c r="W631" s="13"/>
      <c r="X631" s="13"/>
      <c r="Y631" s="13"/>
      <c r="Z631" s="13"/>
      <c r="AA631" s="22">
        <v>45992</v>
      </c>
      <c r="AB631" s="22" cm="1">
        <f t="array" ref="AB6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31" s="4"/>
      <c r="AD631" s="4"/>
      <c r="AE631" s="2"/>
      <c r="AF631" s="3"/>
      <c r="AG631" s="3"/>
      <c r="AH631" s="3"/>
      <c r="AI631" s="3"/>
      <c r="AJ631" s="2">
        <f t="shared" si="76"/>
        <v>0</v>
      </c>
      <c r="AK631" s="2">
        <f t="shared" si="77"/>
        <v>0</v>
      </c>
      <c r="AL631" s="2">
        <f t="shared" si="79"/>
        <v>0</v>
      </c>
      <c r="AM631" s="88"/>
      <c r="AN631" s="157" t="s">
        <v>774</v>
      </c>
    </row>
    <row r="632" spans="2:40" ht="23.15" customHeight="1" thickBot="1">
      <c r="B632" s="87"/>
      <c r="C632" s="2"/>
      <c r="D632" s="15" t="s">
        <v>17</v>
      </c>
      <c r="E632" s="20" t="s">
        <v>26</v>
      </c>
      <c r="F632" s="20" t="s">
        <v>128</v>
      </c>
      <c r="G632" s="11">
        <v>3</v>
      </c>
      <c r="H632" s="11"/>
      <c r="I632" s="18"/>
      <c r="J632" s="18"/>
      <c r="K632" s="19"/>
      <c r="L632" s="41"/>
      <c r="M632" s="41"/>
      <c r="N632" s="41"/>
      <c r="O632" s="41"/>
      <c r="P632" s="41"/>
      <c r="Q632" s="43"/>
      <c r="R632" s="43"/>
      <c r="S632" s="43"/>
      <c r="T632" s="43"/>
      <c r="U632" s="19"/>
      <c r="V632" s="13">
        <f t="shared" si="80"/>
        <v>0</v>
      </c>
      <c r="W632" s="13"/>
      <c r="X632" s="13"/>
      <c r="Y632" s="13"/>
      <c r="Z632" s="13"/>
      <c r="AA632" s="22">
        <v>45992</v>
      </c>
      <c r="AB632" s="22" cm="1">
        <f t="array" ref="AB6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32" s="4"/>
      <c r="AD632" s="4"/>
      <c r="AE632" s="2"/>
      <c r="AF632" s="3"/>
      <c r="AG632" s="3"/>
      <c r="AH632" s="3"/>
      <c r="AI632" s="3"/>
      <c r="AJ632" s="2">
        <f t="shared" si="76"/>
        <v>0</v>
      </c>
      <c r="AK632" s="2">
        <f t="shared" si="77"/>
        <v>0</v>
      </c>
      <c r="AL632" s="2">
        <f t="shared" si="79"/>
        <v>0</v>
      </c>
      <c r="AM632" s="88"/>
      <c r="AN632" s="157" t="s">
        <v>774</v>
      </c>
    </row>
    <row r="633" spans="2:40" ht="23.15" customHeight="1" thickBot="1">
      <c r="B633" s="87"/>
      <c r="C633" s="2"/>
      <c r="D633" s="15" t="s">
        <v>17</v>
      </c>
      <c r="E633" s="20" t="s">
        <v>31</v>
      </c>
      <c r="F633" s="20" t="s">
        <v>40</v>
      </c>
      <c r="G633" s="11">
        <v>16</v>
      </c>
      <c r="H633" s="11"/>
      <c r="I633" s="18"/>
      <c r="J633" s="18"/>
      <c r="K633" s="19"/>
      <c r="L633" s="41"/>
      <c r="M633" s="41"/>
      <c r="N633" s="41"/>
      <c r="O633" s="41"/>
      <c r="P633" s="41"/>
      <c r="Q633" s="43"/>
      <c r="R633" s="43"/>
      <c r="S633" s="43"/>
      <c r="T633" s="43"/>
      <c r="U633" s="19"/>
      <c r="V633" s="13">
        <f t="shared" si="80"/>
        <v>0</v>
      </c>
      <c r="W633" s="13"/>
      <c r="X633" s="13"/>
      <c r="Y633" s="13"/>
      <c r="Z633" s="13"/>
      <c r="AA633" s="22">
        <v>45992</v>
      </c>
      <c r="AB633" s="22" cm="1">
        <f t="array" ref="AB6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33" s="4"/>
      <c r="AD633" s="4"/>
      <c r="AE633" s="2"/>
      <c r="AF633" s="3"/>
      <c r="AG633" s="3"/>
      <c r="AH633" s="3"/>
      <c r="AI633" s="3"/>
      <c r="AJ633" s="2">
        <f t="shared" si="76"/>
        <v>0</v>
      </c>
      <c r="AK633" s="2">
        <f t="shared" si="77"/>
        <v>0</v>
      </c>
      <c r="AL633" s="2">
        <f t="shared" si="79"/>
        <v>0</v>
      </c>
      <c r="AM633" s="88"/>
      <c r="AN633" s="157" t="s">
        <v>774</v>
      </c>
    </row>
    <row r="634" spans="2:40" ht="23.15" customHeight="1" thickBot="1">
      <c r="B634" s="87"/>
      <c r="C634" s="2"/>
      <c r="D634" s="15" t="s">
        <v>17</v>
      </c>
      <c r="E634" s="20" t="s">
        <v>32</v>
      </c>
      <c r="F634" s="20" t="s">
        <v>40</v>
      </c>
      <c r="G634" s="11">
        <v>11</v>
      </c>
      <c r="H634" s="11"/>
      <c r="I634" s="18"/>
      <c r="J634" s="18"/>
      <c r="K634" s="19"/>
      <c r="L634" s="41"/>
      <c r="M634" s="41"/>
      <c r="N634" s="41"/>
      <c r="O634" s="41"/>
      <c r="P634" s="41"/>
      <c r="Q634" s="43"/>
      <c r="R634" s="43"/>
      <c r="S634" s="43"/>
      <c r="T634" s="43"/>
      <c r="U634" s="19"/>
      <c r="V634" s="13">
        <f t="shared" si="80"/>
        <v>0</v>
      </c>
      <c r="W634" s="13"/>
      <c r="X634" s="13"/>
      <c r="Y634" s="13"/>
      <c r="Z634" s="13"/>
      <c r="AA634" s="22">
        <v>45992</v>
      </c>
      <c r="AB634" s="22" cm="1">
        <f t="array" ref="AB6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34" s="4"/>
      <c r="AD634" s="4"/>
      <c r="AE634" s="2"/>
      <c r="AF634" s="3"/>
      <c r="AG634" s="3"/>
      <c r="AH634" s="3"/>
      <c r="AI634" s="3"/>
      <c r="AJ634" s="2">
        <f t="shared" si="76"/>
        <v>0</v>
      </c>
      <c r="AK634" s="2">
        <f t="shared" si="77"/>
        <v>0</v>
      </c>
      <c r="AL634" s="2">
        <f t="shared" si="79"/>
        <v>0</v>
      </c>
      <c r="AM634" s="88"/>
      <c r="AN634" s="157" t="s">
        <v>774</v>
      </c>
    </row>
    <row r="635" spans="2:40" ht="23.15" customHeight="1" thickBot="1">
      <c r="B635" s="87"/>
      <c r="C635" s="2" t="s">
        <v>292</v>
      </c>
      <c r="D635" s="15" t="s">
        <v>18</v>
      </c>
      <c r="E635" s="20" t="s">
        <v>33</v>
      </c>
      <c r="F635" s="20" t="s">
        <v>137</v>
      </c>
      <c r="G635" s="11">
        <v>1</v>
      </c>
      <c r="H635" s="11">
        <v>1</v>
      </c>
      <c r="I635" s="18" t="s">
        <v>294</v>
      </c>
      <c r="J635" s="18" t="s">
        <v>294</v>
      </c>
      <c r="K635" s="19">
        <v>6250</v>
      </c>
      <c r="L635" s="41">
        <v>0</v>
      </c>
      <c r="M635" s="41" t="s">
        <v>294</v>
      </c>
      <c r="N635" s="41">
        <v>0</v>
      </c>
      <c r="O635" s="41" t="s">
        <v>294</v>
      </c>
      <c r="P635" s="41" t="s">
        <v>301</v>
      </c>
      <c r="Q635" s="41">
        <v>0</v>
      </c>
      <c r="R635" s="41">
        <v>0</v>
      </c>
      <c r="S635" s="41">
        <v>0</v>
      </c>
      <c r="T635" s="41">
        <v>0</v>
      </c>
      <c r="U635" s="19"/>
      <c r="V635" s="13">
        <f t="shared" si="80"/>
        <v>6250</v>
      </c>
      <c r="W635" s="13"/>
      <c r="X635" s="13"/>
      <c r="Y635" s="13"/>
      <c r="Z635" s="13"/>
      <c r="AA635" s="22">
        <v>45658</v>
      </c>
      <c r="AB635" s="22" cm="1">
        <f t="array" ref="AB6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635" s="4"/>
      <c r="AD635" s="4"/>
      <c r="AE635" s="2"/>
      <c r="AF635" s="3"/>
      <c r="AG635" s="3"/>
      <c r="AH635" s="3"/>
      <c r="AI635" s="3"/>
      <c r="AJ635" s="2">
        <f t="shared" si="76"/>
        <v>0</v>
      </c>
      <c r="AK635" s="2">
        <f t="shared" si="77"/>
        <v>0</v>
      </c>
      <c r="AL635" s="2">
        <f t="shared" si="79"/>
        <v>0</v>
      </c>
      <c r="AM635" s="88"/>
      <c r="AN635" s="157" t="s">
        <v>774</v>
      </c>
    </row>
    <row r="636" spans="2:40" ht="23.15" customHeight="1" thickBot="1">
      <c r="B636" s="87"/>
      <c r="C636" s="2" t="s">
        <v>292</v>
      </c>
      <c r="D636" s="15" t="s">
        <v>18</v>
      </c>
      <c r="E636" s="20" t="s">
        <v>33</v>
      </c>
      <c r="F636" s="20" t="s">
        <v>137</v>
      </c>
      <c r="G636" s="11">
        <v>1</v>
      </c>
      <c r="H636" s="11">
        <v>15</v>
      </c>
      <c r="I636" s="18">
        <v>0</v>
      </c>
      <c r="J636" s="18">
        <v>0</v>
      </c>
      <c r="K636" s="19">
        <v>6250</v>
      </c>
      <c r="L636" s="41">
        <v>0</v>
      </c>
      <c r="M636" s="41">
        <v>0</v>
      </c>
      <c r="N636" s="41">
        <v>0</v>
      </c>
      <c r="O636" s="41">
        <v>0</v>
      </c>
      <c r="P636" s="41" t="s">
        <v>301</v>
      </c>
      <c r="Q636" s="43">
        <v>0</v>
      </c>
      <c r="R636" s="43">
        <v>0</v>
      </c>
      <c r="S636" s="43">
        <v>0</v>
      </c>
      <c r="T636" s="43">
        <v>0</v>
      </c>
      <c r="U636" s="19"/>
      <c r="V636" s="13">
        <f t="shared" si="80"/>
        <v>6250</v>
      </c>
      <c r="W636" s="13"/>
      <c r="X636" s="13"/>
      <c r="Y636" s="13"/>
      <c r="Z636" s="13"/>
      <c r="AA636" s="22">
        <v>45689</v>
      </c>
      <c r="AB636" s="22" cm="1">
        <f t="array" ref="AB6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36" s="4"/>
      <c r="AD636" s="4"/>
      <c r="AE636" s="2"/>
      <c r="AF636" s="3"/>
      <c r="AG636" s="3"/>
      <c r="AH636" s="3"/>
      <c r="AI636" s="3"/>
      <c r="AJ636" s="2">
        <f t="shared" ref="AJ636:AJ662" si="81">IFERROR(L636-M636,0)</f>
        <v>0</v>
      </c>
      <c r="AK636" s="2">
        <f t="shared" si="77"/>
        <v>0</v>
      </c>
      <c r="AL636" s="2">
        <f t="shared" si="79"/>
        <v>0</v>
      </c>
      <c r="AM636" s="88"/>
      <c r="AN636" s="157" t="s">
        <v>774</v>
      </c>
    </row>
    <row r="637" spans="2:40" ht="23.15" customHeight="1" thickBot="1">
      <c r="B637" s="87"/>
      <c r="C637" s="2" t="s">
        <v>295</v>
      </c>
      <c r="D637" s="15" t="s">
        <v>18</v>
      </c>
      <c r="E637" s="20" t="s">
        <v>33</v>
      </c>
      <c r="F637" s="20" t="s">
        <v>137</v>
      </c>
      <c r="G637" s="11">
        <v>1</v>
      </c>
      <c r="H637" s="11">
        <v>15</v>
      </c>
      <c r="I637" s="18">
        <v>0</v>
      </c>
      <c r="J637" s="18">
        <v>0</v>
      </c>
      <c r="K637" s="10">
        <v>6250</v>
      </c>
      <c r="L637" s="41">
        <v>0</v>
      </c>
      <c r="M637" s="41">
        <v>0</v>
      </c>
      <c r="N637" s="41">
        <v>0</v>
      </c>
      <c r="O637" s="41">
        <v>0</v>
      </c>
      <c r="P637" s="41" t="s">
        <v>301</v>
      </c>
      <c r="Q637" s="43">
        <v>0</v>
      </c>
      <c r="R637" s="43">
        <v>0</v>
      </c>
      <c r="S637" s="43">
        <v>0</v>
      </c>
      <c r="T637" s="43">
        <v>0</v>
      </c>
      <c r="U637" s="19"/>
      <c r="V637" s="13">
        <f t="shared" si="80"/>
        <v>6250</v>
      </c>
      <c r="W637" s="13"/>
      <c r="X637" s="13"/>
      <c r="Y637" s="13"/>
      <c r="Z637" s="13"/>
      <c r="AA637" s="22">
        <v>45717</v>
      </c>
      <c r="AB637" s="22" cm="1">
        <f t="array" ref="AB6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37" s="4"/>
      <c r="AD637" s="4"/>
      <c r="AE637" s="2"/>
      <c r="AF637" s="3"/>
      <c r="AG637" s="3"/>
      <c r="AH637" s="3"/>
      <c r="AI637" s="3"/>
      <c r="AJ637" s="2">
        <f t="shared" si="81"/>
        <v>0</v>
      </c>
      <c r="AK637" s="2">
        <f t="shared" si="77"/>
        <v>0</v>
      </c>
      <c r="AL637" s="2">
        <f t="shared" si="79"/>
        <v>0</v>
      </c>
      <c r="AM637" s="88"/>
      <c r="AN637" s="157" t="s">
        <v>774</v>
      </c>
    </row>
    <row r="638" spans="2:40" ht="23.15" customHeight="1" thickBot="1">
      <c r="B638" s="87"/>
      <c r="C638" s="2" t="s">
        <v>292</v>
      </c>
      <c r="D638" s="15" t="s">
        <v>18</v>
      </c>
      <c r="E638" s="20" t="s">
        <v>33</v>
      </c>
      <c r="F638" s="20" t="s">
        <v>137</v>
      </c>
      <c r="G638" s="11">
        <v>1</v>
      </c>
      <c r="H638" s="11">
        <v>15</v>
      </c>
      <c r="I638" s="18" t="s">
        <v>294</v>
      </c>
      <c r="J638" s="18" t="s">
        <v>294</v>
      </c>
      <c r="K638" s="19">
        <v>6250</v>
      </c>
      <c r="L638" s="41">
        <v>0</v>
      </c>
      <c r="M638" s="41" t="s">
        <v>294</v>
      </c>
      <c r="N638" s="41">
        <v>0</v>
      </c>
      <c r="O638" s="41" t="s">
        <v>294</v>
      </c>
      <c r="P638" s="41" t="s">
        <v>301</v>
      </c>
      <c r="Q638" s="43">
        <v>0</v>
      </c>
      <c r="R638" s="43">
        <v>0</v>
      </c>
      <c r="S638" s="43">
        <v>0</v>
      </c>
      <c r="T638" s="43">
        <v>0</v>
      </c>
      <c r="U638" s="19" t="s">
        <v>292</v>
      </c>
      <c r="V638" s="13">
        <f t="shared" si="80"/>
        <v>6250</v>
      </c>
      <c r="W638" s="13"/>
      <c r="X638" s="13"/>
      <c r="Y638" s="13"/>
      <c r="Z638" s="13"/>
      <c r="AA638" s="22">
        <v>45748</v>
      </c>
      <c r="AB638" s="22" cm="1">
        <f t="array" ref="AB6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38" s="4"/>
      <c r="AD638" s="4"/>
      <c r="AE638" s="2"/>
      <c r="AF638" s="3"/>
      <c r="AG638" s="3"/>
      <c r="AH638" s="3"/>
      <c r="AI638" s="3"/>
      <c r="AJ638" s="2">
        <f t="shared" si="81"/>
        <v>0</v>
      </c>
      <c r="AK638" s="2">
        <f t="shared" si="77"/>
        <v>0</v>
      </c>
      <c r="AL638" s="2">
        <f t="shared" si="79"/>
        <v>0</v>
      </c>
      <c r="AM638" s="88"/>
      <c r="AN638" s="157" t="s">
        <v>774</v>
      </c>
    </row>
    <row r="639" spans="2:40" ht="23.15" customHeight="1" thickBot="1">
      <c r="B639" s="87"/>
      <c r="C639" s="2" t="s">
        <v>292</v>
      </c>
      <c r="D639" s="15" t="s">
        <v>18</v>
      </c>
      <c r="E639" s="20" t="s">
        <v>33</v>
      </c>
      <c r="F639" s="20" t="s">
        <v>137</v>
      </c>
      <c r="G639" s="11">
        <v>1</v>
      </c>
      <c r="H639" s="11">
        <v>15</v>
      </c>
      <c r="I639" s="41" t="s">
        <v>294</v>
      </c>
      <c r="J639" s="41" t="s">
        <v>294</v>
      </c>
      <c r="K639" s="10">
        <v>6250</v>
      </c>
      <c r="L639" s="41">
        <v>0</v>
      </c>
      <c r="M639" s="41" t="s">
        <v>294</v>
      </c>
      <c r="N639" s="41">
        <v>0</v>
      </c>
      <c r="O639" s="41" t="s">
        <v>294</v>
      </c>
      <c r="P639" s="41" t="s">
        <v>293</v>
      </c>
      <c r="Q639" s="43">
        <v>0</v>
      </c>
      <c r="R639" s="43">
        <v>0</v>
      </c>
      <c r="S639" s="43">
        <v>0</v>
      </c>
      <c r="T639" s="43">
        <v>0</v>
      </c>
      <c r="U639" s="19" t="s">
        <v>292</v>
      </c>
      <c r="V639" s="13">
        <f t="shared" si="80"/>
        <v>6250</v>
      </c>
      <c r="W639" s="13"/>
      <c r="X639" s="13"/>
      <c r="Y639" s="13"/>
      <c r="Z639" s="13"/>
      <c r="AA639" s="22">
        <v>45778</v>
      </c>
      <c r="AB639" s="22" cm="1">
        <f t="array" ref="AB6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39" s="4"/>
      <c r="AD639" s="4"/>
      <c r="AE639" s="2"/>
      <c r="AF639" s="3"/>
      <c r="AG639" s="3"/>
      <c r="AH639" s="3"/>
      <c r="AI639" s="3"/>
      <c r="AJ639" s="2">
        <f t="shared" si="81"/>
        <v>0</v>
      </c>
      <c r="AK639" s="2">
        <f t="shared" si="77"/>
        <v>0</v>
      </c>
      <c r="AL639" s="2">
        <f t="shared" si="79"/>
        <v>0</v>
      </c>
      <c r="AM639" s="88"/>
      <c r="AN639" s="157" t="s">
        <v>774</v>
      </c>
    </row>
    <row r="640" spans="2:40" ht="23.15" customHeight="1" thickBot="1">
      <c r="B640" s="87"/>
      <c r="C640" s="2" t="s">
        <v>292</v>
      </c>
      <c r="D640" s="15" t="s">
        <v>18</v>
      </c>
      <c r="E640" s="20" t="s">
        <v>33</v>
      </c>
      <c r="F640" s="20" t="s">
        <v>137</v>
      </c>
      <c r="G640" s="11">
        <v>1</v>
      </c>
      <c r="H640" s="11">
        <v>15</v>
      </c>
      <c r="I640" s="41" t="s">
        <v>294</v>
      </c>
      <c r="J640" s="41" t="s">
        <v>294</v>
      </c>
      <c r="K640" s="19">
        <v>6250</v>
      </c>
      <c r="L640" s="41">
        <v>0</v>
      </c>
      <c r="M640" s="41" t="s">
        <v>294</v>
      </c>
      <c r="N640" s="41">
        <v>0</v>
      </c>
      <c r="O640" s="41" t="s">
        <v>294</v>
      </c>
      <c r="P640" s="41" t="s">
        <v>293</v>
      </c>
      <c r="Q640" s="43">
        <v>0</v>
      </c>
      <c r="R640" s="43">
        <v>0</v>
      </c>
      <c r="S640" s="43">
        <v>0</v>
      </c>
      <c r="T640" s="43">
        <v>0</v>
      </c>
      <c r="U640" s="19" t="s">
        <v>292</v>
      </c>
      <c r="V640" s="13">
        <f t="shared" si="80"/>
        <v>6250</v>
      </c>
      <c r="W640" s="13"/>
      <c r="X640" s="13"/>
      <c r="Y640" s="13"/>
      <c r="Z640" s="13"/>
      <c r="AA640" s="22">
        <v>45809</v>
      </c>
      <c r="AB640" s="22" cm="1">
        <f t="array" ref="AB6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40" s="4"/>
      <c r="AD640" s="4"/>
      <c r="AE640" s="2"/>
      <c r="AF640" s="3"/>
      <c r="AG640" s="3"/>
      <c r="AH640" s="3"/>
      <c r="AI640" s="3"/>
      <c r="AJ640" s="2">
        <f t="shared" si="81"/>
        <v>0</v>
      </c>
      <c r="AK640" s="2">
        <f t="shared" si="77"/>
        <v>0</v>
      </c>
      <c r="AL640" s="2">
        <f t="shared" si="79"/>
        <v>0</v>
      </c>
      <c r="AM640" s="88"/>
      <c r="AN640" s="157" t="s">
        <v>774</v>
      </c>
    </row>
    <row r="641" spans="2:40" ht="23.15" customHeight="1" thickBot="1">
      <c r="B641" s="87"/>
      <c r="C641" s="2" t="s">
        <v>292</v>
      </c>
      <c r="D641" s="15" t="s">
        <v>18</v>
      </c>
      <c r="E641" s="20" t="s">
        <v>31</v>
      </c>
      <c r="F641" s="20" t="s">
        <v>141</v>
      </c>
      <c r="G641" s="11">
        <v>10</v>
      </c>
      <c r="H641" s="11">
        <v>10</v>
      </c>
      <c r="I641" s="18">
        <v>0</v>
      </c>
      <c r="J641" s="18">
        <v>0</v>
      </c>
      <c r="K641" s="19">
        <v>37998.980000000003</v>
      </c>
      <c r="L641" s="41">
        <v>0</v>
      </c>
      <c r="M641" s="41">
        <v>0</v>
      </c>
      <c r="N641" s="41">
        <v>0</v>
      </c>
      <c r="O641" s="41">
        <v>0</v>
      </c>
      <c r="P641" s="41">
        <v>0</v>
      </c>
      <c r="Q641" s="43">
        <v>0</v>
      </c>
      <c r="R641" s="43">
        <v>0</v>
      </c>
      <c r="S641" s="43">
        <v>0</v>
      </c>
      <c r="T641" s="43">
        <v>0</v>
      </c>
      <c r="U641" s="19" t="s">
        <v>295</v>
      </c>
      <c r="V641" s="13">
        <f t="shared" si="80"/>
        <v>37998.980000000003</v>
      </c>
      <c r="W641" s="13"/>
      <c r="X641" s="13"/>
      <c r="Y641" s="13"/>
      <c r="Z641" s="13"/>
      <c r="AA641" s="22">
        <v>45839</v>
      </c>
      <c r="AB641" s="22" cm="1">
        <f t="array" ref="AB6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41" s="4"/>
      <c r="AD641" s="4"/>
      <c r="AE641" s="2"/>
      <c r="AF641" s="3"/>
      <c r="AG641" s="3"/>
      <c r="AH641" s="3"/>
      <c r="AI641" s="3"/>
      <c r="AJ641" s="2">
        <f t="shared" si="81"/>
        <v>0</v>
      </c>
      <c r="AK641" s="2">
        <f t="shared" si="77"/>
        <v>0</v>
      </c>
      <c r="AL641" s="2">
        <f t="shared" si="79"/>
        <v>0</v>
      </c>
      <c r="AM641" s="88"/>
      <c r="AN641" s="157" t="s">
        <v>774</v>
      </c>
    </row>
    <row r="642" spans="2:40" ht="23.15" customHeight="1" thickBot="1">
      <c r="B642" s="87"/>
      <c r="C642" s="2" t="s">
        <v>292</v>
      </c>
      <c r="D642" s="15" t="s">
        <v>18</v>
      </c>
      <c r="E642" s="20" t="s">
        <v>31</v>
      </c>
      <c r="F642" s="20" t="s">
        <v>141</v>
      </c>
      <c r="G642" s="11">
        <v>10</v>
      </c>
      <c r="H642" s="18">
        <v>10</v>
      </c>
      <c r="I642" s="18" t="s">
        <v>294</v>
      </c>
      <c r="J642" s="18" t="s">
        <v>294</v>
      </c>
      <c r="K642" s="19">
        <v>37998.980000000003</v>
      </c>
      <c r="L642" s="41">
        <v>0</v>
      </c>
      <c r="M642" s="41" t="s">
        <v>294</v>
      </c>
      <c r="N642" s="41">
        <v>0</v>
      </c>
      <c r="O642" s="41" t="s">
        <v>294</v>
      </c>
      <c r="P642" s="41">
        <v>0</v>
      </c>
      <c r="Q642" s="43">
        <v>0</v>
      </c>
      <c r="R642" s="43">
        <v>0</v>
      </c>
      <c r="S642" s="43">
        <v>0</v>
      </c>
      <c r="T642" s="43">
        <v>0</v>
      </c>
      <c r="U642" s="19"/>
      <c r="V642" s="13">
        <f t="shared" si="80"/>
        <v>37998.980000000003</v>
      </c>
      <c r="W642" s="13"/>
      <c r="X642" s="13"/>
      <c r="Y642" s="13"/>
      <c r="Z642" s="13"/>
      <c r="AA642" s="22">
        <v>45658</v>
      </c>
      <c r="AB642" s="22" cm="1">
        <f t="array" ref="AB6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42" s="4"/>
      <c r="AD642" s="4"/>
      <c r="AE642" s="2"/>
      <c r="AF642" s="3"/>
      <c r="AG642" s="3"/>
      <c r="AH642" s="3"/>
      <c r="AI642" s="3"/>
      <c r="AJ642" s="2">
        <f t="shared" si="81"/>
        <v>0</v>
      </c>
      <c r="AK642" s="2">
        <f t="shared" si="77"/>
        <v>0</v>
      </c>
      <c r="AL642" s="2">
        <f t="shared" si="79"/>
        <v>0</v>
      </c>
      <c r="AM642" s="88"/>
      <c r="AN642" s="157" t="s">
        <v>774</v>
      </c>
    </row>
    <row r="643" spans="2:40" ht="23.15" customHeight="1" thickBot="1">
      <c r="B643" s="87"/>
      <c r="C643" s="2" t="s">
        <v>292</v>
      </c>
      <c r="D643" s="15" t="s">
        <v>18</v>
      </c>
      <c r="E643" s="20" t="s">
        <v>31</v>
      </c>
      <c r="F643" s="20" t="s">
        <v>141</v>
      </c>
      <c r="G643" s="11">
        <v>10</v>
      </c>
      <c r="H643" s="11">
        <v>15</v>
      </c>
      <c r="I643" s="18">
        <v>0</v>
      </c>
      <c r="J643" s="18">
        <v>0</v>
      </c>
      <c r="K643" s="19">
        <v>37998.980000000003</v>
      </c>
      <c r="L643" s="41">
        <v>0</v>
      </c>
      <c r="M643" s="41">
        <v>0</v>
      </c>
      <c r="N643" s="41">
        <v>0</v>
      </c>
      <c r="O643" s="41">
        <v>0</v>
      </c>
      <c r="P643" s="41">
        <v>0</v>
      </c>
      <c r="Q643" s="43">
        <v>0</v>
      </c>
      <c r="R643" s="43">
        <v>0</v>
      </c>
      <c r="S643" s="43">
        <v>0</v>
      </c>
      <c r="T643" s="43">
        <v>0</v>
      </c>
      <c r="U643" s="19"/>
      <c r="V643" s="13">
        <f t="shared" si="80"/>
        <v>37998.980000000003</v>
      </c>
      <c r="W643" s="13"/>
      <c r="X643" s="13"/>
      <c r="Y643" s="13"/>
      <c r="Z643" s="13"/>
      <c r="AA643" s="22">
        <v>45689</v>
      </c>
      <c r="AB643" s="22" cm="1">
        <f t="array" ref="AB6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43" s="4"/>
      <c r="AD643" s="4"/>
      <c r="AE643" s="2"/>
      <c r="AF643" s="3"/>
      <c r="AG643" s="3"/>
      <c r="AH643" s="3"/>
      <c r="AI643" s="3"/>
      <c r="AJ643" s="2">
        <f t="shared" si="81"/>
        <v>0</v>
      </c>
      <c r="AK643" s="2">
        <f t="shared" ref="AK643:AK706" si="82">AC643-AD643</f>
        <v>0</v>
      </c>
      <c r="AL643" s="2">
        <f t="shared" si="79"/>
        <v>0</v>
      </c>
      <c r="AM643" s="88"/>
      <c r="AN643" s="157" t="s">
        <v>774</v>
      </c>
    </row>
    <row r="644" spans="2:40" ht="23.15" customHeight="1" thickBot="1">
      <c r="B644" s="87"/>
      <c r="C644" s="2" t="s">
        <v>295</v>
      </c>
      <c r="D644" s="15" t="s">
        <v>18</v>
      </c>
      <c r="E644" s="20" t="s">
        <v>31</v>
      </c>
      <c r="F644" s="20" t="s">
        <v>141</v>
      </c>
      <c r="G644" s="11">
        <v>10</v>
      </c>
      <c r="H644" s="11">
        <v>15</v>
      </c>
      <c r="I644" s="18">
        <v>0</v>
      </c>
      <c r="J644" s="18">
        <v>0</v>
      </c>
      <c r="K644" s="19">
        <v>37998.980000000003</v>
      </c>
      <c r="L644" s="41">
        <v>0</v>
      </c>
      <c r="M644" s="41">
        <v>0</v>
      </c>
      <c r="N644" s="41">
        <v>0</v>
      </c>
      <c r="O644" s="41">
        <v>0</v>
      </c>
      <c r="P644" s="41">
        <v>0</v>
      </c>
      <c r="Q644" s="43">
        <v>0</v>
      </c>
      <c r="R644" s="43">
        <v>0</v>
      </c>
      <c r="S644" s="43">
        <v>0</v>
      </c>
      <c r="T644" s="43">
        <v>0</v>
      </c>
      <c r="U644" s="19"/>
      <c r="V644" s="13">
        <f t="shared" si="80"/>
        <v>37998.980000000003</v>
      </c>
      <c r="W644" s="13"/>
      <c r="X644" s="13"/>
      <c r="Y644" s="13"/>
      <c r="Z644" s="13"/>
      <c r="AA644" s="22">
        <v>45717</v>
      </c>
      <c r="AB644" s="22" cm="1">
        <f t="array" ref="AB6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44" s="4"/>
      <c r="AD644" s="4"/>
      <c r="AE644" s="2"/>
      <c r="AF644" s="3"/>
      <c r="AG644" s="3"/>
      <c r="AH644" s="3"/>
      <c r="AI644" s="3"/>
      <c r="AJ644" s="2">
        <f t="shared" si="81"/>
        <v>0</v>
      </c>
      <c r="AK644" s="2">
        <f t="shared" si="82"/>
        <v>0</v>
      </c>
      <c r="AL644" s="2">
        <f t="shared" si="79"/>
        <v>0</v>
      </c>
      <c r="AM644" s="88"/>
      <c r="AN644" s="157" t="s">
        <v>774</v>
      </c>
    </row>
    <row r="645" spans="2:40" ht="23.15" customHeight="1" thickBot="1">
      <c r="B645" s="87"/>
      <c r="C645" s="2" t="s">
        <v>292</v>
      </c>
      <c r="D645" s="15" t="s">
        <v>18</v>
      </c>
      <c r="E645" s="20" t="s">
        <v>31</v>
      </c>
      <c r="F645" s="20" t="s">
        <v>141</v>
      </c>
      <c r="G645" s="11">
        <v>10</v>
      </c>
      <c r="H645" s="11">
        <v>15</v>
      </c>
      <c r="I645" s="18" t="s">
        <v>294</v>
      </c>
      <c r="J645" s="18" t="s">
        <v>294</v>
      </c>
      <c r="K645" s="19">
        <v>37998.980000000003</v>
      </c>
      <c r="L645" s="41">
        <v>0</v>
      </c>
      <c r="M645" s="41" t="s">
        <v>294</v>
      </c>
      <c r="N645" s="41">
        <v>0</v>
      </c>
      <c r="O645" s="41" t="s">
        <v>294</v>
      </c>
      <c r="P645" s="41">
        <v>0</v>
      </c>
      <c r="Q645" s="43">
        <v>0</v>
      </c>
      <c r="R645" s="43">
        <v>0</v>
      </c>
      <c r="S645" s="43">
        <v>0</v>
      </c>
      <c r="T645" s="43">
        <v>0</v>
      </c>
      <c r="U645" s="19" t="s">
        <v>292</v>
      </c>
      <c r="V645" s="13">
        <f t="shared" si="80"/>
        <v>37998.980000000003</v>
      </c>
      <c r="W645" s="13"/>
      <c r="X645" s="13"/>
      <c r="Y645" s="13"/>
      <c r="Z645" s="13"/>
      <c r="AA645" s="22">
        <v>45748</v>
      </c>
      <c r="AB645" s="22" cm="1">
        <f t="array" ref="AB6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45" s="4"/>
      <c r="AD645" s="4"/>
      <c r="AE645" s="2"/>
      <c r="AF645" s="3"/>
      <c r="AG645" s="3"/>
      <c r="AH645" s="3"/>
      <c r="AI645" s="3"/>
      <c r="AJ645" s="2">
        <f t="shared" si="81"/>
        <v>0</v>
      </c>
      <c r="AK645" s="2">
        <f t="shared" si="82"/>
        <v>0</v>
      </c>
      <c r="AL645" s="2">
        <f t="shared" si="79"/>
        <v>0</v>
      </c>
      <c r="AM645" s="88"/>
      <c r="AN645" s="157" t="s">
        <v>774</v>
      </c>
    </row>
    <row r="646" spans="2:40" ht="23.15" customHeight="1" thickBot="1">
      <c r="B646" s="87"/>
      <c r="C646" s="2" t="s">
        <v>292</v>
      </c>
      <c r="D646" s="15" t="s">
        <v>18</v>
      </c>
      <c r="E646" s="20" t="s">
        <v>31</v>
      </c>
      <c r="F646" s="20" t="s">
        <v>141</v>
      </c>
      <c r="G646" s="11">
        <v>10</v>
      </c>
      <c r="H646" s="11">
        <v>15</v>
      </c>
      <c r="I646" s="18" t="s">
        <v>294</v>
      </c>
      <c r="J646" s="41" t="s">
        <v>294</v>
      </c>
      <c r="K646" s="19">
        <v>37998.980000000003</v>
      </c>
      <c r="L646" s="41">
        <v>0</v>
      </c>
      <c r="M646" s="41" t="s">
        <v>294</v>
      </c>
      <c r="N646" s="41">
        <v>0</v>
      </c>
      <c r="O646" s="41" t="s">
        <v>294</v>
      </c>
      <c r="P646" s="41" t="s">
        <v>293</v>
      </c>
      <c r="Q646" s="43">
        <v>0</v>
      </c>
      <c r="R646" s="43">
        <v>0</v>
      </c>
      <c r="S646" s="43">
        <v>0</v>
      </c>
      <c r="T646" s="43">
        <v>0</v>
      </c>
      <c r="U646" s="19" t="s">
        <v>292</v>
      </c>
      <c r="V646" s="13">
        <f t="shared" si="80"/>
        <v>37998.980000000003</v>
      </c>
      <c r="W646" s="13"/>
      <c r="X646" s="13"/>
      <c r="Y646" s="13"/>
      <c r="Z646" s="13"/>
      <c r="AA646" s="22">
        <v>45778</v>
      </c>
      <c r="AB646" s="22" cm="1">
        <f t="array" ref="AB6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46" s="4"/>
      <c r="AD646" s="4"/>
      <c r="AE646" s="2"/>
      <c r="AF646" s="3"/>
      <c r="AG646" s="3"/>
      <c r="AH646" s="3"/>
      <c r="AI646" s="3"/>
      <c r="AJ646" s="2">
        <f t="shared" si="81"/>
        <v>0</v>
      </c>
      <c r="AK646" s="2">
        <f t="shared" si="82"/>
        <v>0</v>
      </c>
      <c r="AL646" s="2">
        <f t="shared" si="79"/>
        <v>0</v>
      </c>
      <c r="AM646" s="88"/>
      <c r="AN646" s="157" t="s">
        <v>774</v>
      </c>
    </row>
    <row r="647" spans="2:40" ht="23.15" customHeight="1" thickBot="1">
      <c r="B647" s="87"/>
      <c r="C647" s="2" t="s">
        <v>292</v>
      </c>
      <c r="D647" s="15" t="s">
        <v>18</v>
      </c>
      <c r="E647" s="20" t="s">
        <v>31</v>
      </c>
      <c r="F647" s="20" t="s">
        <v>141</v>
      </c>
      <c r="G647" s="11">
        <v>10</v>
      </c>
      <c r="H647" s="11">
        <v>15</v>
      </c>
      <c r="I647" s="18" t="s">
        <v>294</v>
      </c>
      <c r="J647" s="41" t="s">
        <v>294</v>
      </c>
      <c r="K647" s="19">
        <v>37998.980000000003</v>
      </c>
      <c r="L647" s="41">
        <v>0</v>
      </c>
      <c r="M647" s="41" t="s">
        <v>294</v>
      </c>
      <c r="N647" s="41">
        <v>0</v>
      </c>
      <c r="O647" s="41" t="s">
        <v>294</v>
      </c>
      <c r="P647" s="41" t="s">
        <v>293</v>
      </c>
      <c r="Q647" s="41">
        <v>0</v>
      </c>
      <c r="R647" s="41">
        <v>0</v>
      </c>
      <c r="S647" s="41">
        <v>0</v>
      </c>
      <c r="T647" s="41">
        <v>0</v>
      </c>
      <c r="U647" s="19" t="s">
        <v>292</v>
      </c>
      <c r="V647" s="13">
        <f t="shared" si="80"/>
        <v>37998.980000000003</v>
      </c>
      <c r="W647" s="13"/>
      <c r="X647" s="13"/>
      <c r="Y647" s="13"/>
      <c r="Z647" s="13"/>
      <c r="AA647" s="22">
        <v>45809</v>
      </c>
      <c r="AB647" s="22" cm="1">
        <f t="array" ref="AB6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47" s="4"/>
      <c r="AD647" s="4"/>
      <c r="AE647" s="2"/>
      <c r="AF647" s="3"/>
      <c r="AG647" s="3"/>
      <c r="AH647" s="3"/>
      <c r="AI647" s="3"/>
      <c r="AJ647" s="2">
        <f t="shared" si="81"/>
        <v>0</v>
      </c>
      <c r="AK647" s="2">
        <f t="shared" si="82"/>
        <v>0</v>
      </c>
      <c r="AL647" s="2">
        <f t="shared" si="79"/>
        <v>0</v>
      </c>
      <c r="AM647" s="88"/>
      <c r="AN647" s="157" t="s">
        <v>774</v>
      </c>
    </row>
    <row r="648" spans="2:40" ht="23.15" customHeight="1" thickBot="1">
      <c r="B648" s="87"/>
      <c r="C648" s="2" t="s">
        <v>292</v>
      </c>
      <c r="D648" s="15" t="s">
        <v>18</v>
      </c>
      <c r="E648" s="20" t="s">
        <v>28</v>
      </c>
      <c r="F648" s="20" t="s">
        <v>112</v>
      </c>
      <c r="G648" s="11">
        <v>6.4409999999999998</v>
      </c>
      <c r="H648" s="11">
        <v>15</v>
      </c>
      <c r="I648" s="18">
        <v>0</v>
      </c>
      <c r="J648" s="18">
        <v>0</v>
      </c>
      <c r="K648" s="19">
        <v>45903.045609852416</v>
      </c>
      <c r="L648" s="41">
        <v>0</v>
      </c>
      <c r="M648" s="43">
        <v>0</v>
      </c>
      <c r="N648" s="41">
        <v>0</v>
      </c>
      <c r="O648" s="41">
        <v>0</v>
      </c>
      <c r="P648" s="41">
        <v>0</v>
      </c>
      <c r="Q648" s="43">
        <v>0</v>
      </c>
      <c r="R648" s="43">
        <v>0</v>
      </c>
      <c r="S648" s="43">
        <v>0</v>
      </c>
      <c r="T648" s="43">
        <v>0</v>
      </c>
      <c r="U648" s="19" t="s">
        <v>295</v>
      </c>
      <c r="V648" s="13">
        <f t="shared" si="80"/>
        <v>45903.045609852416</v>
      </c>
      <c r="W648" s="13"/>
      <c r="X648" s="13"/>
      <c r="Y648" s="13"/>
      <c r="Z648" s="13"/>
      <c r="AA648" s="22">
        <v>45839</v>
      </c>
      <c r="AB648" s="22" cm="1">
        <f t="array" ref="AB6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48" s="4"/>
      <c r="AD648" s="4"/>
      <c r="AE648" s="2"/>
      <c r="AF648" s="3"/>
      <c r="AG648" s="3"/>
      <c r="AH648" s="3"/>
      <c r="AI648" s="3"/>
      <c r="AJ648" s="2">
        <f t="shared" si="81"/>
        <v>0</v>
      </c>
      <c r="AK648" s="2">
        <f t="shared" si="82"/>
        <v>0</v>
      </c>
      <c r="AL648" s="2">
        <f t="shared" si="79"/>
        <v>0</v>
      </c>
      <c r="AM648" s="88"/>
      <c r="AN648" s="157" t="s">
        <v>774</v>
      </c>
    </row>
    <row r="649" spans="2:40" ht="23.15" customHeight="1" thickBot="1">
      <c r="B649" s="87"/>
      <c r="C649" s="2" t="s">
        <v>292</v>
      </c>
      <c r="D649" s="15" t="s">
        <v>18</v>
      </c>
      <c r="E649" s="20" t="s">
        <v>28</v>
      </c>
      <c r="F649" s="20" t="s">
        <v>112</v>
      </c>
      <c r="G649" s="11">
        <v>6.4409999999999998</v>
      </c>
      <c r="H649" s="11">
        <v>6.4409999999999998</v>
      </c>
      <c r="I649" s="18" t="s">
        <v>294</v>
      </c>
      <c r="J649" s="18" t="s">
        <v>294</v>
      </c>
      <c r="K649" s="19">
        <v>43470.37</v>
      </c>
      <c r="L649" s="41">
        <v>0</v>
      </c>
      <c r="M649" s="41" t="s">
        <v>294</v>
      </c>
      <c r="N649" s="41">
        <v>0</v>
      </c>
      <c r="O649" s="41" t="s">
        <v>294</v>
      </c>
      <c r="P649" s="41" t="s">
        <v>301</v>
      </c>
      <c r="Q649" s="43">
        <v>0</v>
      </c>
      <c r="R649" s="43">
        <v>0</v>
      </c>
      <c r="S649" s="43">
        <v>0</v>
      </c>
      <c r="T649" s="43">
        <v>0</v>
      </c>
      <c r="U649" s="19"/>
      <c r="V649" s="13">
        <f t="shared" si="80"/>
        <v>43470.37</v>
      </c>
      <c r="W649" s="13"/>
      <c r="X649" s="13"/>
      <c r="Y649" s="13"/>
      <c r="Z649" s="13"/>
      <c r="AA649" s="22">
        <v>45658</v>
      </c>
      <c r="AB649" s="22" cm="1">
        <f t="array" ref="AB6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49" s="4"/>
      <c r="AD649" s="4"/>
      <c r="AE649" s="2"/>
      <c r="AF649" s="3"/>
      <c r="AG649" s="3"/>
      <c r="AH649" s="3"/>
      <c r="AI649" s="3"/>
      <c r="AJ649" s="2">
        <f t="shared" si="81"/>
        <v>0</v>
      </c>
      <c r="AK649" s="2">
        <f t="shared" si="82"/>
        <v>0</v>
      </c>
      <c r="AL649" s="2">
        <f t="shared" si="79"/>
        <v>0</v>
      </c>
      <c r="AM649" s="88"/>
      <c r="AN649" s="157" t="s">
        <v>774</v>
      </c>
    </row>
    <row r="650" spans="2:40" ht="23.15" customHeight="1" thickBot="1">
      <c r="B650" s="87"/>
      <c r="C650" s="2" t="s">
        <v>292</v>
      </c>
      <c r="D650" s="15" t="s">
        <v>18</v>
      </c>
      <c r="E650" s="20" t="s">
        <v>28</v>
      </c>
      <c r="F650" s="20" t="s">
        <v>112</v>
      </c>
      <c r="G650" s="11">
        <v>6.4409999999999998</v>
      </c>
      <c r="H650" s="11">
        <v>15</v>
      </c>
      <c r="I650" s="18">
        <v>0</v>
      </c>
      <c r="J650" s="18">
        <v>0</v>
      </c>
      <c r="K650" s="19">
        <v>43470.37</v>
      </c>
      <c r="L650" s="41">
        <v>0</v>
      </c>
      <c r="M650" s="41">
        <v>0</v>
      </c>
      <c r="N650" s="41">
        <v>0</v>
      </c>
      <c r="O650" s="41">
        <v>0</v>
      </c>
      <c r="P650" s="41" t="s">
        <v>301</v>
      </c>
      <c r="Q650" s="43">
        <v>0</v>
      </c>
      <c r="R650" s="43">
        <v>0</v>
      </c>
      <c r="S650" s="43">
        <v>0</v>
      </c>
      <c r="T650" s="43">
        <v>0</v>
      </c>
      <c r="U650" s="19"/>
      <c r="V650" s="13">
        <f t="shared" si="80"/>
        <v>43470.37</v>
      </c>
      <c r="W650" s="13"/>
      <c r="X650" s="13"/>
      <c r="Y650" s="13"/>
      <c r="Z650" s="13"/>
      <c r="AA650" s="22">
        <v>45689</v>
      </c>
      <c r="AB650" s="22" cm="1">
        <f t="array" ref="AB6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50" s="4"/>
      <c r="AD650" s="4"/>
      <c r="AE650" s="2"/>
      <c r="AF650" s="3"/>
      <c r="AG650" s="3"/>
      <c r="AH650" s="3"/>
      <c r="AI650" s="3"/>
      <c r="AJ650" s="2">
        <f t="shared" si="81"/>
        <v>0</v>
      </c>
      <c r="AK650" s="2">
        <f t="shared" si="82"/>
        <v>0</v>
      </c>
      <c r="AL650" s="2">
        <f t="shared" si="79"/>
        <v>0</v>
      </c>
      <c r="AM650" s="88"/>
      <c r="AN650" s="157" t="s">
        <v>774</v>
      </c>
    </row>
    <row r="651" spans="2:40" ht="23.15" customHeight="1" thickBot="1">
      <c r="B651" s="87"/>
      <c r="C651" s="2" t="s">
        <v>295</v>
      </c>
      <c r="D651" s="15" t="s">
        <v>18</v>
      </c>
      <c r="E651" s="20" t="s">
        <v>28</v>
      </c>
      <c r="F651" s="20" t="s">
        <v>112</v>
      </c>
      <c r="G651" s="11">
        <v>6.4409999999999998</v>
      </c>
      <c r="H651" s="11">
        <v>15</v>
      </c>
      <c r="I651" s="18">
        <v>0</v>
      </c>
      <c r="J651" s="18">
        <v>0</v>
      </c>
      <c r="K651" s="19">
        <v>43470.37</v>
      </c>
      <c r="L651" s="41">
        <v>0</v>
      </c>
      <c r="M651" s="41">
        <v>0</v>
      </c>
      <c r="N651" s="41">
        <v>0</v>
      </c>
      <c r="O651" s="41">
        <v>0</v>
      </c>
      <c r="P651" s="41" t="s">
        <v>301</v>
      </c>
      <c r="Q651" s="43">
        <v>0</v>
      </c>
      <c r="R651" s="43">
        <v>0</v>
      </c>
      <c r="S651" s="43">
        <v>0</v>
      </c>
      <c r="T651" s="43">
        <v>0</v>
      </c>
      <c r="U651" s="19"/>
      <c r="V651" s="13">
        <f t="shared" si="80"/>
        <v>43470.37</v>
      </c>
      <c r="W651" s="13"/>
      <c r="X651" s="13"/>
      <c r="Y651" s="13"/>
      <c r="Z651" s="13"/>
      <c r="AA651" s="22">
        <v>45717</v>
      </c>
      <c r="AB651" s="22" cm="1">
        <f t="array" ref="AB6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51" s="4"/>
      <c r="AD651" s="4"/>
      <c r="AE651" s="2"/>
      <c r="AF651" s="3"/>
      <c r="AG651" s="3"/>
      <c r="AH651" s="3"/>
      <c r="AI651" s="3"/>
      <c r="AJ651" s="2">
        <f t="shared" si="81"/>
        <v>0</v>
      </c>
      <c r="AK651" s="2">
        <f t="shared" si="82"/>
        <v>0</v>
      </c>
      <c r="AL651" s="2">
        <f t="shared" si="79"/>
        <v>0</v>
      </c>
      <c r="AM651" s="88"/>
      <c r="AN651" s="157" t="s">
        <v>774</v>
      </c>
    </row>
    <row r="652" spans="2:40" ht="23.15" customHeight="1" thickBot="1">
      <c r="B652" s="87"/>
      <c r="C652" s="2" t="s">
        <v>292</v>
      </c>
      <c r="D652" s="15" t="s">
        <v>18</v>
      </c>
      <c r="E652" s="20" t="s">
        <v>28</v>
      </c>
      <c r="F652" s="20" t="s">
        <v>112</v>
      </c>
      <c r="G652" s="11">
        <v>6.4409999999999998</v>
      </c>
      <c r="H652" s="11">
        <v>15</v>
      </c>
      <c r="I652" s="18" t="s">
        <v>294</v>
      </c>
      <c r="J652" s="18" t="s">
        <v>294</v>
      </c>
      <c r="K652" s="19">
        <v>43470.37</v>
      </c>
      <c r="L652" s="41">
        <v>0</v>
      </c>
      <c r="M652" s="41" t="s">
        <v>294</v>
      </c>
      <c r="N652" s="41">
        <v>0</v>
      </c>
      <c r="O652" s="41" t="s">
        <v>294</v>
      </c>
      <c r="P652" s="41" t="s">
        <v>301</v>
      </c>
      <c r="Q652" s="43">
        <v>0</v>
      </c>
      <c r="R652" s="43">
        <v>0</v>
      </c>
      <c r="S652" s="43">
        <v>0</v>
      </c>
      <c r="T652" s="43">
        <v>0</v>
      </c>
      <c r="U652" s="19" t="s">
        <v>292</v>
      </c>
      <c r="V652" s="13">
        <f t="shared" si="80"/>
        <v>43470.37</v>
      </c>
      <c r="W652" s="13"/>
      <c r="X652" s="13"/>
      <c r="Y652" s="13"/>
      <c r="Z652" s="13"/>
      <c r="AA652" s="22">
        <v>45748</v>
      </c>
      <c r="AB652" s="22" cm="1">
        <f t="array" ref="AB6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52" s="4"/>
      <c r="AD652" s="4"/>
      <c r="AE652" s="2"/>
      <c r="AF652" s="3"/>
      <c r="AG652" s="3"/>
      <c r="AH652" s="3"/>
      <c r="AI652" s="3"/>
      <c r="AJ652" s="2">
        <f t="shared" si="81"/>
        <v>0</v>
      </c>
      <c r="AK652" s="2">
        <f t="shared" si="82"/>
        <v>0</v>
      </c>
      <c r="AL652" s="2">
        <f t="shared" si="79"/>
        <v>0</v>
      </c>
      <c r="AM652" s="88"/>
      <c r="AN652" s="157" t="s">
        <v>774</v>
      </c>
    </row>
    <row r="653" spans="2:40" ht="23.15" customHeight="1" thickBot="1">
      <c r="B653" s="87"/>
      <c r="C653" s="2" t="s">
        <v>292</v>
      </c>
      <c r="D653" s="15" t="s">
        <v>18</v>
      </c>
      <c r="E653" s="20" t="s">
        <v>28</v>
      </c>
      <c r="F653" s="20" t="s">
        <v>112</v>
      </c>
      <c r="G653" s="11">
        <v>6.4409999999999998</v>
      </c>
      <c r="H653" s="11">
        <v>15</v>
      </c>
      <c r="I653" s="41" t="s">
        <v>294</v>
      </c>
      <c r="J653" s="41" t="s">
        <v>294</v>
      </c>
      <c r="K653" s="19">
        <v>43470.37</v>
      </c>
      <c r="L653" s="41">
        <v>0</v>
      </c>
      <c r="M653" s="41" t="s">
        <v>294</v>
      </c>
      <c r="N653" s="41">
        <v>0</v>
      </c>
      <c r="O653" s="41" t="s">
        <v>294</v>
      </c>
      <c r="P653" s="41" t="s">
        <v>293</v>
      </c>
      <c r="Q653" s="43">
        <v>0</v>
      </c>
      <c r="R653" s="43">
        <v>0</v>
      </c>
      <c r="S653" s="43">
        <v>0</v>
      </c>
      <c r="T653" s="43">
        <v>0</v>
      </c>
      <c r="U653" s="19" t="s">
        <v>292</v>
      </c>
      <c r="V653" s="13">
        <f t="shared" si="80"/>
        <v>43470.37</v>
      </c>
      <c r="W653" s="13"/>
      <c r="X653" s="13"/>
      <c r="Y653" s="13"/>
      <c r="Z653" s="13"/>
      <c r="AA653" s="22">
        <v>45778</v>
      </c>
      <c r="AB653" s="22" cm="1">
        <f t="array" ref="AB6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53" s="4"/>
      <c r="AD653" s="4"/>
      <c r="AE653" s="2"/>
      <c r="AF653" s="3"/>
      <c r="AG653" s="3"/>
      <c r="AH653" s="3"/>
      <c r="AI653" s="3"/>
      <c r="AJ653" s="2">
        <f t="shared" si="81"/>
        <v>0</v>
      </c>
      <c r="AK653" s="2">
        <f t="shared" si="82"/>
        <v>0</v>
      </c>
      <c r="AL653" s="2">
        <f t="shared" si="79"/>
        <v>0</v>
      </c>
      <c r="AM653" s="88"/>
      <c r="AN653" s="157" t="s">
        <v>774</v>
      </c>
    </row>
    <row r="654" spans="2:40" ht="23.15" customHeight="1" thickBot="1">
      <c r="B654" s="87"/>
      <c r="C654" s="2" t="s">
        <v>292</v>
      </c>
      <c r="D654" s="15" t="s">
        <v>18</v>
      </c>
      <c r="E654" s="20" t="s">
        <v>28</v>
      </c>
      <c r="F654" s="20" t="s">
        <v>112</v>
      </c>
      <c r="G654" s="11">
        <v>6.4409999999999998</v>
      </c>
      <c r="H654" s="11">
        <v>15</v>
      </c>
      <c r="I654" s="41" t="s">
        <v>294</v>
      </c>
      <c r="J654" s="41" t="s">
        <v>294</v>
      </c>
      <c r="K654" s="19">
        <v>43470.37</v>
      </c>
      <c r="L654" s="41">
        <v>0</v>
      </c>
      <c r="M654" s="41" t="s">
        <v>294</v>
      </c>
      <c r="N654" s="41">
        <v>0</v>
      </c>
      <c r="O654" s="41" t="s">
        <v>294</v>
      </c>
      <c r="P654" s="41" t="s">
        <v>293</v>
      </c>
      <c r="Q654" s="43">
        <v>0</v>
      </c>
      <c r="R654" s="43">
        <v>0</v>
      </c>
      <c r="S654" s="43">
        <v>0</v>
      </c>
      <c r="T654" s="43">
        <v>0</v>
      </c>
      <c r="U654" s="19" t="s">
        <v>292</v>
      </c>
      <c r="V654" s="13">
        <f t="shared" si="80"/>
        <v>43470.37</v>
      </c>
      <c r="W654" s="13"/>
      <c r="X654" s="13"/>
      <c r="Y654" s="13"/>
      <c r="Z654" s="13"/>
      <c r="AA654" s="22">
        <v>45809</v>
      </c>
      <c r="AB654" s="22" cm="1">
        <f t="array" ref="AB6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54" s="4"/>
      <c r="AD654" s="4"/>
      <c r="AE654" s="2"/>
      <c r="AF654" s="3"/>
      <c r="AG654" s="3"/>
      <c r="AH654" s="3"/>
      <c r="AI654" s="3"/>
      <c r="AJ654" s="2">
        <f t="shared" si="81"/>
        <v>0</v>
      </c>
      <c r="AK654" s="2">
        <f t="shared" si="82"/>
        <v>0</v>
      </c>
      <c r="AL654" s="2">
        <f t="shared" si="79"/>
        <v>0</v>
      </c>
      <c r="AM654" s="88"/>
      <c r="AN654" s="157" t="s">
        <v>774</v>
      </c>
    </row>
    <row r="655" spans="2:40" ht="23.15" customHeight="1" thickBot="1">
      <c r="B655" s="87"/>
      <c r="C655" s="2" t="s">
        <v>292</v>
      </c>
      <c r="D655" s="15" t="s">
        <v>18</v>
      </c>
      <c r="E655" s="20" t="s">
        <v>30</v>
      </c>
      <c r="F655" s="20" t="s">
        <v>152</v>
      </c>
      <c r="G655" s="11">
        <v>12</v>
      </c>
      <c r="H655" s="11">
        <v>11</v>
      </c>
      <c r="I655" s="18">
        <v>0</v>
      </c>
      <c r="J655" s="18">
        <v>0</v>
      </c>
      <c r="K655" s="19">
        <v>70372.05</v>
      </c>
      <c r="L655" s="41">
        <v>0</v>
      </c>
      <c r="M655" s="41">
        <v>0</v>
      </c>
      <c r="N655" s="41">
        <v>0</v>
      </c>
      <c r="O655" s="41">
        <v>0</v>
      </c>
      <c r="P655" s="41">
        <v>0</v>
      </c>
      <c r="Q655" s="43">
        <v>0</v>
      </c>
      <c r="R655" s="43">
        <v>0</v>
      </c>
      <c r="S655" s="43">
        <v>0</v>
      </c>
      <c r="T655" s="43">
        <v>0</v>
      </c>
      <c r="U655" s="19" t="s">
        <v>295</v>
      </c>
      <c r="V655" s="13">
        <f t="shared" si="80"/>
        <v>70372.05</v>
      </c>
      <c r="W655" s="13"/>
      <c r="X655" s="13"/>
      <c r="Y655" s="13"/>
      <c r="Z655" s="13"/>
      <c r="AA655" s="22">
        <v>45839</v>
      </c>
      <c r="AB655" s="22" cm="1">
        <f t="array" ref="AB6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55" s="4"/>
      <c r="AD655" s="4"/>
      <c r="AE655" s="2"/>
      <c r="AF655" s="3"/>
      <c r="AG655" s="3"/>
      <c r="AH655" s="3"/>
      <c r="AI655" s="3"/>
      <c r="AJ655" s="2">
        <f t="shared" si="81"/>
        <v>0</v>
      </c>
      <c r="AK655" s="2">
        <f t="shared" si="82"/>
        <v>0</v>
      </c>
      <c r="AL655" s="2">
        <f t="shared" si="79"/>
        <v>0</v>
      </c>
      <c r="AM655" s="88"/>
      <c r="AN655" s="157" t="s">
        <v>774</v>
      </c>
    </row>
    <row r="656" spans="2:40" ht="23.15" customHeight="1" thickBot="1">
      <c r="B656" s="87"/>
      <c r="C656" s="2" t="s">
        <v>292</v>
      </c>
      <c r="D656" s="15" t="s">
        <v>18</v>
      </c>
      <c r="E656" s="20" t="s">
        <v>30</v>
      </c>
      <c r="F656" s="20" t="s">
        <v>152</v>
      </c>
      <c r="G656" s="11">
        <v>12</v>
      </c>
      <c r="H656" s="11">
        <v>12</v>
      </c>
      <c r="I656" s="18" t="s">
        <v>294</v>
      </c>
      <c r="J656" s="18" t="s">
        <v>294</v>
      </c>
      <c r="K656" s="19">
        <v>66255.705900000001</v>
      </c>
      <c r="L656" s="41">
        <v>0</v>
      </c>
      <c r="M656" s="41" t="s">
        <v>294</v>
      </c>
      <c r="N656" s="41">
        <v>0</v>
      </c>
      <c r="O656" s="41" t="s">
        <v>294</v>
      </c>
      <c r="P656" s="41" t="s">
        <v>301</v>
      </c>
      <c r="Q656" s="43">
        <v>0</v>
      </c>
      <c r="R656" s="43">
        <v>0</v>
      </c>
      <c r="S656" s="43">
        <v>0</v>
      </c>
      <c r="T656" s="43">
        <v>0</v>
      </c>
      <c r="U656" s="19"/>
      <c r="V656" s="13">
        <f t="shared" si="80"/>
        <v>66255.705900000001</v>
      </c>
      <c r="W656" s="13"/>
      <c r="X656" s="13"/>
      <c r="Y656" s="13"/>
      <c r="Z656" s="13"/>
      <c r="AA656" s="22">
        <v>45658</v>
      </c>
      <c r="AB656" s="22" cm="1">
        <f t="array" ref="AB6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656" s="4"/>
      <c r="AD656" s="4"/>
      <c r="AE656" s="2"/>
      <c r="AF656" s="3"/>
      <c r="AG656" s="3"/>
      <c r="AH656" s="3"/>
      <c r="AI656" s="3"/>
      <c r="AJ656" s="2">
        <f t="shared" si="81"/>
        <v>0</v>
      </c>
      <c r="AK656" s="2">
        <f t="shared" si="82"/>
        <v>0</v>
      </c>
      <c r="AL656" s="2">
        <f t="shared" si="79"/>
        <v>0</v>
      </c>
      <c r="AM656" s="88"/>
      <c r="AN656" s="157" t="s">
        <v>774</v>
      </c>
    </row>
    <row r="657" spans="2:40" ht="23.15" customHeight="1" thickBot="1">
      <c r="B657" s="87"/>
      <c r="C657" s="2" t="s">
        <v>292</v>
      </c>
      <c r="D657" s="15" t="s">
        <v>18</v>
      </c>
      <c r="E657" s="20" t="s">
        <v>30</v>
      </c>
      <c r="F657" s="20" t="s">
        <v>152</v>
      </c>
      <c r="G657" s="11">
        <v>12</v>
      </c>
      <c r="H657" s="11">
        <v>15</v>
      </c>
      <c r="I657" s="18">
        <v>0</v>
      </c>
      <c r="J657" s="18">
        <v>0</v>
      </c>
      <c r="K657" s="19">
        <v>66255.705900000001</v>
      </c>
      <c r="L657" s="41">
        <v>0</v>
      </c>
      <c r="M657" s="41">
        <v>0</v>
      </c>
      <c r="N657" s="41">
        <v>0</v>
      </c>
      <c r="O657" s="41">
        <v>0</v>
      </c>
      <c r="P657" s="41" t="s">
        <v>301</v>
      </c>
      <c r="Q657" s="43">
        <v>0</v>
      </c>
      <c r="R657" s="43">
        <v>0</v>
      </c>
      <c r="S657" s="43">
        <v>0</v>
      </c>
      <c r="T657" s="43">
        <v>0</v>
      </c>
      <c r="U657" s="19"/>
      <c r="V657" s="13">
        <f t="shared" si="80"/>
        <v>66255.705900000001</v>
      </c>
      <c r="W657" s="13"/>
      <c r="X657" s="13"/>
      <c r="Y657" s="13"/>
      <c r="Z657" s="13"/>
      <c r="AA657" s="22">
        <v>45689</v>
      </c>
      <c r="AB657" s="22" cm="1">
        <f t="array" ref="AB6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57" s="4"/>
      <c r="AD657" s="4"/>
      <c r="AE657" s="2"/>
      <c r="AF657" s="3"/>
      <c r="AG657" s="3"/>
      <c r="AH657" s="3"/>
      <c r="AI657" s="3"/>
      <c r="AJ657" s="2">
        <f t="shared" si="81"/>
        <v>0</v>
      </c>
      <c r="AK657" s="2">
        <f t="shared" si="82"/>
        <v>0</v>
      </c>
      <c r="AL657" s="2">
        <f t="shared" si="79"/>
        <v>0</v>
      </c>
      <c r="AM657" s="88"/>
      <c r="AN657" s="157" t="s">
        <v>774</v>
      </c>
    </row>
    <row r="658" spans="2:40" ht="23.15" customHeight="1" thickBot="1">
      <c r="B658" s="87"/>
      <c r="C658" s="2" t="s">
        <v>295</v>
      </c>
      <c r="D658" s="15" t="s">
        <v>18</v>
      </c>
      <c r="E658" s="20" t="s">
        <v>30</v>
      </c>
      <c r="F658" s="20" t="s">
        <v>152</v>
      </c>
      <c r="G658" s="11">
        <v>12</v>
      </c>
      <c r="H658" s="11">
        <v>15</v>
      </c>
      <c r="I658" s="18">
        <v>0</v>
      </c>
      <c r="J658" s="18">
        <v>0</v>
      </c>
      <c r="K658" s="19">
        <v>66255.705900000001</v>
      </c>
      <c r="L658" s="41">
        <v>0</v>
      </c>
      <c r="M658" s="41">
        <v>0</v>
      </c>
      <c r="N658" s="41">
        <v>0</v>
      </c>
      <c r="O658" s="41">
        <v>0</v>
      </c>
      <c r="P658" s="41" t="s">
        <v>301</v>
      </c>
      <c r="Q658" s="43">
        <v>0</v>
      </c>
      <c r="R658" s="43">
        <v>0</v>
      </c>
      <c r="S658" s="43">
        <v>0</v>
      </c>
      <c r="T658" s="43">
        <v>0</v>
      </c>
      <c r="U658" s="19"/>
      <c r="V658" s="13">
        <f t="shared" si="80"/>
        <v>66255.705900000001</v>
      </c>
      <c r="W658" s="13"/>
      <c r="X658" s="13"/>
      <c r="Y658" s="13"/>
      <c r="Z658" s="13"/>
      <c r="AA658" s="22">
        <v>45717</v>
      </c>
      <c r="AB658" s="22" cm="1">
        <f t="array" ref="AB6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58" s="4"/>
      <c r="AD658" s="4"/>
      <c r="AE658" s="2"/>
      <c r="AF658" s="3"/>
      <c r="AG658" s="3"/>
      <c r="AH658" s="3"/>
      <c r="AI658" s="3"/>
      <c r="AJ658" s="2">
        <f t="shared" si="81"/>
        <v>0</v>
      </c>
      <c r="AK658" s="2">
        <f t="shared" si="82"/>
        <v>0</v>
      </c>
      <c r="AL658" s="2">
        <f t="shared" si="79"/>
        <v>0</v>
      </c>
      <c r="AM658" s="88"/>
      <c r="AN658" s="157" t="s">
        <v>774</v>
      </c>
    </row>
    <row r="659" spans="2:40" ht="23.15" customHeight="1" thickBot="1">
      <c r="B659" s="87"/>
      <c r="C659" s="2" t="s">
        <v>292</v>
      </c>
      <c r="D659" s="15" t="s">
        <v>18</v>
      </c>
      <c r="E659" s="20" t="s">
        <v>30</v>
      </c>
      <c r="F659" s="20" t="s">
        <v>152</v>
      </c>
      <c r="G659" s="11">
        <v>12</v>
      </c>
      <c r="H659" s="11">
        <v>15</v>
      </c>
      <c r="I659" s="18" t="s">
        <v>294</v>
      </c>
      <c r="J659" s="18" t="s">
        <v>294</v>
      </c>
      <c r="K659" s="19">
        <v>66255.705900000001</v>
      </c>
      <c r="L659" s="41">
        <v>0</v>
      </c>
      <c r="M659" s="41" t="s">
        <v>294</v>
      </c>
      <c r="N659" s="41">
        <v>0</v>
      </c>
      <c r="O659" s="41" t="s">
        <v>294</v>
      </c>
      <c r="P659" s="41" t="s">
        <v>301</v>
      </c>
      <c r="Q659" s="43">
        <v>0</v>
      </c>
      <c r="R659" s="43">
        <v>0</v>
      </c>
      <c r="S659" s="43">
        <v>0</v>
      </c>
      <c r="T659" s="43">
        <v>0</v>
      </c>
      <c r="U659" s="19" t="s">
        <v>292</v>
      </c>
      <c r="V659" s="13">
        <f t="shared" si="80"/>
        <v>66255.705900000001</v>
      </c>
      <c r="W659" s="13"/>
      <c r="X659" s="13"/>
      <c r="Y659" s="13"/>
      <c r="Z659" s="13"/>
      <c r="AA659" s="22">
        <v>45748</v>
      </c>
      <c r="AB659" s="22" cm="1">
        <f t="array" ref="AB6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59" s="4"/>
      <c r="AD659" s="4"/>
      <c r="AE659" s="2"/>
      <c r="AF659" s="3"/>
      <c r="AG659" s="3"/>
      <c r="AH659" s="3"/>
      <c r="AI659" s="3"/>
      <c r="AJ659" s="2">
        <f t="shared" si="81"/>
        <v>0</v>
      </c>
      <c r="AK659" s="2">
        <f t="shared" si="82"/>
        <v>0</v>
      </c>
      <c r="AL659" s="2">
        <f t="shared" si="79"/>
        <v>0</v>
      </c>
      <c r="AM659" s="88"/>
      <c r="AN659" s="157" t="s">
        <v>774</v>
      </c>
    </row>
    <row r="660" spans="2:40" ht="23.15" customHeight="1" thickBot="1">
      <c r="B660" s="87"/>
      <c r="C660" s="2" t="s">
        <v>292</v>
      </c>
      <c r="D660" s="15" t="s">
        <v>18</v>
      </c>
      <c r="E660" s="20" t="s">
        <v>30</v>
      </c>
      <c r="F660" s="20" t="s">
        <v>152</v>
      </c>
      <c r="G660" s="11">
        <v>12</v>
      </c>
      <c r="H660" s="11">
        <v>15</v>
      </c>
      <c r="I660" s="18" t="s">
        <v>294</v>
      </c>
      <c r="J660" s="41" t="s">
        <v>294</v>
      </c>
      <c r="K660" s="19">
        <v>66255.705900000001</v>
      </c>
      <c r="L660" s="41">
        <v>0</v>
      </c>
      <c r="M660" s="41" t="s">
        <v>294</v>
      </c>
      <c r="N660" s="41">
        <v>0</v>
      </c>
      <c r="O660" s="41" t="s">
        <v>294</v>
      </c>
      <c r="P660" s="41" t="s">
        <v>293</v>
      </c>
      <c r="Q660" s="43">
        <v>0</v>
      </c>
      <c r="R660" s="43">
        <v>0</v>
      </c>
      <c r="S660" s="43">
        <v>0</v>
      </c>
      <c r="T660" s="43">
        <v>0</v>
      </c>
      <c r="U660" s="19" t="s">
        <v>292</v>
      </c>
      <c r="V660" s="13">
        <f t="shared" si="80"/>
        <v>66255.705900000001</v>
      </c>
      <c r="W660" s="13"/>
      <c r="X660" s="13"/>
      <c r="Y660" s="13"/>
      <c r="Z660" s="13"/>
      <c r="AA660" s="22">
        <v>45778</v>
      </c>
      <c r="AB660" s="22" cm="1">
        <f t="array" ref="AB6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60" s="4"/>
      <c r="AD660" s="4"/>
      <c r="AE660" s="2"/>
      <c r="AF660" s="3"/>
      <c r="AG660" s="3"/>
      <c r="AH660" s="3"/>
      <c r="AI660" s="3"/>
      <c r="AJ660" s="2">
        <f t="shared" si="81"/>
        <v>0</v>
      </c>
      <c r="AK660" s="2">
        <f t="shared" si="82"/>
        <v>0</v>
      </c>
      <c r="AL660" s="2">
        <f t="shared" si="79"/>
        <v>0</v>
      </c>
      <c r="AM660" s="88"/>
      <c r="AN660" s="157" t="s">
        <v>774</v>
      </c>
    </row>
    <row r="661" spans="2:40" ht="23.15" customHeight="1" thickBot="1">
      <c r="B661" s="87"/>
      <c r="C661" s="2" t="s">
        <v>292</v>
      </c>
      <c r="D661" s="15" t="s">
        <v>19</v>
      </c>
      <c r="E661" s="20" t="s">
        <v>161</v>
      </c>
      <c r="F661" s="20" t="s">
        <v>40</v>
      </c>
      <c r="G661" s="11">
        <v>2</v>
      </c>
      <c r="H661" s="11">
        <v>2</v>
      </c>
      <c r="I661" s="18" t="s">
        <v>294</v>
      </c>
      <c r="J661" s="18" t="s">
        <v>294</v>
      </c>
      <c r="K661" s="19">
        <v>13103.564369376998</v>
      </c>
      <c r="L661" s="41">
        <v>0</v>
      </c>
      <c r="M661" s="41" t="s">
        <v>294</v>
      </c>
      <c r="N661" s="41">
        <v>0</v>
      </c>
      <c r="O661" s="41" t="s">
        <v>294</v>
      </c>
      <c r="P661" s="41">
        <v>0</v>
      </c>
      <c r="Q661" s="43">
        <v>0</v>
      </c>
      <c r="R661" s="43">
        <v>0</v>
      </c>
      <c r="S661" s="43">
        <v>0</v>
      </c>
      <c r="T661" s="43">
        <v>0</v>
      </c>
      <c r="U661" s="19" t="s">
        <v>295</v>
      </c>
      <c r="V661" s="13">
        <f t="shared" si="80"/>
        <v>13103.564369376998</v>
      </c>
      <c r="W661" s="13"/>
      <c r="X661" s="13"/>
      <c r="Y661" s="13"/>
      <c r="Z661" s="13"/>
      <c r="AA661" s="22">
        <v>45839</v>
      </c>
      <c r="AB661" s="22" cm="1">
        <f t="array" ref="AB6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61" s="4"/>
      <c r="AD661" s="4"/>
      <c r="AE661" s="2"/>
      <c r="AF661" s="3"/>
      <c r="AG661" s="3"/>
      <c r="AH661" s="3"/>
      <c r="AI661" s="3"/>
      <c r="AJ661" s="2">
        <f t="shared" si="81"/>
        <v>0</v>
      </c>
      <c r="AK661" s="2">
        <f t="shared" si="82"/>
        <v>0</v>
      </c>
      <c r="AL661" s="2">
        <f t="shared" si="79"/>
        <v>0</v>
      </c>
      <c r="AM661" s="88"/>
      <c r="AN661" s="157" t="s">
        <v>774</v>
      </c>
    </row>
    <row r="662" spans="2:40" ht="23.15" customHeight="1" thickBot="1">
      <c r="B662" s="87"/>
      <c r="C662" s="2" t="s">
        <v>292</v>
      </c>
      <c r="D662" s="15" t="s">
        <v>18</v>
      </c>
      <c r="E662" s="20" t="s">
        <v>30</v>
      </c>
      <c r="F662" s="20" t="s">
        <v>152</v>
      </c>
      <c r="G662" s="11">
        <v>12</v>
      </c>
      <c r="H662" s="11">
        <v>15</v>
      </c>
      <c r="I662" s="18" t="s">
        <v>294</v>
      </c>
      <c r="J662" s="41" t="s">
        <v>294</v>
      </c>
      <c r="K662" s="19">
        <v>76294.767404000013</v>
      </c>
      <c r="L662" s="41">
        <v>0</v>
      </c>
      <c r="M662" s="41" t="s">
        <v>294</v>
      </c>
      <c r="N662" s="41">
        <v>0</v>
      </c>
      <c r="O662" s="41" t="s">
        <v>294</v>
      </c>
      <c r="P662" s="41" t="s">
        <v>293</v>
      </c>
      <c r="Q662" s="43">
        <v>0</v>
      </c>
      <c r="R662" s="43">
        <v>0</v>
      </c>
      <c r="S662" s="43">
        <v>0</v>
      </c>
      <c r="T662" s="43">
        <v>0</v>
      </c>
      <c r="U662" s="19" t="s">
        <v>292</v>
      </c>
      <c r="V662" s="13">
        <f t="shared" si="80"/>
        <v>76294.767404000013</v>
      </c>
      <c r="W662" s="13"/>
      <c r="X662" s="13"/>
      <c r="Y662" s="13"/>
      <c r="Z662" s="13"/>
      <c r="AA662" s="22">
        <v>45809</v>
      </c>
      <c r="AB662" s="22" cm="1">
        <f t="array" ref="AB6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62" s="4"/>
      <c r="AD662" s="4"/>
      <c r="AE662" s="2"/>
      <c r="AF662" s="3"/>
      <c r="AG662" s="3"/>
      <c r="AH662" s="3"/>
      <c r="AI662" s="3"/>
      <c r="AJ662" s="2">
        <f t="shared" si="81"/>
        <v>0</v>
      </c>
      <c r="AK662" s="2">
        <f t="shared" si="82"/>
        <v>0</v>
      </c>
      <c r="AL662" s="2">
        <f t="shared" si="79"/>
        <v>0</v>
      </c>
      <c r="AM662" s="88"/>
      <c r="AN662" s="157" t="s">
        <v>774</v>
      </c>
    </row>
    <row r="663" spans="2:40" ht="23.15" customHeight="1" thickBot="1">
      <c r="B663" s="87"/>
      <c r="C663" s="2" t="s">
        <v>292</v>
      </c>
      <c r="D663" s="15" t="s">
        <v>18</v>
      </c>
      <c r="E663" s="20" t="s">
        <v>28</v>
      </c>
      <c r="F663" s="20" t="s">
        <v>112</v>
      </c>
      <c r="G663" s="11">
        <v>6.4409999999999998</v>
      </c>
      <c r="H663" s="11">
        <v>15</v>
      </c>
      <c r="I663" s="18" t="s">
        <v>294</v>
      </c>
      <c r="J663" s="18" t="s">
        <v>294</v>
      </c>
      <c r="K663" s="19">
        <v>45903.045609852416</v>
      </c>
      <c r="L663" s="41">
        <v>0</v>
      </c>
      <c r="M663" s="18" t="s">
        <v>294</v>
      </c>
      <c r="N663" s="41">
        <v>0</v>
      </c>
      <c r="O663" s="41" t="s">
        <v>294</v>
      </c>
      <c r="P663" s="41" t="s">
        <v>301</v>
      </c>
      <c r="Q663" s="43">
        <v>0</v>
      </c>
      <c r="R663" s="43">
        <v>0</v>
      </c>
      <c r="S663" s="43">
        <v>0</v>
      </c>
      <c r="T663" s="43">
        <v>0</v>
      </c>
      <c r="U663" s="19"/>
      <c r="V663" s="13">
        <f>IFERROR((K663+L665+R663+S663+T663+O663)+IF(U663="Sim",P663+Q663,0),(K663+R663+S663+T663)+IF(U663="Sim",P663+Q663,0))</f>
        <v>45903.045609852416</v>
      </c>
      <c r="W663" s="13"/>
      <c r="X663" s="13"/>
      <c r="Y663" s="13"/>
      <c r="Z663" s="13"/>
      <c r="AA663" s="22">
        <v>45870</v>
      </c>
      <c r="AB663" s="22" cm="1">
        <f t="array" ref="AB6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63" s="4"/>
      <c r="AD663" s="4"/>
      <c r="AE663" s="2"/>
      <c r="AF663" s="3"/>
      <c r="AG663" s="3"/>
      <c r="AH663" s="3"/>
      <c r="AI663" s="3"/>
      <c r="AJ663" s="2">
        <f>IFERROR(L663-L665,0)</f>
        <v>0</v>
      </c>
      <c r="AK663" s="2">
        <f t="shared" si="82"/>
        <v>0</v>
      </c>
      <c r="AL663" s="2">
        <f t="shared" si="79"/>
        <v>0</v>
      </c>
      <c r="AM663" s="88"/>
      <c r="AN663" s="157" t="s">
        <v>774</v>
      </c>
    </row>
    <row r="664" spans="2:40" ht="23.15" customHeight="1" thickBot="1">
      <c r="B664" s="87">
        <v>45931</v>
      </c>
      <c r="C664" s="2" t="s">
        <v>295</v>
      </c>
      <c r="D664" s="15" t="s">
        <v>11</v>
      </c>
      <c r="E664" s="20" t="s">
        <v>32</v>
      </c>
      <c r="F664" s="20" t="s">
        <v>40</v>
      </c>
      <c r="G664" s="11">
        <v>18</v>
      </c>
      <c r="H664" s="11">
        <v>18</v>
      </c>
      <c r="I664" s="18">
        <v>0</v>
      </c>
      <c r="J664" s="18">
        <v>0</v>
      </c>
      <c r="K664" s="19">
        <v>125752.91066769751</v>
      </c>
      <c r="L664" s="41">
        <v>0</v>
      </c>
      <c r="M664" s="18">
        <v>0</v>
      </c>
      <c r="N664" s="41"/>
      <c r="O664" s="41">
        <v>0</v>
      </c>
      <c r="P664" s="41">
        <v>0</v>
      </c>
      <c r="Q664" s="43">
        <v>0</v>
      </c>
      <c r="R664" s="41">
        <v>0</v>
      </c>
      <c r="S664" s="43">
        <v>0</v>
      </c>
      <c r="T664" s="43">
        <v>0</v>
      </c>
      <c r="U664" s="19" t="s">
        <v>295</v>
      </c>
      <c r="V664" s="13">
        <f t="shared" ref="V664:V727" si="83">IFERROR((K664+M664+R664+S664+T664+O664)+IF(U664="Sim",P664+Q664,0),(K664+R664+S664+T664)+IF(U664="Sim",P664+Q664,0))</f>
        <v>125752.91066769751</v>
      </c>
      <c r="W664" s="13"/>
      <c r="X664" s="13"/>
      <c r="Y664" s="13"/>
      <c r="Z664" s="13"/>
      <c r="AA664" s="22">
        <v>45901</v>
      </c>
      <c r="AB664" s="22" cm="1">
        <f t="array" ref="AB6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64" s="4"/>
      <c r="AD664" s="4"/>
      <c r="AE664" s="2"/>
      <c r="AF664" s="3"/>
      <c r="AG664" s="3"/>
      <c r="AH664" s="3"/>
      <c r="AI664" s="3"/>
      <c r="AJ664" s="2">
        <f>IFERROR(L664-M664,0)</f>
        <v>0</v>
      </c>
      <c r="AK664" s="2">
        <f t="shared" si="82"/>
        <v>0</v>
      </c>
      <c r="AL664" s="2">
        <f t="shared" si="79"/>
        <v>0</v>
      </c>
      <c r="AM664" s="88"/>
      <c r="AN664" s="157" t="s">
        <v>774</v>
      </c>
    </row>
    <row r="665" spans="2:40" ht="23.15" customHeight="1" thickBot="1">
      <c r="B665" s="87"/>
      <c r="C665" s="2" t="s">
        <v>292</v>
      </c>
      <c r="D665" s="15" t="s">
        <v>18</v>
      </c>
      <c r="E665" s="20" t="s">
        <v>28</v>
      </c>
      <c r="F665" s="20" t="s">
        <v>112</v>
      </c>
      <c r="G665" s="11">
        <v>6.4409999999999998</v>
      </c>
      <c r="H665" s="11"/>
      <c r="I665" s="18" t="s">
        <v>294</v>
      </c>
      <c r="J665" s="18" t="s">
        <v>294</v>
      </c>
      <c r="K665" s="19">
        <v>45903.045609852416</v>
      </c>
      <c r="L665" s="41" t="s">
        <v>294</v>
      </c>
      <c r="M665" s="18" t="s">
        <v>294</v>
      </c>
      <c r="N665" s="41" t="s">
        <v>294</v>
      </c>
      <c r="O665" s="41" t="s">
        <v>294</v>
      </c>
      <c r="P665" s="41" t="s">
        <v>293</v>
      </c>
      <c r="Q665" s="43">
        <v>0</v>
      </c>
      <c r="R665" s="43">
        <v>0</v>
      </c>
      <c r="S665" s="43">
        <v>0</v>
      </c>
      <c r="T665" s="43">
        <v>0</v>
      </c>
      <c r="U665" s="19"/>
      <c r="V665" s="13">
        <f t="shared" si="83"/>
        <v>45903.045609852416</v>
      </c>
      <c r="W665" s="13"/>
      <c r="X665" s="13"/>
      <c r="Y665" s="13"/>
      <c r="Z665" s="13"/>
      <c r="AA665" s="22">
        <v>45901</v>
      </c>
      <c r="AB665" s="22" cm="1">
        <f t="array" ref="AB6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65" s="4"/>
      <c r="AD665" s="4"/>
      <c r="AE665" s="2"/>
      <c r="AF665" s="3"/>
      <c r="AG665" s="3"/>
      <c r="AH665" s="3"/>
      <c r="AI665" s="3"/>
      <c r="AJ665" s="2">
        <f>IFERROR(#REF!-M665,0)</f>
        <v>0</v>
      </c>
      <c r="AK665" s="2">
        <f t="shared" si="82"/>
        <v>0</v>
      </c>
      <c r="AL665" s="2">
        <f t="shared" si="79"/>
        <v>0</v>
      </c>
      <c r="AM665" s="88"/>
      <c r="AN665" s="157" t="s">
        <v>774</v>
      </c>
    </row>
    <row r="666" spans="2:40" ht="23.15" customHeight="1" thickBot="1">
      <c r="B666" s="87"/>
      <c r="C666" s="2" t="s">
        <v>292</v>
      </c>
      <c r="D666" s="15" t="s">
        <v>18</v>
      </c>
      <c r="E666" s="20" t="s">
        <v>28</v>
      </c>
      <c r="F666" s="20" t="s">
        <v>112</v>
      </c>
      <c r="G666" s="11">
        <v>6.4409999999999998</v>
      </c>
      <c r="H666" s="11"/>
      <c r="I666" s="18" t="s">
        <v>294</v>
      </c>
      <c r="J666" s="18" t="s">
        <v>294</v>
      </c>
      <c r="K666" s="19">
        <v>45903.045609852416</v>
      </c>
      <c r="L666" s="41" t="s">
        <v>294</v>
      </c>
      <c r="M666" s="18" t="s">
        <v>294</v>
      </c>
      <c r="N666" s="41" t="s">
        <v>294</v>
      </c>
      <c r="O666" s="41" t="s">
        <v>294</v>
      </c>
      <c r="P666" s="41" t="s">
        <v>293</v>
      </c>
      <c r="Q666" s="43">
        <v>0</v>
      </c>
      <c r="R666" s="43">
        <v>0</v>
      </c>
      <c r="S666" s="43">
        <v>0</v>
      </c>
      <c r="T666" s="43">
        <v>0</v>
      </c>
      <c r="U666" s="19"/>
      <c r="V666" s="13">
        <f t="shared" si="83"/>
        <v>45903.045609852416</v>
      </c>
      <c r="W666" s="13"/>
      <c r="X666" s="13"/>
      <c r="Y666" s="13"/>
      <c r="Z666" s="13"/>
      <c r="AA666" s="22">
        <v>45931</v>
      </c>
      <c r="AB666" s="22" cm="1">
        <f t="array" ref="AB6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66" s="4"/>
      <c r="AD666" s="4"/>
      <c r="AE666" s="2"/>
      <c r="AF666" s="3"/>
      <c r="AG666" s="3"/>
      <c r="AH666" s="3"/>
      <c r="AI666" s="3"/>
      <c r="AJ666" s="2">
        <f t="shared" ref="AJ666:AJ729" si="84">IFERROR(L666-M666,0)</f>
        <v>0</v>
      </c>
      <c r="AK666" s="2">
        <f t="shared" si="82"/>
        <v>0</v>
      </c>
      <c r="AL666" s="2">
        <f t="shared" si="79"/>
        <v>0</v>
      </c>
      <c r="AM666" s="88"/>
      <c r="AN666" s="157" t="s">
        <v>774</v>
      </c>
    </row>
    <row r="667" spans="2:40" ht="23.15" customHeight="1" thickBot="1">
      <c r="B667" s="87"/>
      <c r="C667" s="2"/>
      <c r="D667" s="15" t="s">
        <v>18</v>
      </c>
      <c r="E667" s="20" t="s">
        <v>28</v>
      </c>
      <c r="F667" s="20" t="s">
        <v>112</v>
      </c>
      <c r="G667" s="11">
        <v>6.4409999999999998</v>
      </c>
      <c r="H667" s="11"/>
      <c r="I667" s="18" t="s">
        <v>294</v>
      </c>
      <c r="J667" s="18" t="s">
        <v>294</v>
      </c>
      <c r="K667" s="19"/>
      <c r="L667" s="41" t="s">
        <v>294</v>
      </c>
      <c r="M667" s="18" t="s">
        <v>294</v>
      </c>
      <c r="N667" s="41" t="s">
        <v>294</v>
      </c>
      <c r="O667" s="41" t="s">
        <v>294</v>
      </c>
      <c r="P667" s="41" t="s">
        <v>293</v>
      </c>
      <c r="Q667" s="43">
        <v>0</v>
      </c>
      <c r="R667" s="43">
        <v>0</v>
      </c>
      <c r="S667" s="43">
        <v>0</v>
      </c>
      <c r="T667" s="43">
        <v>0</v>
      </c>
      <c r="U667" s="19"/>
      <c r="V667" s="13">
        <f t="shared" si="83"/>
        <v>0</v>
      </c>
      <c r="W667" s="13"/>
      <c r="X667" s="13"/>
      <c r="Y667" s="13"/>
      <c r="Z667" s="13"/>
      <c r="AA667" s="22">
        <v>45962</v>
      </c>
      <c r="AB667" s="22" cm="1">
        <f t="array" ref="AB6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67" s="4"/>
      <c r="AD667" s="4"/>
      <c r="AE667" s="2"/>
      <c r="AF667" s="3"/>
      <c r="AG667" s="3"/>
      <c r="AH667" s="3"/>
      <c r="AI667" s="3"/>
      <c r="AJ667" s="2">
        <f t="shared" si="84"/>
        <v>0</v>
      </c>
      <c r="AK667" s="2">
        <f t="shared" si="82"/>
        <v>0</v>
      </c>
      <c r="AL667" s="2">
        <f t="shared" si="79"/>
        <v>0</v>
      </c>
      <c r="AM667" s="88"/>
      <c r="AN667" s="157" t="s">
        <v>774</v>
      </c>
    </row>
    <row r="668" spans="2:40" ht="23.15" customHeight="1" thickBot="1">
      <c r="B668" s="87"/>
      <c r="C668" s="2"/>
      <c r="D668" s="15" t="s">
        <v>18</v>
      </c>
      <c r="E668" s="20" t="s">
        <v>28</v>
      </c>
      <c r="F668" s="20" t="s">
        <v>112</v>
      </c>
      <c r="G668" s="11">
        <v>6.4409999999999998</v>
      </c>
      <c r="H668" s="11"/>
      <c r="I668" s="18" t="s">
        <v>294</v>
      </c>
      <c r="J668" s="18" t="s">
        <v>294</v>
      </c>
      <c r="K668" s="19"/>
      <c r="L668" s="41" t="s">
        <v>294</v>
      </c>
      <c r="M668" s="18" t="s">
        <v>294</v>
      </c>
      <c r="N668" s="41" t="s">
        <v>294</v>
      </c>
      <c r="O668" s="41" t="s">
        <v>294</v>
      </c>
      <c r="P668" s="41" t="s">
        <v>293</v>
      </c>
      <c r="Q668" s="43">
        <v>0</v>
      </c>
      <c r="R668" s="43">
        <v>0</v>
      </c>
      <c r="S668" s="43">
        <v>0</v>
      </c>
      <c r="T668" s="43">
        <v>0</v>
      </c>
      <c r="U668" s="19"/>
      <c r="V668" s="13">
        <f t="shared" si="83"/>
        <v>0</v>
      </c>
      <c r="W668" s="13"/>
      <c r="X668" s="13"/>
      <c r="Y668" s="13"/>
      <c r="Z668" s="13"/>
      <c r="AA668" s="22">
        <v>45992</v>
      </c>
      <c r="AB668" s="22" cm="1">
        <f t="array" ref="AB6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68" s="4"/>
      <c r="AD668" s="4"/>
      <c r="AE668" s="2"/>
      <c r="AF668" s="3"/>
      <c r="AG668" s="3"/>
      <c r="AH668" s="3"/>
      <c r="AI668" s="3"/>
      <c r="AJ668" s="2">
        <f t="shared" si="84"/>
        <v>0</v>
      </c>
      <c r="AK668" s="2">
        <f t="shared" si="82"/>
        <v>0</v>
      </c>
      <c r="AL668" s="2">
        <f t="shared" si="79"/>
        <v>0</v>
      </c>
      <c r="AM668" s="88"/>
      <c r="AN668" s="157" t="s">
        <v>774</v>
      </c>
    </row>
    <row r="669" spans="2:40" ht="23.15" customHeight="1" thickBot="1">
      <c r="B669" s="87"/>
      <c r="C669" s="2" t="s">
        <v>292</v>
      </c>
      <c r="D669" s="15" t="s">
        <v>18</v>
      </c>
      <c r="E669" s="20" t="s">
        <v>33</v>
      </c>
      <c r="F669" s="20" t="s">
        <v>137</v>
      </c>
      <c r="G669" s="11">
        <v>1</v>
      </c>
      <c r="H669" s="11">
        <v>1</v>
      </c>
      <c r="I669" s="18" t="s">
        <v>294</v>
      </c>
      <c r="J669" s="18" t="s">
        <v>294</v>
      </c>
      <c r="K669" s="19">
        <v>6250</v>
      </c>
      <c r="L669" s="41">
        <v>0</v>
      </c>
      <c r="M669" s="18" t="s">
        <v>294</v>
      </c>
      <c r="N669" s="41">
        <v>0</v>
      </c>
      <c r="O669" s="41" t="s">
        <v>294</v>
      </c>
      <c r="P669" s="41" t="s">
        <v>301</v>
      </c>
      <c r="Q669" s="43">
        <v>0</v>
      </c>
      <c r="R669" s="43">
        <v>0</v>
      </c>
      <c r="S669" s="43">
        <v>0</v>
      </c>
      <c r="T669" s="43">
        <v>0</v>
      </c>
      <c r="U669" s="19" t="s">
        <v>299</v>
      </c>
      <c r="V669" s="13">
        <f t="shared" si="83"/>
        <v>6250</v>
      </c>
      <c r="W669" s="13"/>
      <c r="X669" s="13"/>
      <c r="Y669" s="13"/>
      <c r="Z669" s="13"/>
      <c r="AA669" s="22">
        <v>45870</v>
      </c>
      <c r="AB669" s="22" cm="1">
        <f t="array" ref="AB6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69" s="4"/>
      <c r="AD669" s="4"/>
      <c r="AE669" s="2"/>
      <c r="AF669" s="3"/>
      <c r="AG669" s="3"/>
      <c r="AH669" s="3"/>
      <c r="AI669" s="3"/>
      <c r="AJ669" s="2">
        <f t="shared" si="84"/>
        <v>0</v>
      </c>
      <c r="AK669" s="2">
        <f t="shared" si="82"/>
        <v>0</v>
      </c>
      <c r="AL669" s="2">
        <f t="shared" si="79"/>
        <v>0</v>
      </c>
      <c r="AM669" s="88"/>
      <c r="AN669" s="157" t="s">
        <v>774</v>
      </c>
    </row>
    <row r="670" spans="2:40" ht="23.15" customHeight="1" thickBot="1">
      <c r="B670" s="87"/>
      <c r="C670" s="2" t="s">
        <v>292</v>
      </c>
      <c r="D670" s="15" t="s">
        <v>18</v>
      </c>
      <c r="E670" s="20" t="s">
        <v>33</v>
      </c>
      <c r="F670" s="20" t="s">
        <v>137</v>
      </c>
      <c r="G670" s="11">
        <v>1</v>
      </c>
      <c r="H670" s="11">
        <v>1</v>
      </c>
      <c r="I670" s="18" t="s">
        <v>294</v>
      </c>
      <c r="J670" s="18" t="s">
        <v>294</v>
      </c>
      <c r="K670" s="19">
        <v>6250</v>
      </c>
      <c r="L670" s="41">
        <v>0</v>
      </c>
      <c r="M670" s="18" t="s">
        <v>294</v>
      </c>
      <c r="N670" s="41">
        <v>0</v>
      </c>
      <c r="O670" s="41" t="s">
        <v>294</v>
      </c>
      <c r="P670" s="41" t="s">
        <v>293</v>
      </c>
      <c r="Q670" s="43">
        <v>0</v>
      </c>
      <c r="R670" s="43">
        <v>0</v>
      </c>
      <c r="S670" s="43">
        <v>0</v>
      </c>
      <c r="T670" s="43">
        <v>0</v>
      </c>
      <c r="U670" s="19"/>
      <c r="V670" s="13">
        <f t="shared" si="83"/>
        <v>6250</v>
      </c>
      <c r="W670" s="13"/>
      <c r="X670" s="13"/>
      <c r="Y670" s="13"/>
      <c r="Z670" s="13"/>
      <c r="AA670" s="22">
        <v>45901</v>
      </c>
      <c r="AB670" s="22" cm="1">
        <f t="array" ref="AB6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70" s="4"/>
      <c r="AD670" s="4"/>
      <c r="AE670" s="2"/>
      <c r="AF670" s="3"/>
      <c r="AG670" s="3"/>
      <c r="AH670" s="3"/>
      <c r="AI670" s="3"/>
      <c r="AJ670" s="2">
        <f t="shared" si="84"/>
        <v>0</v>
      </c>
      <c r="AK670" s="2">
        <f t="shared" si="82"/>
        <v>0</v>
      </c>
      <c r="AL670" s="2">
        <f t="shared" si="79"/>
        <v>0</v>
      </c>
      <c r="AM670" s="88"/>
      <c r="AN670" s="157" t="s">
        <v>774</v>
      </c>
    </row>
    <row r="671" spans="2:40" ht="23.15" customHeight="1" thickBot="1">
      <c r="B671" s="87"/>
      <c r="C671" s="2" t="s">
        <v>292</v>
      </c>
      <c r="D671" s="15" t="s">
        <v>18</v>
      </c>
      <c r="E671" s="20" t="s">
        <v>33</v>
      </c>
      <c r="F671" s="20" t="s">
        <v>137</v>
      </c>
      <c r="G671" s="11">
        <v>1</v>
      </c>
      <c r="H671" s="11"/>
      <c r="I671" s="18" t="s">
        <v>294</v>
      </c>
      <c r="J671" s="18" t="s">
        <v>294</v>
      </c>
      <c r="K671" s="19">
        <v>6250</v>
      </c>
      <c r="L671" s="41" t="s">
        <v>294</v>
      </c>
      <c r="M671" s="18" t="s">
        <v>294</v>
      </c>
      <c r="N671" s="41" t="s">
        <v>294</v>
      </c>
      <c r="O671" s="41" t="s">
        <v>294</v>
      </c>
      <c r="P671" s="41" t="s">
        <v>293</v>
      </c>
      <c r="Q671" s="43">
        <v>0</v>
      </c>
      <c r="R671" s="43">
        <v>0</v>
      </c>
      <c r="S671" s="43">
        <v>0</v>
      </c>
      <c r="T671" s="43">
        <v>0</v>
      </c>
      <c r="U671" s="19"/>
      <c r="V671" s="13">
        <f t="shared" si="83"/>
        <v>6250</v>
      </c>
      <c r="W671" s="13"/>
      <c r="X671" s="13"/>
      <c r="Y671" s="13"/>
      <c r="Z671" s="13"/>
      <c r="AA671" s="22">
        <v>45931</v>
      </c>
      <c r="AB671" s="22" cm="1">
        <f t="array" ref="AB6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71" s="4"/>
      <c r="AD671" s="4"/>
      <c r="AE671" s="2"/>
      <c r="AF671" s="3"/>
      <c r="AG671" s="3"/>
      <c r="AH671" s="3"/>
      <c r="AI671" s="3"/>
      <c r="AJ671" s="2">
        <f t="shared" si="84"/>
        <v>0</v>
      </c>
      <c r="AK671" s="2">
        <f t="shared" si="82"/>
        <v>0</v>
      </c>
      <c r="AL671" s="2">
        <f t="shared" si="79"/>
        <v>0</v>
      </c>
      <c r="AM671" s="88"/>
      <c r="AN671" s="157" t="s">
        <v>774</v>
      </c>
    </row>
    <row r="672" spans="2:40" ht="23.15" customHeight="1" thickBot="1">
      <c r="B672" s="87"/>
      <c r="C672" s="2"/>
      <c r="D672" s="15" t="s">
        <v>18</v>
      </c>
      <c r="E672" s="20" t="s">
        <v>33</v>
      </c>
      <c r="F672" s="20" t="s">
        <v>137</v>
      </c>
      <c r="G672" s="11">
        <v>1</v>
      </c>
      <c r="H672" s="11"/>
      <c r="I672" s="18" t="s">
        <v>294</v>
      </c>
      <c r="J672" s="18" t="s">
        <v>294</v>
      </c>
      <c r="K672" s="19"/>
      <c r="L672" s="41" t="s">
        <v>294</v>
      </c>
      <c r="M672" s="18" t="s">
        <v>294</v>
      </c>
      <c r="N672" s="41" t="s">
        <v>294</v>
      </c>
      <c r="O672" s="41" t="s">
        <v>294</v>
      </c>
      <c r="P672" s="41" t="s">
        <v>293</v>
      </c>
      <c r="Q672" s="43">
        <v>0</v>
      </c>
      <c r="R672" s="43">
        <v>0</v>
      </c>
      <c r="S672" s="43">
        <v>0</v>
      </c>
      <c r="T672" s="43">
        <v>0</v>
      </c>
      <c r="U672" s="19"/>
      <c r="V672" s="13">
        <f t="shared" si="83"/>
        <v>0</v>
      </c>
      <c r="W672" s="13"/>
      <c r="X672" s="13"/>
      <c r="Y672" s="13"/>
      <c r="Z672" s="13"/>
      <c r="AA672" s="22">
        <v>45962</v>
      </c>
      <c r="AB672" s="22" cm="1">
        <f t="array" ref="AB6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72" s="4"/>
      <c r="AD672" s="4"/>
      <c r="AE672" s="2"/>
      <c r="AF672" s="3"/>
      <c r="AG672" s="3"/>
      <c r="AH672" s="3"/>
      <c r="AI672" s="3"/>
      <c r="AJ672" s="2">
        <f t="shared" si="84"/>
        <v>0</v>
      </c>
      <c r="AK672" s="2">
        <f t="shared" si="82"/>
        <v>0</v>
      </c>
      <c r="AL672" s="2">
        <f t="shared" si="79"/>
        <v>0</v>
      </c>
      <c r="AM672" s="88"/>
      <c r="AN672" s="157" t="s">
        <v>774</v>
      </c>
    </row>
    <row r="673" spans="2:40" ht="23.15" customHeight="1" thickBot="1">
      <c r="B673" s="87"/>
      <c r="C673" s="2"/>
      <c r="D673" s="15" t="s">
        <v>18</v>
      </c>
      <c r="E673" s="20" t="s">
        <v>33</v>
      </c>
      <c r="F673" s="20" t="s">
        <v>137</v>
      </c>
      <c r="G673" s="11">
        <v>1</v>
      </c>
      <c r="H673" s="11"/>
      <c r="I673" s="18" t="s">
        <v>294</v>
      </c>
      <c r="J673" s="18" t="s">
        <v>294</v>
      </c>
      <c r="K673" s="19"/>
      <c r="L673" s="41" t="s">
        <v>294</v>
      </c>
      <c r="M673" s="18" t="s">
        <v>294</v>
      </c>
      <c r="N673" s="41" t="s">
        <v>294</v>
      </c>
      <c r="O673" s="41" t="s">
        <v>294</v>
      </c>
      <c r="P673" s="41" t="s">
        <v>293</v>
      </c>
      <c r="Q673" s="43">
        <v>0</v>
      </c>
      <c r="R673" s="43">
        <v>0</v>
      </c>
      <c r="S673" s="43">
        <v>0</v>
      </c>
      <c r="T673" s="43">
        <v>0</v>
      </c>
      <c r="U673" s="19"/>
      <c r="V673" s="13">
        <f t="shared" si="83"/>
        <v>0</v>
      </c>
      <c r="W673" s="13"/>
      <c r="X673" s="13"/>
      <c r="Y673" s="13"/>
      <c r="Z673" s="13"/>
      <c r="AA673" s="22">
        <v>45992</v>
      </c>
      <c r="AB673" s="22" cm="1">
        <f t="array" ref="AB6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73" s="4"/>
      <c r="AD673" s="4"/>
      <c r="AE673" s="2"/>
      <c r="AF673" s="3"/>
      <c r="AG673" s="3"/>
      <c r="AH673" s="3"/>
      <c r="AI673" s="3"/>
      <c r="AJ673" s="2">
        <f t="shared" si="84"/>
        <v>0</v>
      </c>
      <c r="AK673" s="2">
        <f t="shared" si="82"/>
        <v>0</v>
      </c>
      <c r="AL673" s="2">
        <f t="shared" si="79"/>
        <v>0</v>
      </c>
      <c r="AM673" s="88"/>
      <c r="AN673" s="157" t="s">
        <v>774</v>
      </c>
    </row>
    <row r="674" spans="2:40" ht="23.15" customHeight="1" thickBot="1">
      <c r="B674" s="87"/>
      <c r="C674" s="2" t="s">
        <v>292</v>
      </c>
      <c r="D674" s="15" t="s">
        <v>18</v>
      </c>
      <c r="E674" s="20" t="s">
        <v>30</v>
      </c>
      <c r="F674" s="20" t="s">
        <v>152</v>
      </c>
      <c r="G674" s="11">
        <v>12</v>
      </c>
      <c r="H674" s="11">
        <v>11</v>
      </c>
      <c r="I674" s="18" t="s">
        <v>294</v>
      </c>
      <c r="J674" s="18" t="s">
        <v>294</v>
      </c>
      <c r="K674" s="19">
        <v>70372.05</v>
      </c>
      <c r="L674" s="41">
        <v>0</v>
      </c>
      <c r="M674" s="18" t="s">
        <v>294</v>
      </c>
      <c r="N674" s="41">
        <v>0</v>
      </c>
      <c r="O674" s="41" t="s">
        <v>294</v>
      </c>
      <c r="P674" s="41" t="s">
        <v>301</v>
      </c>
      <c r="Q674" s="43">
        <v>0</v>
      </c>
      <c r="R674" s="43">
        <v>0</v>
      </c>
      <c r="S674" s="43">
        <v>0</v>
      </c>
      <c r="T674" s="43">
        <v>0</v>
      </c>
      <c r="U674" s="19"/>
      <c r="V674" s="13">
        <f t="shared" si="83"/>
        <v>70372.05</v>
      </c>
      <c r="W674" s="13"/>
      <c r="X674" s="13"/>
      <c r="Y674" s="13"/>
      <c r="Z674" s="13"/>
      <c r="AA674" s="22">
        <v>45870</v>
      </c>
      <c r="AB674" s="22" cm="1">
        <f t="array" ref="AB6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74" s="4"/>
      <c r="AD674" s="4"/>
      <c r="AE674" s="2"/>
      <c r="AF674" s="3"/>
      <c r="AG674" s="3"/>
      <c r="AH674" s="3"/>
      <c r="AI674" s="3"/>
      <c r="AJ674" s="2">
        <f t="shared" si="84"/>
        <v>0</v>
      </c>
      <c r="AK674" s="2">
        <f t="shared" si="82"/>
        <v>0</v>
      </c>
      <c r="AL674" s="2">
        <f t="shared" si="79"/>
        <v>0</v>
      </c>
      <c r="AM674" s="88"/>
      <c r="AN674" s="157" t="s">
        <v>774</v>
      </c>
    </row>
    <row r="675" spans="2:40" ht="23.15" customHeight="1" thickBot="1">
      <c r="B675" s="87"/>
      <c r="C675" s="2" t="s">
        <v>292</v>
      </c>
      <c r="D675" s="15" t="s">
        <v>18</v>
      </c>
      <c r="E675" s="20" t="s">
        <v>30</v>
      </c>
      <c r="F675" s="20" t="s">
        <v>152</v>
      </c>
      <c r="G675" s="11">
        <v>12</v>
      </c>
      <c r="H675" s="11">
        <v>11</v>
      </c>
      <c r="I675" s="18" t="s">
        <v>294</v>
      </c>
      <c r="J675" s="18" t="s">
        <v>294</v>
      </c>
      <c r="K675" s="19">
        <v>70372.05</v>
      </c>
      <c r="L675" s="41">
        <v>0</v>
      </c>
      <c r="M675" s="18" t="s">
        <v>294</v>
      </c>
      <c r="N675" s="41">
        <v>0</v>
      </c>
      <c r="O675" s="41" t="s">
        <v>294</v>
      </c>
      <c r="P675" s="41" t="s">
        <v>293</v>
      </c>
      <c r="Q675" s="43">
        <v>0</v>
      </c>
      <c r="R675" s="43">
        <v>0</v>
      </c>
      <c r="S675" s="43">
        <v>0</v>
      </c>
      <c r="T675" s="43">
        <v>0</v>
      </c>
      <c r="U675" s="19"/>
      <c r="V675" s="13">
        <f t="shared" si="83"/>
        <v>70372.05</v>
      </c>
      <c r="W675" s="13"/>
      <c r="X675" s="13"/>
      <c r="Y675" s="13"/>
      <c r="Z675" s="13"/>
      <c r="AA675" s="22">
        <v>45901</v>
      </c>
      <c r="AB675" s="22" cm="1">
        <f t="array" ref="AB6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75" s="4"/>
      <c r="AD675" s="4"/>
      <c r="AE675" s="2"/>
      <c r="AF675" s="3"/>
      <c r="AG675" s="3"/>
      <c r="AH675" s="3"/>
      <c r="AI675" s="3"/>
      <c r="AJ675" s="2">
        <f t="shared" si="84"/>
        <v>0</v>
      </c>
      <c r="AK675" s="2">
        <f t="shared" si="82"/>
        <v>0</v>
      </c>
      <c r="AL675" s="2">
        <f t="shared" si="79"/>
        <v>0</v>
      </c>
      <c r="AM675" s="88"/>
      <c r="AN675" s="157" t="s">
        <v>774</v>
      </c>
    </row>
    <row r="676" spans="2:40" ht="23.15" customHeight="1" thickBot="1">
      <c r="B676" s="87"/>
      <c r="C676" s="2" t="s">
        <v>292</v>
      </c>
      <c r="D676" s="15" t="s">
        <v>18</v>
      </c>
      <c r="E676" s="20" t="s">
        <v>30</v>
      </c>
      <c r="F676" s="20" t="s">
        <v>152</v>
      </c>
      <c r="G676" s="11">
        <v>12</v>
      </c>
      <c r="H676" s="11"/>
      <c r="I676" s="18" t="s">
        <v>294</v>
      </c>
      <c r="J676" s="18" t="s">
        <v>294</v>
      </c>
      <c r="K676" s="19">
        <v>70372.05</v>
      </c>
      <c r="L676" s="41" t="s">
        <v>294</v>
      </c>
      <c r="M676" s="18" t="s">
        <v>294</v>
      </c>
      <c r="N676" s="41" t="s">
        <v>294</v>
      </c>
      <c r="O676" s="41" t="s">
        <v>294</v>
      </c>
      <c r="P676" s="41" t="s">
        <v>293</v>
      </c>
      <c r="Q676" s="43">
        <v>0</v>
      </c>
      <c r="R676" s="43">
        <v>0</v>
      </c>
      <c r="S676" s="43">
        <v>0</v>
      </c>
      <c r="T676" s="43">
        <v>0</v>
      </c>
      <c r="U676" s="19"/>
      <c r="V676" s="13">
        <f t="shared" si="83"/>
        <v>70372.05</v>
      </c>
      <c r="W676" s="13"/>
      <c r="X676" s="13"/>
      <c r="Y676" s="13"/>
      <c r="Z676" s="13"/>
      <c r="AA676" s="22">
        <v>45931</v>
      </c>
      <c r="AB676" s="22" cm="1">
        <f t="array" ref="AB6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76" s="4"/>
      <c r="AD676" s="4"/>
      <c r="AE676" s="2"/>
      <c r="AF676" s="3"/>
      <c r="AG676" s="3"/>
      <c r="AH676" s="3"/>
      <c r="AI676" s="3"/>
      <c r="AJ676" s="2">
        <f t="shared" si="84"/>
        <v>0</v>
      </c>
      <c r="AK676" s="2">
        <f t="shared" si="82"/>
        <v>0</v>
      </c>
      <c r="AL676" s="2">
        <f t="shared" si="79"/>
        <v>0</v>
      </c>
      <c r="AM676" s="88"/>
      <c r="AN676" s="157" t="s">
        <v>774</v>
      </c>
    </row>
    <row r="677" spans="2:40" ht="23.15" customHeight="1" thickBot="1">
      <c r="B677" s="87"/>
      <c r="C677" s="2"/>
      <c r="D677" s="15" t="s">
        <v>18</v>
      </c>
      <c r="E677" s="20" t="s">
        <v>30</v>
      </c>
      <c r="F677" s="20" t="s">
        <v>152</v>
      </c>
      <c r="G677" s="11">
        <v>12</v>
      </c>
      <c r="H677" s="11"/>
      <c r="I677" s="18" t="s">
        <v>294</v>
      </c>
      <c r="J677" s="18" t="s">
        <v>294</v>
      </c>
      <c r="K677" s="19"/>
      <c r="L677" s="41" t="s">
        <v>294</v>
      </c>
      <c r="M677" s="18" t="s">
        <v>294</v>
      </c>
      <c r="N677" s="41" t="s">
        <v>294</v>
      </c>
      <c r="O677" s="41" t="s">
        <v>294</v>
      </c>
      <c r="P677" s="41" t="s">
        <v>293</v>
      </c>
      <c r="Q677" s="43">
        <v>0</v>
      </c>
      <c r="R677" s="43">
        <v>0</v>
      </c>
      <c r="S677" s="43">
        <v>0</v>
      </c>
      <c r="T677" s="43">
        <v>0</v>
      </c>
      <c r="U677" s="19"/>
      <c r="V677" s="13">
        <f t="shared" si="83"/>
        <v>0</v>
      </c>
      <c r="W677" s="13"/>
      <c r="X677" s="13"/>
      <c r="Y677" s="13"/>
      <c r="Z677" s="13"/>
      <c r="AA677" s="22">
        <v>45962</v>
      </c>
      <c r="AB677" s="22" cm="1">
        <f t="array" ref="AB6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77" s="4"/>
      <c r="AD677" s="4"/>
      <c r="AE677" s="2"/>
      <c r="AF677" s="3"/>
      <c r="AG677" s="3"/>
      <c r="AH677" s="3"/>
      <c r="AI677" s="3"/>
      <c r="AJ677" s="2">
        <f t="shared" si="84"/>
        <v>0</v>
      </c>
      <c r="AK677" s="2">
        <f t="shared" si="82"/>
        <v>0</v>
      </c>
      <c r="AL677" s="2">
        <f t="shared" si="79"/>
        <v>0</v>
      </c>
      <c r="AM677" s="88"/>
      <c r="AN677" s="157" t="s">
        <v>774</v>
      </c>
    </row>
    <row r="678" spans="2:40" ht="23.15" customHeight="1" thickBot="1">
      <c r="B678" s="87"/>
      <c r="C678" s="2"/>
      <c r="D678" s="15" t="s">
        <v>18</v>
      </c>
      <c r="E678" s="20" t="s">
        <v>30</v>
      </c>
      <c r="F678" s="20" t="s">
        <v>152</v>
      </c>
      <c r="G678" s="11">
        <v>12</v>
      </c>
      <c r="H678" s="11"/>
      <c r="I678" s="18" t="s">
        <v>294</v>
      </c>
      <c r="J678" s="18" t="s">
        <v>294</v>
      </c>
      <c r="K678" s="19"/>
      <c r="L678" s="41" t="s">
        <v>294</v>
      </c>
      <c r="M678" s="18" t="s">
        <v>294</v>
      </c>
      <c r="N678" s="41" t="s">
        <v>294</v>
      </c>
      <c r="O678" s="41" t="s">
        <v>294</v>
      </c>
      <c r="P678" s="41" t="s">
        <v>293</v>
      </c>
      <c r="Q678" s="43">
        <v>0</v>
      </c>
      <c r="R678" s="43">
        <v>0</v>
      </c>
      <c r="S678" s="43">
        <v>0</v>
      </c>
      <c r="T678" s="43">
        <v>0</v>
      </c>
      <c r="U678" s="19"/>
      <c r="V678" s="13">
        <f t="shared" si="83"/>
        <v>0</v>
      </c>
      <c r="W678" s="13"/>
      <c r="X678" s="13"/>
      <c r="Y678" s="13"/>
      <c r="Z678" s="13"/>
      <c r="AA678" s="22">
        <v>45992</v>
      </c>
      <c r="AB678" s="22" cm="1">
        <f t="array" ref="AB6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78" s="4"/>
      <c r="AD678" s="4"/>
      <c r="AE678" s="2"/>
      <c r="AF678" s="3"/>
      <c r="AG678" s="3"/>
      <c r="AH678" s="3"/>
      <c r="AI678" s="3"/>
      <c r="AJ678" s="2">
        <f t="shared" si="84"/>
        <v>0</v>
      </c>
      <c r="AK678" s="2">
        <f t="shared" si="82"/>
        <v>0</v>
      </c>
      <c r="AL678" s="2">
        <f t="shared" si="79"/>
        <v>0</v>
      </c>
      <c r="AM678" s="88"/>
      <c r="AN678" s="157" t="s">
        <v>774</v>
      </c>
    </row>
    <row r="679" spans="2:40" ht="23.15" customHeight="1" thickBot="1">
      <c r="B679" s="87"/>
      <c r="C679" s="2" t="s">
        <v>292</v>
      </c>
      <c r="D679" s="15" t="s">
        <v>18</v>
      </c>
      <c r="E679" s="20" t="s">
        <v>31</v>
      </c>
      <c r="F679" s="20" t="s">
        <v>141</v>
      </c>
      <c r="G679" s="11">
        <v>10</v>
      </c>
      <c r="H679" s="11">
        <v>10</v>
      </c>
      <c r="I679" s="18" t="s">
        <v>294</v>
      </c>
      <c r="J679" s="18" t="s">
        <v>294</v>
      </c>
      <c r="K679" s="19">
        <v>37998.980000000003</v>
      </c>
      <c r="L679" s="41">
        <v>0</v>
      </c>
      <c r="M679" s="18" t="s">
        <v>294</v>
      </c>
      <c r="N679" s="41">
        <v>0</v>
      </c>
      <c r="O679" s="41" t="s">
        <v>294</v>
      </c>
      <c r="P679" s="41" t="s">
        <v>301</v>
      </c>
      <c r="Q679" s="43">
        <v>0</v>
      </c>
      <c r="R679" s="43">
        <v>0</v>
      </c>
      <c r="S679" s="43">
        <v>0</v>
      </c>
      <c r="T679" s="43">
        <v>0</v>
      </c>
      <c r="U679" s="19"/>
      <c r="V679" s="13">
        <f t="shared" si="83"/>
        <v>37998.980000000003</v>
      </c>
      <c r="W679" s="13"/>
      <c r="X679" s="13"/>
      <c r="Y679" s="13"/>
      <c r="Z679" s="13"/>
      <c r="AA679" s="22">
        <v>45870</v>
      </c>
      <c r="AB679" s="22" cm="1">
        <f t="array" ref="AB6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79" s="4"/>
      <c r="AD679" s="4"/>
      <c r="AE679" s="2"/>
      <c r="AF679" s="3"/>
      <c r="AG679" s="3"/>
      <c r="AH679" s="3"/>
      <c r="AI679" s="3"/>
      <c r="AJ679" s="2">
        <f t="shared" si="84"/>
        <v>0</v>
      </c>
      <c r="AK679" s="2">
        <f t="shared" si="82"/>
        <v>0</v>
      </c>
      <c r="AL679" s="2">
        <f t="shared" si="79"/>
        <v>0</v>
      </c>
      <c r="AM679" s="88"/>
      <c r="AN679" s="157" t="s">
        <v>774</v>
      </c>
    </row>
    <row r="680" spans="2:40" ht="23.15" customHeight="1" thickBot="1">
      <c r="B680" s="87"/>
      <c r="C680" s="2" t="s">
        <v>292</v>
      </c>
      <c r="D680" s="15" t="s">
        <v>18</v>
      </c>
      <c r="E680" s="20" t="s">
        <v>31</v>
      </c>
      <c r="F680" s="20" t="s">
        <v>141</v>
      </c>
      <c r="G680" s="11">
        <v>10</v>
      </c>
      <c r="H680" s="11"/>
      <c r="I680" s="18" t="s">
        <v>294</v>
      </c>
      <c r="J680" s="18" t="s">
        <v>294</v>
      </c>
      <c r="K680" s="19">
        <v>37998.980000000003</v>
      </c>
      <c r="L680" s="41" t="s">
        <v>294</v>
      </c>
      <c r="M680" s="18" t="s">
        <v>294</v>
      </c>
      <c r="N680" s="41" t="s">
        <v>294</v>
      </c>
      <c r="O680" s="41" t="s">
        <v>294</v>
      </c>
      <c r="P680" s="41" t="s">
        <v>293</v>
      </c>
      <c r="Q680" s="43">
        <v>0</v>
      </c>
      <c r="R680" s="43">
        <v>0</v>
      </c>
      <c r="S680" s="43">
        <v>0</v>
      </c>
      <c r="T680" s="43">
        <v>0</v>
      </c>
      <c r="U680" s="19"/>
      <c r="V680" s="13">
        <f t="shared" si="83"/>
        <v>37998.980000000003</v>
      </c>
      <c r="W680" s="13"/>
      <c r="X680" s="13"/>
      <c r="Y680" s="13"/>
      <c r="Z680" s="13"/>
      <c r="AA680" s="22">
        <v>45901</v>
      </c>
      <c r="AB680" s="22" cm="1">
        <f t="array" ref="AB6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80" s="4"/>
      <c r="AD680" s="4"/>
      <c r="AE680" s="2"/>
      <c r="AF680" s="3"/>
      <c r="AG680" s="3"/>
      <c r="AH680" s="3"/>
      <c r="AI680" s="3"/>
      <c r="AJ680" s="2">
        <f t="shared" si="84"/>
        <v>0</v>
      </c>
      <c r="AK680" s="2">
        <f t="shared" si="82"/>
        <v>0</v>
      </c>
      <c r="AL680" s="2">
        <f t="shared" ref="AL680:AL743" si="85">K680-V680</f>
        <v>0</v>
      </c>
      <c r="AM680" s="88"/>
      <c r="AN680" s="157" t="s">
        <v>774</v>
      </c>
    </row>
    <row r="681" spans="2:40" ht="23.15" customHeight="1" thickBot="1">
      <c r="B681" s="87"/>
      <c r="C681" s="2" t="s">
        <v>292</v>
      </c>
      <c r="D681" s="15" t="s">
        <v>18</v>
      </c>
      <c r="E681" s="20" t="s">
        <v>31</v>
      </c>
      <c r="F681" s="20" t="s">
        <v>141</v>
      </c>
      <c r="G681" s="11">
        <v>10</v>
      </c>
      <c r="H681" s="11"/>
      <c r="I681" s="18" t="s">
        <v>294</v>
      </c>
      <c r="J681" s="18" t="s">
        <v>294</v>
      </c>
      <c r="K681" s="19">
        <v>37998.980000000003</v>
      </c>
      <c r="L681" s="41" t="s">
        <v>294</v>
      </c>
      <c r="M681" s="18" t="s">
        <v>294</v>
      </c>
      <c r="N681" s="41" t="s">
        <v>294</v>
      </c>
      <c r="O681" s="41" t="s">
        <v>294</v>
      </c>
      <c r="P681" s="41" t="s">
        <v>293</v>
      </c>
      <c r="Q681" s="43">
        <v>0</v>
      </c>
      <c r="R681" s="43">
        <v>0</v>
      </c>
      <c r="S681" s="43">
        <v>0</v>
      </c>
      <c r="T681" s="41">
        <v>0</v>
      </c>
      <c r="U681" s="19"/>
      <c r="V681" s="13">
        <f t="shared" si="83"/>
        <v>37998.980000000003</v>
      </c>
      <c r="W681" s="13"/>
      <c r="X681" s="13"/>
      <c r="Y681" s="13"/>
      <c r="Z681" s="13"/>
      <c r="AA681" s="22">
        <v>45931</v>
      </c>
      <c r="AB681" s="22" cm="1">
        <f t="array" ref="AB6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81" s="4"/>
      <c r="AD681" s="4"/>
      <c r="AE681" s="2"/>
      <c r="AF681" s="3"/>
      <c r="AG681" s="3"/>
      <c r="AH681" s="3"/>
      <c r="AI681" s="3"/>
      <c r="AJ681" s="2">
        <f t="shared" si="84"/>
        <v>0</v>
      </c>
      <c r="AK681" s="2">
        <f t="shared" si="82"/>
        <v>0</v>
      </c>
      <c r="AL681" s="2">
        <f t="shared" si="85"/>
        <v>0</v>
      </c>
      <c r="AM681" s="88"/>
      <c r="AN681" s="157" t="s">
        <v>774</v>
      </c>
    </row>
    <row r="682" spans="2:40" ht="23.15" customHeight="1" thickBot="1">
      <c r="B682" s="87"/>
      <c r="C682" s="2"/>
      <c r="D682" s="15" t="s">
        <v>18</v>
      </c>
      <c r="E682" s="20" t="s">
        <v>31</v>
      </c>
      <c r="F682" s="20" t="s">
        <v>141</v>
      </c>
      <c r="G682" s="11">
        <v>10</v>
      </c>
      <c r="H682" s="11"/>
      <c r="I682" s="18" t="s">
        <v>294</v>
      </c>
      <c r="J682" s="18" t="s">
        <v>294</v>
      </c>
      <c r="K682" s="19"/>
      <c r="L682" s="41" t="s">
        <v>294</v>
      </c>
      <c r="M682" s="18" t="s">
        <v>294</v>
      </c>
      <c r="N682" s="41" t="s">
        <v>294</v>
      </c>
      <c r="O682" s="41" t="s">
        <v>294</v>
      </c>
      <c r="P682" s="41" t="s">
        <v>293</v>
      </c>
      <c r="Q682" s="43">
        <v>0</v>
      </c>
      <c r="R682" s="43">
        <v>0</v>
      </c>
      <c r="S682" s="43">
        <v>0</v>
      </c>
      <c r="T682" s="43">
        <v>0</v>
      </c>
      <c r="U682" s="19"/>
      <c r="V682" s="13">
        <f t="shared" si="83"/>
        <v>0</v>
      </c>
      <c r="W682" s="13"/>
      <c r="X682" s="13"/>
      <c r="Y682" s="13"/>
      <c r="Z682" s="13"/>
      <c r="AA682" s="22">
        <v>45962</v>
      </c>
      <c r="AB682" s="22" cm="1">
        <f t="array" ref="AB6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82" s="4"/>
      <c r="AD682" s="4"/>
      <c r="AE682" s="2"/>
      <c r="AF682" s="3"/>
      <c r="AG682" s="3"/>
      <c r="AH682" s="3"/>
      <c r="AI682" s="3"/>
      <c r="AJ682" s="2">
        <f t="shared" si="84"/>
        <v>0</v>
      </c>
      <c r="AK682" s="2">
        <f t="shared" si="82"/>
        <v>0</v>
      </c>
      <c r="AL682" s="2">
        <f t="shared" si="85"/>
        <v>0</v>
      </c>
      <c r="AM682" s="88"/>
      <c r="AN682" s="157" t="s">
        <v>774</v>
      </c>
    </row>
    <row r="683" spans="2:40" ht="23.15" customHeight="1" thickBot="1">
      <c r="B683" s="87"/>
      <c r="C683" s="2"/>
      <c r="D683" s="15" t="s">
        <v>18</v>
      </c>
      <c r="E683" s="20" t="s">
        <v>31</v>
      </c>
      <c r="F683" s="20" t="s">
        <v>141</v>
      </c>
      <c r="G683" s="11">
        <v>10</v>
      </c>
      <c r="H683" s="11"/>
      <c r="I683" s="18" t="s">
        <v>294</v>
      </c>
      <c r="J683" s="18" t="s">
        <v>294</v>
      </c>
      <c r="K683" s="19"/>
      <c r="L683" s="41" t="s">
        <v>294</v>
      </c>
      <c r="M683" s="18" t="s">
        <v>294</v>
      </c>
      <c r="N683" s="41" t="s">
        <v>294</v>
      </c>
      <c r="O683" s="41" t="s">
        <v>294</v>
      </c>
      <c r="P683" s="41" t="s">
        <v>293</v>
      </c>
      <c r="Q683" s="41">
        <v>0</v>
      </c>
      <c r="R683" s="43">
        <v>0</v>
      </c>
      <c r="S683" s="43">
        <v>0</v>
      </c>
      <c r="T683" s="41">
        <v>0</v>
      </c>
      <c r="U683" s="19"/>
      <c r="V683" s="13">
        <f t="shared" si="83"/>
        <v>0</v>
      </c>
      <c r="W683" s="13"/>
      <c r="X683" s="13"/>
      <c r="Y683" s="13"/>
      <c r="Z683" s="13"/>
      <c r="AA683" s="22">
        <v>45992</v>
      </c>
      <c r="AB683" s="22" cm="1">
        <f t="array" ref="AB6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83" s="4"/>
      <c r="AD683" s="4"/>
      <c r="AE683" s="2"/>
      <c r="AF683" s="3"/>
      <c r="AG683" s="3"/>
      <c r="AH683" s="3"/>
      <c r="AI683" s="3"/>
      <c r="AJ683" s="2">
        <f t="shared" si="84"/>
        <v>0</v>
      </c>
      <c r="AK683" s="2">
        <f t="shared" si="82"/>
        <v>0</v>
      </c>
      <c r="AL683" s="2">
        <f t="shared" si="85"/>
        <v>0</v>
      </c>
      <c r="AM683" s="88"/>
      <c r="AN683" s="157" t="s">
        <v>774</v>
      </c>
    </row>
    <row r="684" spans="2:40" ht="23.15" customHeight="1" thickBot="1">
      <c r="B684" s="87"/>
      <c r="C684" s="2" t="s">
        <v>292</v>
      </c>
      <c r="D684" s="15" t="s">
        <v>19</v>
      </c>
      <c r="E684" s="20" t="s">
        <v>161</v>
      </c>
      <c r="F684" s="20" t="s">
        <v>40</v>
      </c>
      <c r="G684" s="11">
        <v>2</v>
      </c>
      <c r="H684" s="11">
        <v>2</v>
      </c>
      <c r="I684" s="18" t="s">
        <v>294</v>
      </c>
      <c r="J684" s="18" t="s">
        <v>294</v>
      </c>
      <c r="K684" s="19">
        <v>12445.05</v>
      </c>
      <c r="L684" s="41">
        <v>0</v>
      </c>
      <c r="M684" s="41" t="s">
        <v>294</v>
      </c>
      <c r="N684" s="41">
        <v>0</v>
      </c>
      <c r="O684" s="41" t="s">
        <v>294</v>
      </c>
      <c r="P684" s="41">
        <v>0</v>
      </c>
      <c r="Q684" s="43">
        <v>0</v>
      </c>
      <c r="R684" s="43">
        <v>0</v>
      </c>
      <c r="S684" s="43">
        <v>0</v>
      </c>
      <c r="T684" s="43">
        <v>0</v>
      </c>
      <c r="U684" s="19"/>
      <c r="V684" s="13">
        <f t="shared" si="83"/>
        <v>12445.05</v>
      </c>
      <c r="W684" s="13"/>
      <c r="X684" s="13"/>
      <c r="Y684" s="13"/>
      <c r="Z684" s="13"/>
      <c r="AA684" s="22">
        <v>45658</v>
      </c>
      <c r="AB684" s="22" cm="1">
        <f t="array" ref="AB6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84" s="4"/>
      <c r="AD684" s="4"/>
      <c r="AE684" s="2"/>
      <c r="AF684" s="3"/>
      <c r="AG684" s="3"/>
      <c r="AH684" s="3"/>
      <c r="AI684" s="3"/>
      <c r="AJ684" s="2">
        <f t="shared" si="84"/>
        <v>0</v>
      </c>
      <c r="AK684" s="2">
        <f t="shared" si="82"/>
        <v>0</v>
      </c>
      <c r="AL684" s="2">
        <f t="shared" si="85"/>
        <v>0</v>
      </c>
      <c r="AM684" s="88"/>
      <c r="AN684" s="157" t="s">
        <v>774</v>
      </c>
    </row>
    <row r="685" spans="2:40" ht="23.15" customHeight="1" thickBot="1">
      <c r="B685" s="87"/>
      <c r="C685" s="2" t="s">
        <v>292</v>
      </c>
      <c r="D685" s="15" t="s">
        <v>19</v>
      </c>
      <c r="E685" s="20" t="s">
        <v>161</v>
      </c>
      <c r="F685" s="20" t="s">
        <v>40</v>
      </c>
      <c r="G685" s="11">
        <v>2</v>
      </c>
      <c r="H685" s="11">
        <v>2</v>
      </c>
      <c r="I685" s="18" t="s">
        <v>294</v>
      </c>
      <c r="J685" s="18" t="s">
        <v>294</v>
      </c>
      <c r="K685" s="19">
        <v>12445.05</v>
      </c>
      <c r="L685" s="41">
        <v>0</v>
      </c>
      <c r="M685" s="41" t="s">
        <v>294</v>
      </c>
      <c r="N685" s="41">
        <v>0</v>
      </c>
      <c r="O685" s="41" t="s">
        <v>294</v>
      </c>
      <c r="P685" s="41">
        <v>0</v>
      </c>
      <c r="Q685" s="43">
        <v>0</v>
      </c>
      <c r="R685" s="43">
        <v>0</v>
      </c>
      <c r="S685" s="43">
        <v>0</v>
      </c>
      <c r="T685" s="43">
        <v>0</v>
      </c>
      <c r="U685" s="19" t="s">
        <v>295</v>
      </c>
      <c r="V685" s="13">
        <f t="shared" si="83"/>
        <v>12445.05</v>
      </c>
      <c r="W685" s="13"/>
      <c r="X685" s="13"/>
      <c r="Y685" s="13"/>
      <c r="Z685" s="13"/>
      <c r="AA685" s="22">
        <v>45689</v>
      </c>
      <c r="AB685" s="22" cm="1">
        <f t="array" ref="AB6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85" s="4"/>
      <c r="AD685" s="4"/>
      <c r="AE685" s="2"/>
      <c r="AF685" s="3"/>
      <c r="AG685" s="3"/>
      <c r="AH685" s="3"/>
      <c r="AI685" s="3"/>
      <c r="AJ685" s="2">
        <f t="shared" si="84"/>
        <v>0</v>
      </c>
      <c r="AK685" s="2">
        <f t="shared" si="82"/>
        <v>0</v>
      </c>
      <c r="AL685" s="2">
        <f t="shared" si="85"/>
        <v>0</v>
      </c>
      <c r="AM685" s="88"/>
      <c r="AN685" s="157" t="s">
        <v>774</v>
      </c>
    </row>
    <row r="686" spans="2:40" ht="23.15" customHeight="1" thickBot="1">
      <c r="B686" s="87"/>
      <c r="C686" s="2" t="s">
        <v>292</v>
      </c>
      <c r="D686" s="15" t="s">
        <v>19</v>
      </c>
      <c r="E686" s="20" t="s">
        <v>161</v>
      </c>
      <c r="F686" s="20" t="s">
        <v>40</v>
      </c>
      <c r="G686" s="11">
        <v>2</v>
      </c>
      <c r="H686" s="11">
        <v>2</v>
      </c>
      <c r="I686" s="18" t="s">
        <v>294</v>
      </c>
      <c r="J686" s="18" t="s">
        <v>294</v>
      </c>
      <c r="K686" s="19">
        <v>12445.05</v>
      </c>
      <c r="L686" s="41">
        <v>0</v>
      </c>
      <c r="M686" s="41" t="s">
        <v>294</v>
      </c>
      <c r="N686" s="41">
        <v>0</v>
      </c>
      <c r="O686" s="41" t="s">
        <v>294</v>
      </c>
      <c r="P686" s="41">
        <v>0</v>
      </c>
      <c r="Q686" s="43">
        <v>0</v>
      </c>
      <c r="R686" s="43">
        <v>0</v>
      </c>
      <c r="S686" s="43">
        <v>0</v>
      </c>
      <c r="T686" s="43">
        <v>0</v>
      </c>
      <c r="U686" s="19"/>
      <c r="V686" s="13">
        <f t="shared" si="83"/>
        <v>12445.05</v>
      </c>
      <c r="W686" s="13"/>
      <c r="X686" s="13"/>
      <c r="Y686" s="13"/>
      <c r="Z686" s="13"/>
      <c r="AA686" s="22">
        <v>45717</v>
      </c>
      <c r="AB686" s="22" cm="1">
        <f t="array" ref="AB6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86" s="4"/>
      <c r="AD686" s="4"/>
      <c r="AE686" s="2"/>
      <c r="AF686" s="3"/>
      <c r="AG686" s="3"/>
      <c r="AH686" s="3"/>
      <c r="AI686" s="3"/>
      <c r="AJ686" s="2">
        <f t="shared" si="84"/>
        <v>0</v>
      </c>
      <c r="AK686" s="2">
        <f t="shared" si="82"/>
        <v>0</v>
      </c>
      <c r="AL686" s="2">
        <f t="shared" si="85"/>
        <v>0</v>
      </c>
      <c r="AM686" s="88"/>
      <c r="AN686" s="157" t="s">
        <v>774</v>
      </c>
    </row>
    <row r="687" spans="2:40" ht="23.15" customHeight="1" thickBot="1">
      <c r="B687" s="87"/>
      <c r="C687" s="2" t="s">
        <v>292</v>
      </c>
      <c r="D687" s="15" t="s">
        <v>19</v>
      </c>
      <c r="E687" s="20" t="s">
        <v>161</v>
      </c>
      <c r="F687" s="20" t="s">
        <v>40</v>
      </c>
      <c r="G687" s="11">
        <v>2</v>
      </c>
      <c r="H687" s="11">
        <v>2</v>
      </c>
      <c r="I687" s="18">
        <v>0</v>
      </c>
      <c r="J687" s="18">
        <v>0</v>
      </c>
      <c r="K687" s="19">
        <v>12445.05</v>
      </c>
      <c r="L687" s="41">
        <v>0</v>
      </c>
      <c r="M687" s="41">
        <v>0</v>
      </c>
      <c r="N687" s="41">
        <v>0</v>
      </c>
      <c r="O687" s="41">
        <v>0</v>
      </c>
      <c r="P687" s="41">
        <v>0</v>
      </c>
      <c r="Q687" s="43">
        <v>0</v>
      </c>
      <c r="R687" s="43">
        <v>0</v>
      </c>
      <c r="S687" s="43">
        <v>0</v>
      </c>
      <c r="T687" s="43">
        <v>0</v>
      </c>
      <c r="U687" s="19"/>
      <c r="V687" s="13">
        <f t="shared" si="83"/>
        <v>12445.05</v>
      </c>
      <c r="W687" s="13"/>
      <c r="X687" s="13"/>
      <c r="Y687" s="13"/>
      <c r="Z687" s="13"/>
      <c r="AA687" s="22">
        <v>45748</v>
      </c>
      <c r="AB687" s="22" cm="1">
        <f t="array" ref="AB6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87" s="4"/>
      <c r="AD687" s="4"/>
      <c r="AE687" s="2"/>
      <c r="AF687" s="3"/>
      <c r="AG687" s="3"/>
      <c r="AH687" s="3"/>
      <c r="AI687" s="3"/>
      <c r="AJ687" s="2">
        <f t="shared" si="84"/>
        <v>0</v>
      </c>
      <c r="AK687" s="2">
        <f t="shared" si="82"/>
        <v>0</v>
      </c>
      <c r="AL687" s="2">
        <f t="shared" si="85"/>
        <v>0</v>
      </c>
      <c r="AM687" s="88"/>
      <c r="AN687" s="157" t="s">
        <v>774</v>
      </c>
    </row>
    <row r="688" spans="2:40" ht="23.15" customHeight="1" thickBot="1">
      <c r="B688" s="87"/>
      <c r="C688" s="2" t="s">
        <v>292</v>
      </c>
      <c r="D688" s="15" t="s">
        <v>19</v>
      </c>
      <c r="E688" s="20" t="s">
        <v>161</v>
      </c>
      <c r="F688" s="20" t="s">
        <v>40</v>
      </c>
      <c r="G688" s="11">
        <v>2</v>
      </c>
      <c r="H688" s="11">
        <v>2</v>
      </c>
      <c r="I688" s="18" t="s">
        <v>294</v>
      </c>
      <c r="J688" s="18" t="s">
        <v>294</v>
      </c>
      <c r="K688" s="19">
        <v>12445.05</v>
      </c>
      <c r="L688" s="41">
        <v>0</v>
      </c>
      <c r="M688" s="41" t="s">
        <v>294</v>
      </c>
      <c r="N688" s="41">
        <v>0</v>
      </c>
      <c r="O688" s="41" t="s">
        <v>294</v>
      </c>
      <c r="P688" s="41">
        <v>0</v>
      </c>
      <c r="Q688" s="43">
        <v>0</v>
      </c>
      <c r="R688" s="43">
        <v>0</v>
      </c>
      <c r="S688" s="43">
        <v>0</v>
      </c>
      <c r="T688" s="43">
        <v>0</v>
      </c>
      <c r="U688" s="19" t="s">
        <v>292</v>
      </c>
      <c r="V688" s="13">
        <f t="shared" si="83"/>
        <v>12445.05</v>
      </c>
      <c r="W688" s="13"/>
      <c r="X688" s="13"/>
      <c r="Y688" s="13">
        <v>2442.4730097539941</v>
      </c>
      <c r="Z688" s="13" t="s">
        <v>302</v>
      </c>
      <c r="AA688" s="22">
        <v>45778</v>
      </c>
      <c r="AB688" s="22" cm="1">
        <f t="array" ref="AB6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88" s="4"/>
      <c r="AD688" s="4"/>
      <c r="AE688" s="2"/>
      <c r="AF688" s="3"/>
      <c r="AG688" s="3"/>
      <c r="AH688" s="3"/>
      <c r="AI688" s="3"/>
      <c r="AJ688" s="2">
        <f t="shared" si="84"/>
        <v>0</v>
      </c>
      <c r="AK688" s="2">
        <f t="shared" si="82"/>
        <v>0</v>
      </c>
      <c r="AL688" s="2">
        <f t="shared" si="85"/>
        <v>0</v>
      </c>
      <c r="AM688" s="88"/>
      <c r="AN688" s="157" t="s">
        <v>774</v>
      </c>
    </row>
    <row r="689" spans="2:40" ht="23.15" customHeight="1" thickBot="1">
      <c r="B689" s="87"/>
      <c r="C689" s="2" t="s">
        <v>292</v>
      </c>
      <c r="D689" s="15" t="s">
        <v>19</v>
      </c>
      <c r="E689" s="20" t="s">
        <v>161</v>
      </c>
      <c r="F689" s="20" t="s">
        <v>40</v>
      </c>
      <c r="G689" s="11">
        <v>2</v>
      </c>
      <c r="H689" s="11">
        <v>2</v>
      </c>
      <c r="I689" s="18" t="s">
        <v>294</v>
      </c>
      <c r="J689" s="18" t="s">
        <v>294</v>
      </c>
      <c r="K689" s="19">
        <v>13103.564369376998</v>
      </c>
      <c r="L689" s="41">
        <v>0</v>
      </c>
      <c r="M689" s="41" t="s">
        <v>294</v>
      </c>
      <c r="N689" s="41">
        <v>0</v>
      </c>
      <c r="O689" s="41" t="s">
        <v>294</v>
      </c>
      <c r="P689" s="41" t="s">
        <v>293</v>
      </c>
      <c r="Q689" s="43">
        <v>0</v>
      </c>
      <c r="R689" s="43">
        <v>0</v>
      </c>
      <c r="S689" s="43">
        <v>0</v>
      </c>
      <c r="T689" s="43">
        <v>0</v>
      </c>
      <c r="U689" s="19"/>
      <c r="V689" s="13">
        <f t="shared" si="83"/>
        <v>13103.564369376998</v>
      </c>
      <c r="W689" s="13"/>
      <c r="X689" s="13"/>
      <c r="Y689" s="13"/>
      <c r="Z689" s="13"/>
      <c r="AA689" s="22">
        <v>45809</v>
      </c>
      <c r="AB689" s="22" cm="1">
        <f t="array" ref="AB6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89" s="4"/>
      <c r="AD689" s="4"/>
      <c r="AE689" s="2"/>
      <c r="AF689" s="3"/>
      <c r="AG689" s="3"/>
      <c r="AH689" s="3"/>
      <c r="AI689" s="3"/>
      <c r="AJ689" s="2">
        <f t="shared" si="84"/>
        <v>0</v>
      </c>
      <c r="AK689" s="2">
        <f t="shared" si="82"/>
        <v>0</v>
      </c>
      <c r="AL689" s="2">
        <f t="shared" si="85"/>
        <v>0</v>
      </c>
      <c r="AM689" s="88"/>
      <c r="AN689" s="157" t="s">
        <v>774</v>
      </c>
    </row>
    <row r="690" spans="2:40" ht="23.15" customHeight="1" thickBot="1">
      <c r="B690" s="87">
        <v>45874</v>
      </c>
      <c r="C690" s="2" t="s">
        <v>295</v>
      </c>
      <c r="D690" s="15" t="s">
        <v>19</v>
      </c>
      <c r="E690" s="20" t="s">
        <v>29</v>
      </c>
      <c r="F690" s="20" t="s">
        <v>39</v>
      </c>
      <c r="G690" s="11">
        <v>7</v>
      </c>
      <c r="H690" s="11">
        <v>5</v>
      </c>
      <c r="I690" s="18">
        <v>0</v>
      </c>
      <c r="J690" s="18">
        <v>0</v>
      </c>
      <c r="K690" s="19">
        <v>23368.371096805993</v>
      </c>
      <c r="L690" s="41">
        <v>0</v>
      </c>
      <c r="M690" s="41">
        <v>0</v>
      </c>
      <c r="N690" s="41">
        <v>0</v>
      </c>
      <c r="O690" s="41">
        <v>0</v>
      </c>
      <c r="P690" s="41">
        <v>0</v>
      </c>
      <c r="Q690" s="43">
        <v>0</v>
      </c>
      <c r="R690" s="43">
        <v>0</v>
      </c>
      <c r="S690" s="43">
        <v>0</v>
      </c>
      <c r="T690" s="43">
        <v>0</v>
      </c>
      <c r="U690" s="19" t="s">
        <v>295</v>
      </c>
      <c r="V690" s="13">
        <f t="shared" si="83"/>
        <v>23368.371096805993</v>
      </c>
      <c r="W690" s="13"/>
      <c r="X690" s="13"/>
      <c r="Y690" s="13"/>
      <c r="Z690" s="13"/>
      <c r="AA690" s="22">
        <v>45839</v>
      </c>
      <c r="AB690" s="22" cm="1">
        <f t="array" ref="AB6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90" s="4"/>
      <c r="AD690" s="4"/>
      <c r="AE690" s="2"/>
      <c r="AF690" s="3"/>
      <c r="AG690" s="3"/>
      <c r="AH690" s="3"/>
      <c r="AI690" s="3"/>
      <c r="AJ690" s="2">
        <f t="shared" si="84"/>
        <v>0</v>
      </c>
      <c r="AK690" s="2">
        <f t="shared" si="82"/>
        <v>0</v>
      </c>
      <c r="AL690" s="2">
        <f t="shared" si="85"/>
        <v>0</v>
      </c>
      <c r="AM690" s="88"/>
      <c r="AN690" s="157" t="s">
        <v>774</v>
      </c>
    </row>
    <row r="691" spans="2:40" ht="23.15" customHeight="1" thickBot="1">
      <c r="B691" s="87">
        <v>45691</v>
      </c>
      <c r="C691" s="2" t="s">
        <v>295</v>
      </c>
      <c r="D691" s="15" t="s">
        <v>19</v>
      </c>
      <c r="E691" s="20" t="s">
        <v>29</v>
      </c>
      <c r="F691" s="20" t="s">
        <v>40</v>
      </c>
      <c r="G691" s="11">
        <v>7</v>
      </c>
      <c r="H691" s="11">
        <v>5</v>
      </c>
      <c r="I691" s="18">
        <v>0</v>
      </c>
      <c r="J691" s="18">
        <v>77.459999999999994</v>
      </c>
      <c r="K691" s="19">
        <v>21787.215352356674</v>
      </c>
      <c r="L691" s="41">
        <v>0</v>
      </c>
      <c r="M691" s="41">
        <v>0</v>
      </c>
      <c r="N691" s="41">
        <v>0</v>
      </c>
      <c r="O691" s="41">
        <v>-1383.03</v>
      </c>
      <c r="P691" s="41">
        <v>-217.87</v>
      </c>
      <c r="Q691" s="43">
        <v>0</v>
      </c>
      <c r="R691" s="43">
        <v>0</v>
      </c>
      <c r="S691" s="43">
        <v>0</v>
      </c>
      <c r="T691" s="43">
        <v>0</v>
      </c>
      <c r="U691" s="19" t="s">
        <v>295</v>
      </c>
      <c r="V691" s="13">
        <f t="shared" si="83"/>
        <v>20186.315352356676</v>
      </c>
      <c r="W691" s="13"/>
      <c r="X691" s="13"/>
      <c r="Y691" s="13"/>
      <c r="Z691" s="13"/>
      <c r="AA691" s="22">
        <v>45658</v>
      </c>
      <c r="AB691" s="22" cm="1">
        <f t="array" ref="AB6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91" s="4"/>
      <c r="AD691" s="4"/>
      <c r="AE691" s="2"/>
      <c r="AF691" s="3"/>
      <c r="AG691" s="3"/>
      <c r="AH691" s="3"/>
      <c r="AI691" s="3"/>
      <c r="AJ691" s="2">
        <f t="shared" si="84"/>
        <v>0</v>
      </c>
      <c r="AK691" s="2">
        <f t="shared" si="82"/>
        <v>0</v>
      </c>
      <c r="AL691" s="2">
        <f t="shared" si="85"/>
        <v>1600.8999999999978</v>
      </c>
      <c r="AM691" s="88"/>
      <c r="AN691" s="157" t="s">
        <v>774</v>
      </c>
    </row>
    <row r="692" spans="2:40" ht="23.15" customHeight="1" thickBot="1">
      <c r="B692" s="87"/>
      <c r="C692" s="2" t="s">
        <v>292</v>
      </c>
      <c r="D692" s="15" t="s">
        <v>19</v>
      </c>
      <c r="E692" s="20" t="s">
        <v>29</v>
      </c>
      <c r="F692" s="20" t="s">
        <v>39</v>
      </c>
      <c r="G692" s="11">
        <v>7</v>
      </c>
      <c r="H692" s="11">
        <v>5</v>
      </c>
      <c r="I692" s="18">
        <v>0</v>
      </c>
      <c r="J692" s="18">
        <v>0</v>
      </c>
      <c r="K692" s="19">
        <v>23368</v>
      </c>
      <c r="L692" s="41">
        <v>0</v>
      </c>
      <c r="M692" s="41">
        <v>0</v>
      </c>
      <c r="N692" s="41">
        <v>0</v>
      </c>
      <c r="O692" s="41">
        <v>0</v>
      </c>
      <c r="P692" s="41">
        <v>0</v>
      </c>
      <c r="Q692" s="43">
        <v>0</v>
      </c>
      <c r="R692" s="43">
        <v>0</v>
      </c>
      <c r="S692" s="43">
        <v>0</v>
      </c>
      <c r="T692" s="43">
        <v>0</v>
      </c>
      <c r="U692" s="19"/>
      <c r="V692" s="13">
        <f t="shared" si="83"/>
        <v>23368</v>
      </c>
      <c r="W692" s="13"/>
      <c r="X692" s="13"/>
      <c r="Y692" s="13"/>
      <c r="Z692" s="13"/>
      <c r="AA692" s="22">
        <v>45748</v>
      </c>
      <c r="AB692" s="22" cm="1">
        <f t="array" ref="AB6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92" s="4"/>
      <c r="AD692" s="4"/>
      <c r="AE692" s="2"/>
      <c r="AF692" s="3"/>
      <c r="AG692" s="3"/>
      <c r="AH692" s="3"/>
      <c r="AI692" s="3"/>
      <c r="AJ692" s="2">
        <f t="shared" si="84"/>
        <v>0</v>
      </c>
      <c r="AK692" s="2">
        <f t="shared" si="82"/>
        <v>0</v>
      </c>
      <c r="AL692" s="2">
        <f t="shared" si="85"/>
        <v>0</v>
      </c>
      <c r="AM692" s="88"/>
      <c r="AN692" s="157" t="s">
        <v>774</v>
      </c>
    </row>
    <row r="693" spans="2:40" ht="23.15" customHeight="1" thickBot="1">
      <c r="B693" s="87"/>
      <c r="C693" s="2" t="s">
        <v>292</v>
      </c>
      <c r="D693" s="15" t="s">
        <v>19</v>
      </c>
      <c r="E693" s="20" t="s">
        <v>29</v>
      </c>
      <c r="F693" s="20" t="s">
        <v>39</v>
      </c>
      <c r="G693" s="11">
        <v>7</v>
      </c>
      <c r="H693" s="11">
        <v>5</v>
      </c>
      <c r="I693" s="18" t="s">
        <v>294</v>
      </c>
      <c r="J693" s="18" t="s">
        <v>294</v>
      </c>
      <c r="K693" s="19">
        <v>23368.371096805993</v>
      </c>
      <c r="L693" s="41">
        <v>0</v>
      </c>
      <c r="M693" s="41" t="s">
        <v>294</v>
      </c>
      <c r="N693" s="41">
        <v>0</v>
      </c>
      <c r="O693" s="41" t="s">
        <v>294</v>
      </c>
      <c r="P693" s="41" t="s">
        <v>301</v>
      </c>
      <c r="Q693" s="43">
        <v>0</v>
      </c>
      <c r="R693" s="43">
        <v>0</v>
      </c>
      <c r="S693" s="43">
        <v>0</v>
      </c>
      <c r="T693" s="43">
        <v>0</v>
      </c>
      <c r="U693" s="19"/>
      <c r="V693" s="13">
        <f t="shared" si="83"/>
        <v>23368.371096805993</v>
      </c>
      <c r="W693" s="13"/>
      <c r="X693" s="13"/>
      <c r="Y693" s="13"/>
      <c r="Z693" s="13"/>
      <c r="AA693" s="22">
        <v>45689</v>
      </c>
      <c r="AB693" s="22" cm="1">
        <f t="array" ref="AB6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93" s="4"/>
      <c r="AD693" s="4"/>
      <c r="AE693" s="2"/>
      <c r="AF693" s="3"/>
      <c r="AG693" s="3"/>
      <c r="AH693" s="3"/>
      <c r="AI693" s="3"/>
      <c r="AJ693" s="2">
        <f t="shared" si="84"/>
        <v>0</v>
      </c>
      <c r="AK693" s="2">
        <f t="shared" si="82"/>
        <v>0</v>
      </c>
      <c r="AL693" s="2">
        <f t="shared" si="85"/>
        <v>0</v>
      </c>
      <c r="AM693" s="88"/>
      <c r="AN693" s="157" t="s">
        <v>774</v>
      </c>
    </row>
    <row r="694" spans="2:40" ht="23.15" customHeight="1" thickBot="1">
      <c r="B694" s="87"/>
      <c r="C694" s="2" t="s">
        <v>292</v>
      </c>
      <c r="D694" s="15" t="s">
        <v>19</v>
      </c>
      <c r="E694" s="20" t="s">
        <v>29</v>
      </c>
      <c r="F694" s="20" t="s">
        <v>39</v>
      </c>
      <c r="G694" s="11">
        <v>7</v>
      </c>
      <c r="H694" s="11">
        <v>5</v>
      </c>
      <c r="I694" s="18" t="s">
        <v>294</v>
      </c>
      <c r="J694" s="18" t="s">
        <v>294</v>
      </c>
      <c r="K694" s="19">
        <v>23368.371096805993</v>
      </c>
      <c r="L694" s="41">
        <v>0</v>
      </c>
      <c r="M694" s="41" t="s">
        <v>294</v>
      </c>
      <c r="N694" s="41">
        <v>0</v>
      </c>
      <c r="O694" s="41" t="s">
        <v>294</v>
      </c>
      <c r="P694" s="41">
        <v>0</v>
      </c>
      <c r="Q694" s="43">
        <v>0</v>
      </c>
      <c r="R694" s="43">
        <v>0</v>
      </c>
      <c r="S694" s="43">
        <v>0</v>
      </c>
      <c r="T694" s="43">
        <v>0</v>
      </c>
      <c r="U694" s="19"/>
      <c r="V694" s="13">
        <f t="shared" si="83"/>
        <v>23368.371096805993</v>
      </c>
      <c r="W694" s="13"/>
      <c r="X694" s="13"/>
      <c r="Y694" s="13"/>
      <c r="Z694" s="13"/>
      <c r="AA694" s="22">
        <v>45717</v>
      </c>
      <c r="AB694" s="22" cm="1">
        <f t="array" ref="AB6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94" s="4"/>
      <c r="AD694" s="4"/>
      <c r="AE694" s="2"/>
      <c r="AF694" s="3"/>
      <c r="AG694" s="3"/>
      <c r="AH694" s="3"/>
      <c r="AI694" s="3"/>
      <c r="AJ694" s="2">
        <f t="shared" si="84"/>
        <v>0</v>
      </c>
      <c r="AK694" s="2">
        <f t="shared" si="82"/>
        <v>0</v>
      </c>
      <c r="AL694" s="2">
        <f t="shared" si="85"/>
        <v>0</v>
      </c>
      <c r="AM694" s="88"/>
      <c r="AN694" s="157" t="s">
        <v>774</v>
      </c>
    </row>
    <row r="695" spans="2:40" ht="23.15" customHeight="1" thickBot="1">
      <c r="B695" s="87">
        <v>45826</v>
      </c>
      <c r="C695" s="2" t="s">
        <v>295</v>
      </c>
      <c r="D695" s="15" t="s">
        <v>19</v>
      </c>
      <c r="E695" s="20" t="s">
        <v>29</v>
      </c>
      <c r="F695" s="20" t="s">
        <v>39</v>
      </c>
      <c r="G695" s="11">
        <v>7</v>
      </c>
      <c r="H695" s="11">
        <v>5</v>
      </c>
      <c r="I695" s="18">
        <v>0</v>
      </c>
      <c r="J695" s="18">
        <v>0</v>
      </c>
      <c r="K695" s="19">
        <v>23368.371096805993</v>
      </c>
      <c r="L695" s="41">
        <v>0</v>
      </c>
      <c r="M695" s="41">
        <v>0</v>
      </c>
      <c r="N695" s="41">
        <v>0</v>
      </c>
      <c r="O695" s="41">
        <v>0</v>
      </c>
      <c r="P695" s="41">
        <v>0</v>
      </c>
      <c r="Q695" s="43">
        <v>0</v>
      </c>
      <c r="R695" s="43">
        <v>0</v>
      </c>
      <c r="S695" s="43">
        <v>0</v>
      </c>
      <c r="T695" s="43">
        <v>0</v>
      </c>
      <c r="U695" s="19" t="s">
        <v>295</v>
      </c>
      <c r="V695" s="13">
        <f t="shared" si="83"/>
        <v>23368.371096805993</v>
      </c>
      <c r="W695" s="13"/>
      <c r="X695" s="13"/>
      <c r="Y695" s="13"/>
      <c r="Z695" s="13"/>
      <c r="AA695" s="22">
        <v>45778</v>
      </c>
      <c r="AB695" s="22" cm="1">
        <f t="array" ref="AB6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95" s="4"/>
      <c r="AD695" s="4">
        <f>2000.78+1143.3</f>
        <v>3144.08</v>
      </c>
      <c r="AE695" s="2"/>
      <c r="AF695" s="3"/>
      <c r="AG695" s="3"/>
      <c r="AH695" s="3"/>
      <c r="AI695" s="3"/>
      <c r="AJ695" s="2">
        <f t="shared" si="84"/>
        <v>0</v>
      </c>
      <c r="AK695" s="2">
        <f t="shared" si="82"/>
        <v>-3144.08</v>
      </c>
      <c r="AL695" s="2">
        <f t="shared" si="85"/>
        <v>0</v>
      </c>
      <c r="AM695" s="88"/>
      <c r="AN695" s="157" t="s">
        <v>774</v>
      </c>
    </row>
    <row r="696" spans="2:40" ht="23.15" customHeight="1" thickBot="1">
      <c r="B696" s="87">
        <v>45840</v>
      </c>
      <c r="C696" s="2" t="s">
        <v>295</v>
      </c>
      <c r="D696" s="15" t="s">
        <v>19</v>
      </c>
      <c r="E696" s="20" t="s">
        <v>29</v>
      </c>
      <c r="F696" s="20" t="s">
        <v>39</v>
      </c>
      <c r="G696" s="11">
        <v>7</v>
      </c>
      <c r="H696" s="11">
        <v>5</v>
      </c>
      <c r="I696" s="18">
        <v>0</v>
      </c>
      <c r="J696" s="18">
        <v>0</v>
      </c>
      <c r="K696" s="19">
        <v>23368.371096805993</v>
      </c>
      <c r="L696" s="41">
        <v>0</v>
      </c>
      <c r="M696" s="41">
        <v>0</v>
      </c>
      <c r="N696" s="41">
        <v>0</v>
      </c>
      <c r="O696" s="41">
        <v>0</v>
      </c>
      <c r="P696" s="41">
        <v>0</v>
      </c>
      <c r="Q696" s="43">
        <v>0</v>
      </c>
      <c r="R696" s="43">
        <v>0</v>
      </c>
      <c r="S696" s="43">
        <v>0</v>
      </c>
      <c r="T696" s="43">
        <v>0</v>
      </c>
      <c r="U696" s="19" t="s">
        <v>295</v>
      </c>
      <c r="V696" s="13">
        <f t="shared" si="83"/>
        <v>23368.371096805993</v>
      </c>
      <c r="W696" s="13"/>
      <c r="X696" s="13"/>
      <c r="Y696" s="13"/>
      <c r="Z696" s="13"/>
      <c r="AA696" s="22">
        <v>45809</v>
      </c>
      <c r="AB696" s="22" cm="1">
        <f t="array" ref="AB6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96" s="4"/>
      <c r="AD696" s="4"/>
      <c r="AE696" s="2"/>
      <c r="AF696" s="3"/>
      <c r="AG696" s="3"/>
      <c r="AH696" s="3"/>
      <c r="AI696" s="3"/>
      <c r="AJ696" s="2">
        <f t="shared" si="84"/>
        <v>0</v>
      </c>
      <c r="AK696" s="2">
        <f t="shared" si="82"/>
        <v>0</v>
      </c>
      <c r="AL696" s="2">
        <f t="shared" si="85"/>
        <v>0</v>
      </c>
      <c r="AM696" s="88"/>
      <c r="AN696" s="157" t="s">
        <v>774</v>
      </c>
    </row>
    <row r="697" spans="2:40" ht="23.15" customHeight="1" thickBot="1">
      <c r="B697" s="87"/>
      <c r="C697" s="2" t="s">
        <v>292</v>
      </c>
      <c r="D697" s="15" t="s">
        <v>19</v>
      </c>
      <c r="E697" s="20" t="s">
        <v>26</v>
      </c>
      <c r="F697" s="20" t="s">
        <v>40</v>
      </c>
      <c r="G697" s="11">
        <v>4</v>
      </c>
      <c r="H697" s="11">
        <v>4</v>
      </c>
      <c r="I697" s="18" t="s">
        <v>294</v>
      </c>
      <c r="J697" s="18" t="s">
        <v>294</v>
      </c>
      <c r="K697" s="19">
        <v>31416.077186057617</v>
      </c>
      <c r="L697" s="41">
        <v>0</v>
      </c>
      <c r="M697" s="41" t="s">
        <v>294</v>
      </c>
      <c r="N697" s="41">
        <v>0</v>
      </c>
      <c r="O697" s="41" t="s">
        <v>294</v>
      </c>
      <c r="P697" s="41">
        <v>0</v>
      </c>
      <c r="Q697" s="43">
        <v>0</v>
      </c>
      <c r="R697" s="43">
        <v>0</v>
      </c>
      <c r="S697" s="43">
        <v>0</v>
      </c>
      <c r="T697" s="43">
        <v>0</v>
      </c>
      <c r="U697" s="19" t="s">
        <v>295</v>
      </c>
      <c r="V697" s="13">
        <f t="shared" si="83"/>
        <v>31416.077186057617</v>
      </c>
      <c r="W697" s="13"/>
      <c r="X697" s="13"/>
      <c r="Y697" s="13"/>
      <c r="Z697" s="13"/>
      <c r="AA697" s="22">
        <v>45839</v>
      </c>
      <c r="AB697" s="22" cm="1">
        <f t="array" ref="AB6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97" s="4"/>
      <c r="AD697" s="4"/>
      <c r="AE697" s="2"/>
      <c r="AF697" s="3"/>
      <c r="AG697" s="3"/>
      <c r="AH697" s="3"/>
      <c r="AI697" s="3"/>
      <c r="AJ697" s="2">
        <f t="shared" si="84"/>
        <v>0</v>
      </c>
      <c r="AK697" s="2">
        <f t="shared" si="82"/>
        <v>0</v>
      </c>
      <c r="AL697" s="2">
        <f t="shared" si="85"/>
        <v>0</v>
      </c>
      <c r="AM697" s="88"/>
      <c r="AN697" s="157" t="s">
        <v>774</v>
      </c>
    </row>
    <row r="698" spans="2:40" ht="23.15" customHeight="1" thickBot="1">
      <c r="B698" s="87">
        <v>45901</v>
      </c>
      <c r="C698" s="2" t="s">
        <v>295</v>
      </c>
      <c r="D698" s="15" t="s">
        <v>19</v>
      </c>
      <c r="E698" s="20" t="s">
        <v>28</v>
      </c>
      <c r="F698" s="20" t="s">
        <v>63</v>
      </c>
      <c r="G698" s="11">
        <v>24</v>
      </c>
      <c r="H698" s="11">
        <v>18</v>
      </c>
      <c r="I698" s="18">
        <v>2</v>
      </c>
      <c r="J698" s="18">
        <v>0</v>
      </c>
      <c r="K698" s="19">
        <v>118516.40880941587</v>
      </c>
      <c r="L698" s="41">
        <v>0</v>
      </c>
      <c r="M698" s="41">
        <v>-697.28</v>
      </c>
      <c r="N698" s="41">
        <v>0</v>
      </c>
      <c r="O698" s="41">
        <v>0</v>
      </c>
      <c r="P698" s="41">
        <v>0</v>
      </c>
      <c r="Q698" s="43">
        <v>0</v>
      </c>
      <c r="R698" s="43">
        <v>0</v>
      </c>
      <c r="S698" s="43">
        <v>0</v>
      </c>
      <c r="T698" s="43">
        <v>0</v>
      </c>
      <c r="U698" s="19" t="s">
        <v>295</v>
      </c>
      <c r="V698" s="13">
        <f t="shared" si="83"/>
        <v>117819.12880941587</v>
      </c>
      <c r="W698" s="13"/>
      <c r="X698" s="13"/>
      <c r="Y698" s="46"/>
      <c r="Z698" s="46"/>
      <c r="AA698" s="22">
        <v>45870</v>
      </c>
      <c r="AB698" s="22" cm="1">
        <f t="array" ref="AB6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98" s="4"/>
      <c r="AD698" s="4"/>
      <c r="AE698" s="2"/>
      <c r="AF698" s="3"/>
      <c r="AG698" s="3"/>
      <c r="AH698" s="3"/>
      <c r="AI698" s="3"/>
      <c r="AJ698" s="2">
        <f t="shared" si="84"/>
        <v>697.28</v>
      </c>
      <c r="AK698" s="2">
        <f t="shared" si="82"/>
        <v>0</v>
      </c>
      <c r="AL698" s="2">
        <f t="shared" si="85"/>
        <v>697.27999999999884</v>
      </c>
      <c r="AM698" s="88"/>
      <c r="AN698" s="157" t="s">
        <v>774</v>
      </c>
    </row>
    <row r="699" spans="2:40" ht="23.15" customHeight="1" thickBot="1">
      <c r="B699" s="87"/>
      <c r="C699" s="2" t="s">
        <v>292</v>
      </c>
      <c r="D699" s="15" t="s">
        <v>19</v>
      </c>
      <c r="E699" s="20" t="s">
        <v>26</v>
      </c>
      <c r="F699" s="20" t="s">
        <v>40</v>
      </c>
      <c r="G699" s="11">
        <v>4</v>
      </c>
      <c r="H699" s="11">
        <v>4</v>
      </c>
      <c r="I699" s="18" t="s">
        <v>294</v>
      </c>
      <c r="J699" s="18" t="s">
        <v>294</v>
      </c>
      <c r="K699" s="19">
        <v>29757.23357965743</v>
      </c>
      <c r="L699" s="41">
        <v>0</v>
      </c>
      <c r="M699" s="41" t="s">
        <v>294</v>
      </c>
      <c r="N699" s="41">
        <v>0</v>
      </c>
      <c r="O699" s="41" t="s">
        <v>294</v>
      </c>
      <c r="P699" s="41">
        <v>0</v>
      </c>
      <c r="Q699" s="43">
        <v>0</v>
      </c>
      <c r="R699" s="43">
        <v>0</v>
      </c>
      <c r="S699" s="43">
        <v>0</v>
      </c>
      <c r="T699" s="43">
        <v>0</v>
      </c>
      <c r="U699" s="19"/>
      <c r="V699" s="13">
        <f t="shared" si="83"/>
        <v>29757.23357965743</v>
      </c>
      <c r="W699" s="13"/>
      <c r="X699" s="13"/>
      <c r="Y699" s="13"/>
      <c r="Z699" s="13"/>
      <c r="AA699" s="22">
        <v>45658</v>
      </c>
      <c r="AB699" s="22" cm="1">
        <f t="array" ref="AB6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99" s="4"/>
      <c r="AD699" s="4"/>
      <c r="AE699" s="2"/>
      <c r="AF699" s="3"/>
      <c r="AG699" s="3"/>
      <c r="AH699" s="3"/>
      <c r="AI699" s="3"/>
      <c r="AJ699" s="2">
        <f t="shared" si="84"/>
        <v>0</v>
      </c>
      <c r="AK699" s="2">
        <f t="shared" si="82"/>
        <v>0</v>
      </c>
      <c r="AL699" s="2">
        <f t="shared" si="85"/>
        <v>0</v>
      </c>
      <c r="AM699" s="88"/>
      <c r="AN699" s="157" t="s">
        <v>774</v>
      </c>
    </row>
    <row r="700" spans="2:40" ht="23.15" customHeight="1" thickBot="1">
      <c r="B700" s="87"/>
      <c r="C700" s="2" t="s">
        <v>292</v>
      </c>
      <c r="D700" s="15" t="s">
        <v>19</v>
      </c>
      <c r="E700" s="20" t="s">
        <v>26</v>
      </c>
      <c r="F700" s="20" t="s">
        <v>40</v>
      </c>
      <c r="G700" s="11">
        <v>4</v>
      </c>
      <c r="H700" s="11">
        <v>4</v>
      </c>
      <c r="I700" s="18" t="s">
        <v>294</v>
      </c>
      <c r="J700" s="18" t="s">
        <v>294</v>
      </c>
      <c r="K700" s="19">
        <v>29757.23357965743</v>
      </c>
      <c r="L700" s="41">
        <v>0</v>
      </c>
      <c r="M700" s="41" t="s">
        <v>294</v>
      </c>
      <c r="N700" s="41">
        <v>0</v>
      </c>
      <c r="O700" s="41" t="s">
        <v>294</v>
      </c>
      <c r="P700" s="41">
        <v>0</v>
      </c>
      <c r="Q700" s="43">
        <v>0</v>
      </c>
      <c r="R700" s="43">
        <v>0</v>
      </c>
      <c r="S700" s="43">
        <v>0</v>
      </c>
      <c r="T700" s="43">
        <v>0</v>
      </c>
      <c r="U700" s="19"/>
      <c r="V700" s="13">
        <f t="shared" si="83"/>
        <v>29757.23357965743</v>
      </c>
      <c r="W700" s="13"/>
      <c r="X700" s="13"/>
      <c r="Y700" s="13"/>
      <c r="Z700" s="13"/>
      <c r="AA700" s="22">
        <v>45689</v>
      </c>
      <c r="AB700" s="22" cm="1">
        <f t="array" ref="AB7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00" s="4"/>
      <c r="AD700" s="4"/>
      <c r="AE700" s="2"/>
      <c r="AF700" s="3"/>
      <c r="AG700" s="3"/>
      <c r="AH700" s="3"/>
      <c r="AI700" s="3"/>
      <c r="AJ700" s="2">
        <f t="shared" si="84"/>
        <v>0</v>
      </c>
      <c r="AK700" s="2">
        <f t="shared" si="82"/>
        <v>0</v>
      </c>
      <c r="AL700" s="2">
        <f t="shared" si="85"/>
        <v>0</v>
      </c>
      <c r="AM700" s="88"/>
      <c r="AN700" s="157" t="s">
        <v>774</v>
      </c>
    </row>
    <row r="701" spans="2:40" ht="23.15" customHeight="1" thickBot="1">
      <c r="B701" s="87"/>
      <c r="C701" s="2" t="s">
        <v>292</v>
      </c>
      <c r="D701" s="15" t="s">
        <v>19</v>
      </c>
      <c r="E701" s="20" t="s">
        <v>26</v>
      </c>
      <c r="F701" s="20" t="s">
        <v>40</v>
      </c>
      <c r="G701" s="11">
        <v>4</v>
      </c>
      <c r="H701" s="11">
        <v>4</v>
      </c>
      <c r="I701" s="18" t="s">
        <v>294</v>
      </c>
      <c r="J701" s="18" t="s">
        <v>294</v>
      </c>
      <c r="K701" s="19">
        <v>29757.23357965743</v>
      </c>
      <c r="L701" s="41">
        <v>0</v>
      </c>
      <c r="M701" s="41" t="s">
        <v>294</v>
      </c>
      <c r="N701" s="41">
        <v>0</v>
      </c>
      <c r="O701" s="41" t="s">
        <v>294</v>
      </c>
      <c r="P701" s="41">
        <v>0</v>
      </c>
      <c r="Q701" s="43">
        <v>0</v>
      </c>
      <c r="R701" s="43">
        <v>0</v>
      </c>
      <c r="S701" s="43">
        <v>0</v>
      </c>
      <c r="T701" s="43">
        <v>0</v>
      </c>
      <c r="U701" s="19"/>
      <c r="V701" s="13">
        <f t="shared" si="83"/>
        <v>29757.23357965743</v>
      </c>
      <c r="W701" s="13"/>
      <c r="X701" s="13"/>
      <c r="Y701" s="13"/>
      <c r="Z701" s="13"/>
      <c r="AA701" s="22">
        <v>45717</v>
      </c>
      <c r="AB701" s="22" cm="1">
        <f t="array" ref="AB7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01" s="4"/>
      <c r="AD701" s="4"/>
      <c r="AE701" s="2"/>
      <c r="AF701" s="3"/>
      <c r="AG701" s="3"/>
      <c r="AH701" s="3"/>
      <c r="AI701" s="3"/>
      <c r="AJ701" s="2">
        <f t="shared" si="84"/>
        <v>0</v>
      </c>
      <c r="AK701" s="2">
        <f t="shared" si="82"/>
        <v>0</v>
      </c>
      <c r="AL701" s="2">
        <f t="shared" si="85"/>
        <v>0</v>
      </c>
      <c r="AM701" s="88"/>
      <c r="AN701" s="157" t="s">
        <v>774</v>
      </c>
    </row>
    <row r="702" spans="2:40" ht="23.15" customHeight="1" thickBot="1">
      <c r="B702" s="87"/>
      <c r="C702" s="2" t="s">
        <v>292</v>
      </c>
      <c r="D702" s="15" t="s">
        <v>19</v>
      </c>
      <c r="E702" s="20" t="s">
        <v>26</v>
      </c>
      <c r="F702" s="20" t="s">
        <v>40</v>
      </c>
      <c r="G702" s="11">
        <v>4</v>
      </c>
      <c r="H702" s="11">
        <v>4</v>
      </c>
      <c r="I702" s="18">
        <v>0</v>
      </c>
      <c r="J702" s="18">
        <v>0</v>
      </c>
      <c r="K702" s="19">
        <v>29757.23357965743</v>
      </c>
      <c r="L702" s="41">
        <v>0</v>
      </c>
      <c r="M702" s="41">
        <v>0</v>
      </c>
      <c r="N702" s="41">
        <v>0</v>
      </c>
      <c r="O702" s="41">
        <v>0</v>
      </c>
      <c r="P702" s="41">
        <v>0</v>
      </c>
      <c r="Q702" s="43">
        <v>0</v>
      </c>
      <c r="R702" s="43">
        <v>0</v>
      </c>
      <c r="S702" s="43">
        <v>0</v>
      </c>
      <c r="T702" s="43">
        <v>0</v>
      </c>
      <c r="U702" s="19"/>
      <c r="V702" s="13">
        <f t="shared" si="83"/>
        <v>29757.23357965743</v>
      </c>
      <c r="W702" s="13"/>
      <c r="X702" s="13"/>
      <c r="Y702" s="13"/>
      <c r="Z702" s="13"/>
      <c r="AA702" s="22">
        <v>45748</v>
      </c>
      <c r="AB702" s="22" cm="1">
        <f t="array" ref="AB7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02" s="4"/>
      <c r="AD702" s="4"/>
      <c r="AE702" s="2"/>
      <c r="AF702" s="3"/>
      <c r="AG702" s="3"/>
      <c r="AH702" s="3"/>
      <c r="AI702" s="3"/>
      <c r="AJ702" s="2">
        <f t="shared" si="84"/>
        <v>0</v>
      </c>
      <c r="AK702" s="2">
        <f t="shared" si="82"/>
        <v>0</v>
      </c>
      <c r="AL702" s="2">
        <f t="shared" si="85"/>
        <v>0</v>
      </c>
      <c r="AM702" s="88"/>
      <c r="AN702" s="157" t="s">
        <v>774</v>
      </c>
    </row>
    <row r="703" spans="2:40" ht="23.15" customHeight="1" thickBot="1">
      <c r="B703" s="87"/>
      <c r="C703" s="2" t="s">
        <v>292</v>
      </c>
      <c r="D703" s="15" t="s">
        <v>19</v>
      </c>
      <c r="E703" s="20" t="s">
        <v>26</v>
      </c>
      <c r="F703" s="20" t="s">
        <v>40</v>
      </c>
      <c r="G703" s="11">
        <v>4</v>
      </c>
      <c r="H703" s="11">
        <v>4</v>
      </c>
      <c r="I703" s="18" t="s">
        <v>294</v>
      </c>
      <c r="J703" s="41" t="s">
        <v>294</v>
      </c>
      <c r="K703" s="19">
        <v>29757.23357965743</v>
      </c>
      <c r="L703" s="41">
        <v>0</v>
      </c>
      <c r="M703" s="41" t="s">
        <v>294</v>
      </c>
      <c r="N703" s="41">
        <v>0</v>
      </c>
      <c r="O703" s="41" t="s">
        <v>294</v>
      </c>
      <c r="P703" s="41">
        <v>0</v>
      </c>
      <c r="Q703" s="43">
        <v>0</v>
      </c>
      <c r="R703" s="43">
        <v>0</v>
      </c>
      <c r="S703" s="43">
        <v>0</v>
      </c>
      <c r="T703" s="43">
        <v>0</v>
      </c>
      <c r="U703" s="19" t="s">
        <v>292</v>
      </c>
      <c r="V703" s="13">
        <f t="shared" si="83"/>
        <v>29757.23357965743</v>
      </c>
      <c r="W703" s="13"/>
      <c r="X703" s="13"/>
      <c r="Y703" s="13">
        <v>6325.6284962770951</v>
      </c>
      <c r="Z703" s="13" t="s">
        <v>302</v>
      </c>
      <c r="AA703" s="22">
        <v>45778</v>
      </c>
      <c r="AB703" s="22" cm="1">
        <f t="array" ref="AB7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03" s="4"/>
      <c r="AD703" s="4"/>
      <c r="AE703" s="2"/>
      <c r="AF703" s="3"/>
      <c r="AG703" s="3"/>
      <c r="AH703" s="3"/>
      <c r="AI703" s="3"/>
      <c r="AJ703" s="2">
        <f t="shared" si="84"/>
        <v>0</v>
      </c>
      <c r="AK703" s="2">
        <f t="shared" si="82"/>
        <v>0</v>
      </c>
      <c r="AL703" s="2">
        <f t="shared" si="85"/>
        <v>0</v>
      </c>
      <c r="AM703" s="88"/>
      <c r="AN703" s="157" t="s">
        <v>774</v>
      </c>
    </row>
    <row r="704" spans="2:40" ht="23.15" customHeight="1" thickBot="1">
      <c r="B704" s="87"/>
      <c r="C704" s="2" t="s">
        <v>292</v>
      </c>
      <c r="D704" s="15" t="s">
        <v>19</v>
      </c>
      <c r="E704" s="20" t="s">
        <v>26</v>
      </c>
      <c r="F704" s="20" t="s">
        <v>40</v>
      </c>
      <c r="G704" s="11">
        <v>4</v>
      </c>
      <c r="H704" s="11">
        <v>4</v>
      </c>
      <c r="I704" s="18" t="s">
        <v>294</v>
      </c>
      <c r="J704" s="41" t="s">
        <v>294</v>
      </c>
      <c r="K704" s="19">
        <v>31416.077186057617</v>
      </c>
      <c r="L704" s="41">
        <v>0</v>
      </c>
      <c r="M704" s="41" t="s">
        <v>294</v>
      </c>
      <c r="N704" s="41">
        <v>0</v>
      </c>
      <c r="O704" s="41" t="s">
        <v>294</v>
      </c>
      <c r="P704" s="41" t="s">
        <v>293</v>
      </c>
      <c r="Q704" s="43">
        <v>0</v>
      </c>
      <c r="R704" s="43">
        <v>0</v>
      </c>
      <c r="S704" s="43">
        <v>0</v>
      </c>
      <c r="T704" s="43">
        <v>0</v>
      </c>
      <c r="U704" s="19"/>
      <c r="V704" s="13">
        <f t="shared" si="83"/>
        <v>31416.077186057617</v>
      </c>
      <c r="W704" s="13"/>
      <c r="X704" s="13"/>
      <c r="Y704" s="13"/>
      <c r="Z704" s="13"/>
      <c r="AA704" s="22">
        <v>45809</v>
      </c>
      <c r="AB704" s="22" cm="1">
        <f t="array" ref="AB7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04" s="4"/>
      <c r="AD704" s="4"/>
      <c r="AE704" s="2"/>
      <c r="AF704" s="3"/>
      <c r="AG704" s="3"/>
      <c r="AH704" s="3"/>
      <c r="AI704" s="3"/>
      <c r="AJ704" s="2">
        <f t="shared" si="84"/>
        <v>0</v>
      </c>
      <c r="AK704" s="2">
        <f t="shared" si="82"/>
        <v>0</v>
      </c>
      <c r="AL704" s="2">
        <f t="shared" si="85"/>
        <v>0</v>
      </c>
      <c r="AM704" s="88"/>
      <c r="AN704" s="157" t="s">
        <v>774</v>
      </c>
    </row>
    <row r="705" spans="2:40" ht="23.15" customHeight="1" thickBot="1">
      <c r="B705" s="87"/>
      <c r="C705" s="2" t="s">
        <v>292</v>
      </c>
      <c r="D705" s="15" t="s">
        <v>19</v>
      </c>
      <c r="E705" s="20" t="s">
        <v>35</v>
      </c>
      <c r="F705" s="20" t="s">
        <v>40</v>
      </c>
      <c r="G705" s="11">
        <v>8</v>
      </c>
      <c r="H705" s="11">
        <v>8</v>
      </c>
      <c r="I705" s="18">
        <v>0</v>
      </c>
      <c r="J705" s="18">
        <v>0</v>
      </c>
      <c r="K705" s="19">
        <v>43549.706597734665</v>
      </c>
      <c r="L705" s="41">
        <v>0</v>
      </c>
      <c r="M705" s="41">
        <v>0</v>
      </c>
      <c r="N705" s="41">
        <v>0</v>
      </c>
      <c r="O705" s="41">
        <v>0</v>
      </c>
      <c r="P705" s="41">
        <v>0</v>
      </c>
      <c r="Q705" s="43">
        <v>0</v>
      </c>
      <c r="R705" s="43">
        <v>0</v>
      </c>
      <c r="S705" s="43">
        <v>0</v>
      </c>
      <c r="T705" s="43">
        <v>0</v>
      </c>
      <c r="U705" s="19" t="s">
        <v>295</v>
      </c>
      <c r="V705" s="13">
        <f t="shared" si="83"/>
        <v>43549.706597734665</v>
      </c>
      <c r="W705" s="13"/>
      <c r="X705" s="13"/>
      <c r="Y705" s="13"/>
      <c r="Z705" s="13"/>
      <c r="AA705" s="22">
        <v>45839</v>
      </c>
      <c r="AB705" s="22" cm="1">
        <f t="array" ref="AB7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05" s="4"/>
      <c r="AD705" s="4"/>
      <c r="AE705" s="2"/>
      <c r="AF705" s="3"/>
      <c r="AG705" s="3"/>
      <c r="AH705" s="3"/>
      <c r="AI705" s="3"/>
      <c r="AJ705" s="2">
        <f t="shared" si="84"/>
        <v>0</v>
      </c>
      <c r="AK705" s="2">
        <f t="shared" si="82"/>
        <v>0</v>
      </c>
      <c r="AL705" s="2">
        <f t="shared" si="85"/>
        <v>0</v>
      </c>
      <c r="AM705" s="88"/>
      <c r="AN705" s="157" t="s">
        <v>774</v>
      </c>
    </row>
    <row r="706" spans="2:40" ht="23.15" customHeight="1" thickBot="1">
      <c r="B706" s="87"/>
      <c r="C706" s="2" t="s">
        <v>292</v>
      </c>
      <c r="D706" s="15" t="s">
        <v>19</v>
      </c>
      <c r="E706" s="20" t="s">
        <v>35</v>
      </c>
      <c r="F706" s="20" t="s">
        <v>40</v>
      </c>
      <c r="G706" s="11">
        <v>8</v>
      </c>
      <c r="H706" s="11">
        <v>8</v>
      </c>
      <c r="I706" s="18" t="s">
        <v>294</v>
      </c>
      <c r="J706" s="18" t="s">
        <v>294</v>
      </c>
      <c r="K706" s="19">
        <v>43549.706597734665</v>
      </c>
      <c r="L706" s="41">
        <v>0</v>
      </c>
      <c r="M706" s="41" t="s">
        <v>294</v>
      </c>
      <c r="N706" s="41">
        <v>0</v>
      </c>
      <c r="O706" s="41" t="s">
        <v>294</v>
      </c>
      <c r="P706" s="41">
        <v>0</v>
      </c>
      <c r="Q706" s="43">
        <v>0</v>
      </c>
      <c r="R706" s="43">
        <v>0</v>
      </c>
      <c r="S706" s="43">
        <v>0</v>
      </c>
      <c r="T706" s="43">
        <v>0</v>
      </c>
      <c r="U706" s="19"/>
      <c r="V706" s="13">
        <f t="shared" si="83"/>
        <v>43549.706597734665</v>
      </c>
      <c r="W706" s="13"/>
      <c r="X706" s="13"/>
      <c r="Y706" s="13"/>
      <c r="Z706" s="13"/>
      <c r="AA706" s="22">
        <v>45658</v>
      </c>
      <c r="AB706" s="22" cm="1">
        <f t="array" ref="AB7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06" s="4"/>
      <c r="AD706" s="4"/>
      <c r="AE706" s="2"/>
      <c r="AF706" s="3"/>
      <c r="AG706" s="3"/>
      <c r="AH706" s="3"/>
      <c r="AI706" s="3"/>
      <c r="AJ706" s="2">
        <f t="shared" si="84"/>
        <v>0</v>
      </c>
      <c r="AK706" s="2">
        <f t="shared" si="82"/>
        <v>0</v>
      </c>
      <c r="AL706" s="2">
        <f t="shared" si="85"/>
        <v>0</v>
      </c>
      <c r="AM706" s="88"/>
      <c r="AN706" s="157" t="s">
        <v>774</v>
      </c>
    </row>
    <row r="707" spans="2:40" ht="23.15" customHeight="1" thickBot="1">
      <c r="B707" s="87"/>
      <c r="C707" s="2" t="s">
        <v>292</v>
      </c>
      <c r="D707" s="15" t="s">
        <v>19</v>
      </c>
      <c r="E707" s="20" t="s">
        <v>35</v>
      </c>
      <c r="F707" s="20" t="s">
        <v>40</v>
      </c>
      <c r="G707" s="11">
        <v>8</v>
      </c>
      <c r="H707" s="11">
        <v>8</v>
      </c>
      <c r="I707" s="18" t="s">
        <v>294</v>
      </c>
      <c r="J707" s="18" t="s">
        <v>294</v>
      </c>
      <c r="K707" s="19">
        <v>43549.706597734665</v>
      </c>
      <c r="L707" s="41">
        <v>0</v>
      </c>
      <c r="M707" s="41" t="s">
        <v>294</v>
      </c>
      <c r="N707" s="41">
        <v>0</v>
      </c>
      <c r="O707" s="41" t="s">
        <v>294</v>
      </c>
      <c r="P707" s="41">
        <v>0</v>
      </c>
      <c r="Q707" s="43">
        <v>0</v>
      </c>
      <c r="R707" s="43">
        <v>0</v>
      </c>
      <c r="S707" s="43">
        <v>0</v>
      </c>
      <c r="T707" s="43">
        <v>0</v>
      </c>
      <c r="U707" s="19"/>
      <c r="V707" s="13">
        <f t="shared" si="83"/>
        <v>43549.706597734665</v>
      </c>
      <c r="W707" s="13"/>
      <c r="X707" s="13"/>
      <c r="Y707" s="13"/>
      <c r="Z707" s="13"/>
      <c r="AA707" s="22">
        <v>45689</v>
      </c>
      <c r="AB707" s="22" cm="1">
        <f t="array" ref="AB7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07" s="4"/>
      <c r="AD707" s="4"/>
      <c r="AE707" s="2"/>
      <c r="AF707" s="3"/>
      <c r="AG707" s="3"/>
      <c r="AH707" s="3"/>
      <c r="AI707" s="3"/>
      <c r="AJ707" s="2">
        <f t="shared" si="84"/>
        <v>0</v>
      </c>
      <c r="AK707" s="2">
        <f t="shared" ref="AK707:AK767" si="86">AC707-AD707</f>
        <v>0</v>
      </c>
      <c r="AL707" s="2">
        <f t="shared" si="85"/>
        <v>0</v>
      </c>
      <c r="AM707" s="88"/>
      <c r="AN707" s="157" t="s">
        <v>774</v>
      </c>
    </row>
    <row r="708" spans="2:40" ht="23.15" customHeight="1" thickBot="1">
      <c r="B708" s="87"/>
      <c r="C708" s="2" t="s">
        <v>292</v>
      </c>
      <c r="D708" s="15" t="s">
        <v>19</v>
      </c>
      <c r="E708" s="20" t="s">
        <v>35</v>
      </c>
      <c r="F708" s="20" t="s">
        <v>40</v>
      </c>
      <c r="G708" s="11">
        <v>8</v>
      </c>
      <c r="H708" s="11">
        <v>8</v>
      </c>
      <c r="I708" s="18" t="s">
        <v>294</v>
      </c>
      <c r="J708" s="18" t="s">
        <v>294</v>
      </c>
      <c r="K708" s="19">
        <v>43549.706597734665</v>
      </c>
      <c r="L708" s="41">
        <v>0</v>
      </c>
      <c r="M708" s="41" t="s">
        <v>294</v>
      </c>
      <c r="N708" s="41">
        <v>0</v>
      </c>
      <c r="O708" s="41" t="s">
        <v>294</v>
      </c>
      <c r="P708" s="41">
        <v>0</v>
      </c>
      <c r="Q708" s="43">
        <v>0</v>
      </c>
      <c r="R708" s="43">
        <v>0</v>
      </c>
      <c r="S708" s="43">
        <v>0</v>
      </c>
      <c r="T708" s="43">
        <v>0</v>
      </c>
      <c r="U708" s="19"/>
      <c r="V708" s="13">
        <f t="shared" si="83"/>
        <v>43549.706597734665</v>
      </c>
      <c r="W708" s="13"/>
      <c r="X708" s="13"/>
      <c r="Y708" s="13"/>
      <c r="Z708" s="13"/>
      <c r="AA708" s="22">
        <v>45717</v>
      </c>
      <c r="AB708" s="22" cm="1">
        <f t="array" ref="AB7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08" s="4"/>
      <c r="AD708" s="4"/>
      <c r="AE708" s="2"/>
      <c r="AF708" s="3"/>
      <c r="AG708" s="3"/>
      <c r="AH708" s="3"/>
      <c r="AI708" s="3"/>
      <c r="AJ708" s="2">
        <f t="shared" si="84"/>
        <v>0</v>
      </c>
      <c r="AK708" s="2">
        <f t="shared" si="86"/>
        <v>0</v>
      </c>
      <c r="AL708" s="2">
        <f t="shared" si="85"/>
        <v>0</v>
      </c>
      <c r="AM708" s="88"/>
      <c r="AN708" s="157" t="s">
        <v>774</v>
      </c>
    </row>
    <row r="709" spans="2:40" ht="23.15" customHeight="1" thickBot="1">
      <c r="B709" s="87"/>
      <c r="C709" s="2" t="s">
        <v>292</v>
      </c>
      <c r="D709" s="15" t="s">
        <v>19</v>
      </c>
      <c r="E709" s="20" t="s">
        <v>35</v>
      </c>
      <c r="F709" s="20" t="s">
        <v>40</v>
      </c>
      <c r="G709" s="11">
        <v>8</v>
      </c>
      <c r="H709" s="11">
        <v>8</v>
      </c>
      <c r="I709" s="18" t="s">
        <v>294</v>
      </c>
      <c r="J709" s="18" t="s">
        <v>294</v>
      </c>
      <c r="K709" s="19">
        <v>43549.706597734665</v>
      </c>
      <c r="L709" s="41"/>
      <c r="M709" s="41" t="s">
        <v>294</v>
      </c>
      <c r="N709" s="41"/>
      <c r="O709" s="41" t="s">
        <v>294</v>
      </c>
      <c r="P709" s="41">
        <v>0</v>
      </c>
      <c r="Q709" s="43">
        <v>0</v>
      </c>
      <c r="R709" s="43">
        <v>0</v>
      </c>
      <c r="S709" s="43">
        <v>0</v>
      </c>
      <c r="T709" s="43">
        <v>0</v>
      </c>
      <c r="U709" s="19"/>
      <c r="V709" s="13">
        <f t="shared" si="83"/>
        <v>43549.706597734665</v>
      </c>
      <c r="W709" s="13"/>
      <c r="X709" s="13"/>
      <c r="Y709" s="13"/>
      <c r="Z709" s="13"/>
      <c r="AA709" s="22">
        <v>45748</v>
      </c>
      <c r="AB709" s="22" cm="1">
        <f t="array" ref="AB7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09" s="4"/>
      <c r="AD709" s="4"/>
      <c r="AE709" s="2"/>
      <c r="AF709" s="3"/>
      <c r="AG709" s="3"/>
      <c r="AH709" s="3"/>
      <c r="AI709" s="3"/>
      <c r="AJ709" s="2">
        <f t="shared" si="84"/>
        <v>0</v>
      </c>
      <c r="AK709" s="2">
        <f t="shared" si="86"/>
        <v>0</v>
      </c>
      <c r="AL709" s="2">
        <f t="shared" si="85"/>
        <v>0</v>
      </c>
      <c r="AM709" s="88"/>
      <c r="AN709" s="157" t="s">
        <v>774</v>
      </c>
    </row>
    <row r="710" spans="2:40" ht="23.15" customHeight="1" thickBot="1">
      <c r="B710" s="87"/>
      <c r="C710" s="2" t="s">
        <v>292</v>
      </c>
      <c r="D710" s="15" t="s">
        <v>19</v>
      </c>
      <c r="E710" s="20" t="s">
        <v>35</v>
      </c>
      <c r="F710" s="20" t="s">
        <v>40</v>
      </c>
      <c r="G710" s="11">
        <v>8</v>
      </c>
      <c r="H710" s="11">
        <v>8</v>
      </c>
      <c r="I710" s="41" t="s">
        <v>294</v>
      </c>
      <c r="J710" s="41" t="s">
        <v>294</v>
      </c>
      <c r="K710" s="19">
        <v>43549.706597734665</v>
      </c>
      <c r="L710" s="41">
        <v>0</v>
      </c>
      <c r="M710" s="41" t="s">
        <v>294</v>
      </c>
      <c r="N710" s="41">
        <v>0</v>
      </c>
      <c r="O710" s="41" t="s">
        <v>294</v>
      </c>
      <c r="P710" s="41">
        <v>0</v>
      </c>
      <c r="Q710" s="43">
        <v>0</v>
      </c>
      <c r="R710" s="43">
        <v>0</v>
      </c>
      <c r="S710" s="43">
        <v>0</v>
      </c>
      <c r="T710" s="43">
        <v>0</v>
      </c>
      <c r="U710" s="19" t="s">
        <v>292</v>
      </c>
      <c r="V710" s="13">
        <f t="shared" si="83"/>
        <v>43549.706597734665</v>
      </c>
      <c r="W710" s="13"/>
      <c r="X710" s="13"/>
      <c r="Y710" s="13"/>
      <c r="Z710" s="13"/>
      <c r="AA710" s="22">
        <v>45778</v>
      </c>
      <c r="AB710" s="22" cm="1">
        <f t="array" ref="AB7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10" s="4"/>
      <c r="AD710" s="4"/>
      <c r="AE710" s="2"/>
      <c r="AF710" s="3"/>
      <c r="AG710" s="3"/>
      <c r="AH710" s="3"/>
      <c r="AI710" s="3"/>
      <c r="AJ710" s="2">
        <f t="shared" si="84"/>
        <v>0</v>
      </c>
      <c r="AK710" s="2">
        <f t="shared" si="86"/>
        <v>0</v>
      </c>
      <c r="AL710" s="2">
        <f t="shared" si="85"/>
        <v>0</v>
      </c>
      <c r="AM710" s="88"/>
      <c r="AN710" s="157" t="s">
        <v>774</v>
      </c>
    </row>
    <row r="711" spans="2:40" ht="23.15" customHeight="1" thickBot="1">
      <c r="B711" s="87"/>
      <c r="C711" s="2" t="s">
        <v>292</v>
      </c>
      <c r="D711" s="15" t="s">
        <v>19</v>
      </c>
      <c r="E711" s="20" t="s">
        <v>35</v>
      </c>
      <c r="F711" s="20" t="s">
        <v>40</v>
      </c>
      <c r="G711" s="11">
        <v>8</v>
      </c>
      <c r="H711" s="11">
        <v>8</v>
      </c>
      <c r="I711" s="41" t="s">
        <v>294</v>
      </c>
      <c r="J711" s="41" t="s">
        <v>294</v>
      </c>
      <c r="K711" s="19">
        <v>43549.706597734665</v>
      </c>
      <c r="L711" s="41">
        <v>0</v>
      </c>
      <c r="M711" s="41" t="s">
        <v>294</v>
      </c>
      <c r="N711" s="41">
        <v>0</v>
      </c>
      <c r="O711" s="41" t="s">
        <v>294</v>
      </c>
      <c r="P711" s="41" t="s">
        <v>293</v>
      </c>
      <c r="Q711" s="43">
        <v>0</v>
      </c>
      <c r="R711" s="43">
        <v>0</v>
      </c>
      <c r="S711" s="43">
        <v>0</v>
      </c>
      <c r="T711" s="43">
        <v>0</v>
      </c>
      <c r="U711" s="19"/>
      <c r="V711" s="13">
        <f t="shared" si="83"/>
        <v>43549.706597734665</v>
      </c>
      <c r="W711" s="13"/>
      <c r="X711" s="13"/>
      <c r="Y711" s="13"/>
      <c r="Z711" s="13"/>
      <c r="AA711" s="22">
        <v>45809</v>
      </c>
      <c r="AB711" s="22" cm="1">
        <f t="array" ref="AB7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11" s="4"/>
      <c r="AD711" s="4"/>
      <c r="AE711" s="2"/>
      <c r="AF711" s="3"/>
      <c r="AG711" s="3"/>
      <c r="AH711" s="3"/>
      <c r="AI711" s="3"/>
      <c r="AJ711" s="2">
        <f t="shared" si="84"/>
        <v>0</v>
      </c>
      <c r="AK711" s="2">
        <f t="shared" si="86"/>
        <v>0</v>
      </c>
      <c r="AL711" s="2">
        <f t="shared" si="85"/>
        <v>0</v>
      </c>
      <c r="AM711" s="88"/>
      <c r="AN711" s="157" t="s">
        <v>774</v>
      </c>
    </row>
    <row r="712" spans="2:40" ht="23.15" customHeight="1" thickBot="1">
      <c r="B712" s="87">
        <v>45874</v>
      </c>
      <c r="C712" s="2" t="s">
        <v>299</v>
      </c>
      <c r="D712" s="15" t="s">
        <v>19</v>
      </c>
      <c r="E712" s="20" t="s">
        <v>28</v>
      </c>
      <c r="F712" s="20" t="s">
        <v>63</v>
      </c>
      <c r="G712" s="11">
        <v>24</v>
      </c>
      <c r="H712" s="11">
        <v>18</v>
      </c>
      <c r="I712" s="18">
        <v>0</v>
      </c>
      <c r="J712" s="18">
        <v>0</v>
      </c>
      <c r="K712" s="19">
        <v>118516.40880941587</v>
      </c>
      <c r="L712" s="41">
        <v>0</v>
      </c>
      <c r="M712" s="41">
        <v>0</v>
      </c>
      <c r="N712" s="41">
        <v>0</v>
      </c>
      <c r="O712" s="41">
        <v>0</v>
      </c>
      <c r="P712" s="41">
        <v>0</v>
      </c>
      <c r="Q712" s="43">
        <v>0</v>
      </c>
      <c r="R712" s="43">
        <v>0</v>
      </c>
      <c r="S712" s="43">
        <v>0</v>
      </c>
      <c r="T712" s="43">
        <v>0</v>
      </c>
      <c r="U712" s="19" t="s">
        <v>295</v>
      </c>
      <c r="V712" s="13">
        <f t="shared" si="83"/>
        <v>118516.40880941587</v>
      </c>
      <c r="W712" s="13"/>
      <c r="X712" s="13"/>
      <c r="Y712" s="46"/>
      <c r="Z712" s="46"/>
      <c r="AA712" s="22">
        <v>45839</v>
      </c>
      <c r="AB712" s="22" cm="1">
        <f t="array" ref="AB7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12" s="4"/>
      <c r="AD712" s="4"/>
      <c r="AE712" s="2"/>
      <c r="AF712" s="3"/>
      <c r="AG712" s="3"/>
      <c r="AH712" s="3"/>
      <c r="AI712" s="3"/>
      <c r="AJ712" s="2">
        <f t="shared" si="84"/>
        <v>0</v>
      </c>
      <c r="AK712" s="2">
        <f t="shared" si="86"/>
        <v>0</v>
      </c>
      <c r="AL712" s="2">
        <f t="shared" si="85"/>
        <v>0</v>
      </c>
      <c r="AM712" s="88"/>
      <c r="AN712" s="157" t="s">
        <v>774</v>
      </c>
    </row>
    <row r="713" spans="2:40" ht="23.15" customHeight="1" thickBot="1">
      <c r="B713" s="87"/>
      <c r="C713" s="2" t="s">
        <v>295</v>
      </c>
      <c r="D713" s="15" t="s">
        <v>19</v>
      </c>
      <c r="E713" s="20" t="s">
        <v>28</v>
      </c>
      <c r="F713" s="20" t="s">
        <v>40</v>
      </c>
      <c r="G713" s="11">
        <v>24</v>
      </c>
      <c r="H713" s="11">
        <v>18</v>
      </c>
      <c r="I713" s="18">
        <v>0</v>
      </c>
      <c r="J713" s="18">
        <v>0</v>
      </c>
      <c r="K713" s="19">
        <v>106303.04499136836</v>
      </c>
      <c r="L713" s="41">
        <v>0</v>
      </c>
      <c r="M713" s="41">
        <v>0</v>
      </c>
      <c r="N713" s="41">
        <v>0</v>
      </c>
      <c r="O713" s="41">
        <v>0</v>
      </c>
      <c r="P713" s="41">
        <v>0</v>
      </c>
      <c r="Q713" s="43">
        <v>0</v>
      </c>
      <c r="R713" s="43">
        <v>0</v>
      </c>
      <c r="S713" s="43">
        <v>0</v>
      </c>
      <c r="T713" s="43">
        <v>0</v>
      </c>
      <c r="U713" s="19" t="s">
        <v>295</v>
      </c>
      <c r="V713" s="13">
        <f t="shared" si="83"/>
        <v>106303.04499136836</v>
      </c>
      <c r="W713" s="13"/>
      <c r="X713" s="13"/>
      <c r="Y713" s="46"/>
      <c r="Z713" s="46"/>
      <c r="AA713" s="22">
        <v>45658</v>
      </c>
      <c r="AB713" s="22" cm="1">
        <f t="array" ref="AB7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13" s="4"/>
      <c r="AD713" s="4"/>
      <c r="AE713" s="2"/>
      <c r="AF713" s="3"/>
      <c r="AG713" s="3"/>
      <c r="AH713" s="3"/>
      <c r="AI713" s="3"/>
      <c r="AJ713" s="2">
        <f t="shared" si="84"/>
        <v>0</v>
      </c>
      <c r="AK713" s="2">
        <f t="shared" si="86"/>
        <v>0</v>
      </c>
      <c r="AL713" s="2">
        <f t="shared" si="85"/>
        <v>0</v>
      </c>
      <c r="AM713" s="88"/>
      <c r="AN713" s="157" t="s">
        <v>774</v>
      </c>
    </row>
    <row r="714" spans="2:40" ht="23.15" customHeight="1" thickBot="1">
      <c r="B714" s="87">
        <v>45727</v>
      </c>
      <c r="C714" s="2" t="s">
        <v>295</v>
      </c>
      <c r="D714" s="15" t="s">
        <v>19</v>
      </c>
      <c r="E714" s="20" t="s">
        <v>28</v>
      </c>
      <c r="F714" s="20" t="s">
        <v>63</v>
      </c>
      <c r="G714" s="11">
        <v>24</v>
      </c>
      <c r="H714" s="11">
        <v>18</v>
      </c>
      <c r="I714" s="18">
        <v>0</v>
      </c>
      <c r="J714" s="18">
        <v>0</v>
      </c>
      <c r="K714" s="19">
        <v>111740.3</v>
      </c>
      <c r="L714" s="41">
        <v>0</v>
      </c>
      <c r="M714" s="41">
        <v>0</v>
      </c>
      <c r="N714" s="41">
        <v>0</v>
      </c>
      <c r="O714" s="41">
        <v>0</v>
      </c>
      <c r="P714" s="41">
        <v>0</v>
      </c>
      <c r="Q714" s="43">
        <v>0</v>
      </c>
      <c r="R714" s="43">
        <v>0</v>
      </c>
      <c r="S714" s="43">
        <v>0</v>
      </c>
      <c r="T714" s="43">
        <v>0</v>
      </c>
      <c r="U714" s="19" t="s">
        <v>295</v>
      </c>
      <c r="V714" s="13">
        <f t="shared" si="83"/>
        <v>111740.3</v>
      </c>
      <c r="W714" s="13"/>
      <c r="X714" s="13"/>
      <c r="Y714" s="46"/>
      <c r="Z714" s="46"/>
      <c r="AA714" s="22">
        <v>45689</v>
      </c>
      <c r="AB714" s="22" cm="1">
        <f t="array" ref="AB7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14" s="4"/>
      <c r="AD714" s="4"/>
      <c r="AE714" s="2"/>
      <c r="AF714" s="3"/>
      <c r="AG714" s="3"/>
      <c r="AH714" s="3"/>
      <c r="AI714" s="3"/>
      <c r="AJ714" s="2">
        <f t="shared" si="84"/>
        <v>0</v>
      </c>
      <c r="AK714" s="2">
        <f t="shared" si="86"/>
        <v>0</v>
      </c>
      <c r="AL714" s="2">
        <f t="shared" si="85"/>
        <v>0</v>
      </c>
      <c r="AM714" s="88"/>
      <c r="AN714" s="157" t="s">
        <v>774</v>
      </c>
    </row>
    <row r="715" spans="2:40" ht="23.15" customHeight="1" thickBot="1">
      <c r="B715" s="87">
        <v>45757</v>
      </c>
      <c r="C715" s="2" t="s">
        <v>295</v>
      </c>
      <c r="D715" s="15" t="s">
        <v>19</v>
      </c>
      <c r="E715" s="20" t="s">
        <v>28</v>
      </c>
      <c r="F715" s="20" t="s">
        <v>63</v>
      </c>
      <c r="G715" s="11">
        <v>24</v>
      </c>
      <c r="H715" s="11">
        <v>18</v>
      </c>
      <c r="I715" s="18">
        <v>0</v>
      </c>
      <c r="J715" s="18">
        <v>0</v>
      </c>
      <c r="K715" s="19">
        <v>111740.3</v>
      </c>
      <c r="L715" s="41">
        <v>0</v>
      </c>
      <c r="M715" s="41">
        <v>0</v>
      </c>
      <c r="N715" s="41">
        <v>0</v>
      </c>
      <c r="O715" s="41">
        <v>0</v>
      </c>
      <c r="P715" s="41">
        <v>0</v>
      </c>
      <c r="Q715" s="43">
        <v>0</v>
      </c>
      <c r="R715" s="43">
        <v>0</v>
      </c>
      <c r="S715" s="43">
        <v>0</v>
      </c>
      <c r="T715" s="43">
        <v>0</v>
      </c>
      <c r="U715" s="19" t="s">
        <v>295</v>
      </c>
      <c r="V715" s="13">
        <f t="shared" si="83"/>
        <v>111740.3</v>
      </c>
      <c r="W715" s="13"/>
      <c r="X715" s="13"/>
      <c r="Y715" s="46"/>
      <c r="Z715" s="46"/>
      <c r="AA715" s="22">
        <v>45717</v>
      </c>
      <c r="AB715" s="22" cm="1">
        <f t="array" ref="AB7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15" s="4"/>
      <c r="AD715" s="4"/>
      <c r="AE715" s="2"/>
      <c r="AF715" s="3"/>
      <c r="AG715" s="3"/>
      <c r="AH715" s="3"/>
      <c r="AI715" s="3"/>
      <c r="AJ715" s="2">
        <f t="shared" si="84"/>
        <v>0</v>
      </c>
      <c r="AK715" s="2">
        <f t="shared" si="86"/>
        <v>0</v>
      </c>
      <c r="AL715" s="2">
        <f t="shared" si="85"/>
        <v>0</v>
      </c>
      <c r="AM715" s="88"/>
      <c r="AN715" s="157" t="s">
        <v>774</v>
      </c>
    </row>
    <row r="716" spans="2:40" ht="23.15" customHeight="1" thickBot="1">
      <c r="B716" s="87">
        <v>45789</v>
      </c>
      <c r="C716" s="2" t="s">
        <v>295</v>
      </c>
      <c r="D716" s="15" t="s">
        <v>19</v>
      </c>
      <c r="E716" s="20" t="s">
        <v>28</v>
      </c>
      <c r="F716" s="20" t="s">
        <v>63</v>
      </c>
      <c r="G716" s="11">
        <v>24</v>
      </c>
      <c r="H716" s="11">
        <v>18</v>
      </c>
      <c r="I716" s="18">
        <v>0</v>
      </c>
      <c r="J716" s="18">
        <v>0</v>
      </c>
      <c r="K716" s="19">
        <v>111740.3</v>
      </c>
      <c r="L716" s="41">
        <v>0</v>
      </c>
      <c r="M716" s="41">
        <v>0</v>
      </c>
      <c r="N716" s="41">
        <v>0</v>
      </c>
      <c r="O716" s="41">
        <v>0</v>
      </c>
      <c r="P716" s="41">
        <v>0</v>
      </c>
      <c r="Q716" s="43">
        <v>0</v>
      </c>
      <c r="R716" s="43">
        <v>0</v>
      </c>
      <c r="S716" s="43">
        <v>0</v>
      </c>
      <c r="T716" s="43">
        <v>0</v>
      </c>
      <c r="U716" s="19" t="s">
        <v>295</v>
      </c>
      <c r="V716" s="13">
        <f t="shared" si="83"/>
        <v>111740.3</v>
      </c>
      <c r="W716" s="13"/>
      <c r="X716" s="13"/>
      <c r="Y716" s="46"/>
      <c r="Z716" s="46"/>
      <c r="AA716" s="22">
        <v>45748</v>
      </c>
      <c r="AB716" s="22" cm="1">
        <f t="array" ref="AB7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16" s="4"/>
      <c r="AD716" s="4"/>
      <c r="AE716" s="2"/>
      <c r="AF716" s="3"/>
      <c r="AG716" s="3"/>
      <c r="AH716" s="3"/>
      <c r="AI716" s="3"/>
      <c r="AJ716" s="2">
        <f t="shared" si="84"/>
        <v>0</v>
      </c>
      <c r="AK716" s="2">
        <f t="shared" si="86"/>
        <v>0</v>
      </c>
      <c r="AL716" s="2">
        <f t="shared" si="85"/>
        <v>0</v>
      </c>
      <c r="AM716" s="88"/>
      <c r="AN716" s="157" t="s">
        <v>774</v>
      </c>
    </row>
    <row r="717" spans="2:40" ht="23.15" customHeight="1" thickBot="1">
      <c r="B717" s="87">
        <v>45783</v>
      </c>
      <c r="C717" s="2" t="s">
        <v>295</v>
      </c>
      <c r="D717" s="15" t="s">
        <v>19</v>
      </c>
      <c r="E717" s="20" t="s">
        <v>28</v>
      </c>
      <c r="F717" s="20" t="s">
        <v>63</v>
      </c>
      <c r="G717" s="11">
        <v>24</v>
      </c>
      <c r="H717" s="11">
        <v>18</v>
      </c>
      <c r="I717" s="18">
        <v>0</v>
      </c>
      <c r="J717" s="18">
        <v>0</v>
      </c>
      <c r="K717" s="19">
        <v>111740.3</v>
      </c>
      <c r="L717" s="41">
        <v>0</v>
      </c>
      <c r="M717" s="41">
        <v>0</v>
      </c>
      <c r="N717" s="41">
        <v>0</v>
      </c>
      <c r="O717" s="41">
        <v>0</v>
      </c>
      <c r="P717" s="41">
        <v>0</v>
      </c>
      <c r="Q717" s="43">
        <v>0</v>
      </c>
      <c r="R717" s="43">
        <v>0</v>
      </c>
      <c r="S717" s="43">
        <v>0</v>
      </c>
      <c r="T717" s="43">
        <v>0</v>
      </c>
      <c r="U717" s="19" t="s">
        <v>295</v>
      </c>
      <c r="V717" s="13">
        <f t="shared" si="83"/>
        <v>111740.3</v>
      </c>
      <c r="W717" s="13"/>
      <c r="X717" s="13"/>
      <c r="Y717" s="46"/>
      <c r="Z717" s="46"/>
      <c r="AA717" s="22">
        <v>45778</v>
      </c>
      <c r="AB717" s="22" cm="1">
        <f t="array" ref="AB7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17" s="4"/>
      <c r="AD717" s="4"/>
      <c r="AE717" s="2"/>
      <c r="AF717" s="3"/>
      <c r="AG717" s="3"/>
      <c r="AH717" s="3"/>
      <c r="AI717" s="3"/>
      <c r="AJ717" s="2">
        <f t="shared" si="84"/>
        <v>0</v>
      </c>
      <c r="AK717" s="2">
        <f t="shared" si="86"/>
        <v>0</v>
      </c>
      <c r="AL717" s="2">
        <f t="shared" si="85"/>
        <v>0</v>
      </c>
      <c r="AM717" s="88"/>
      <c r="AN717" s="157" t="s">
        <v>774</v>
      </c>
    </row>
    <row r="718" spans="2:40" ht="23.15" customHeight="1" thickBot="1">
      <c r="B718" s="87">
        <v>45839</v>
      </c>
      <c r="C718" s="2" t="s">
        <v>295</v>
      </c>
      <c r="D718" s="15" t="s">
        <v>19</v>
      </c>
      <c r="E718" s="20" t="s">
        <v>28</v>
      </c>
      <c r="F718" s="20" t="s">
        <v>63</v>
      </c>
      <c r="G718" s="11">
        <v>24</v>
      </c>
      <c r="H718" s="11">
        <v>18</v>
      </c>
      <c r="I718" s="18">
        <v>0</v>
      </c>
      <c r="J718" s="18">
        <v>0</v>
      </c>
      <c r="K718" s="19">
        <v>118516.40880941587</v>
      </c>
      <c r="L718" s="41">
        <v>0</v>
      </c>
      <c r="M718" s="41">
        <v>0</v>
      </c>
      <c r="N718" s="41">
        <v>0</v>
      </c>
      <c r="O718" s="41">
        <v>0</v>
      </c>
      <c r="P718" s="41">
        <v>0</v>
      </c>
      <c r="Q718" s="43">
        <v>0</v>
      </c>
      <c r="R718" s="43">
        <v>0</v>
      </c>
      <c r="S718" s="43">
        <v>0</v>
      </c>
      <c r="T718" s="43">
        <v>0</v>
      </c>
      <c r="U718" s="19" t="s">
        <v>295</v>
      </c>
      <c r="V718" s="13">
        <f t="shared" si="83"/>
        <v>118516.40880941587</v>
      </c>
      <c r="W718" s="13"/>
      <c r="X718" s="13"/>
      <c r="Y718" s="46">
        <v>20328.330000000002</v>
      </c>
      <c r="Z718" s="46" t="s">
        <v>302</v>
      </c>
      <c r="AA718" s="22">
        <v>45809</v>
      </c>
      <c r="AB718" s="22" cm="1">
        <f t="array" ref="AB7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18" s="4"/>
      <c r="AD718" s="4"/>
      <c r="AE718" s="2"/>
      <c r="AF718" s="3"/>
      <c r="AG718" s="3"/>
      <c r="AH718" s="3"/>
      <c r="AI718" s="3"/>
      <c r="AJ718" s="2">
        <f t="shared" si="84"/>
        <v>0</v>
      </c>
      <c r="AK718" s="2">
        <f t="shared" si="86"/>
        <v>0</v>
      </c>
      <c r="AL718" s="2">
        <f t="shared" si="85"/>
        <v>0</v>
      </c>
      <c r="AM718" s="88"/>
      <c r="AN718" s="157" t="s">
        <v>774</v>
      </c>
    </row>
    <row r="719" spans="2:40" ht="23.15" customHeight="1" thickBot="1">
      <c r="B719" s="87">
        <v>45874</v>
      </c>
      <c r="C719" s="2" t="s">
        <v>295</v>
      </c>
      <c r="D719" s="15" t="s">
        <v>19</v>
      </c>
      <c r="E719" s="20" t="s">
        <v>32</v>
      </c>
      <c r="F719" s="20" t="s">
        <v>40</v>
      </c>
      <c r="G719" s="11">
        <v>18</v>
      </c>
      <c r="H719" s="11">
        <v>18</v>
      </c>
      <c r="I719" s="18">
        <v>0</v>
      </c>
      <c r="J719" s="18">
        <v>0</v>
      </c>
      <c r="K719" s="19">
        <v>127463.91386716676</v>
      </c>
      <c r="L719" s="41">
        <v>0</v>
      </c>
      <c r="M719" s="41">
        <v>0</v>
      </c>
      <c r="N719" s="41">
        <v>0</v>
      </c>
      <c r="O719" s="41">
        <v>0</v>
      </c>
      <c r="P719" s="41">
        <v>0</v>
      </c>
      <c r="Q719" s="43">
        <v>0</v>
      </c>
      <c r="R719" s="43">
        <v>0</v>
      </c>
      <c r="S719" s="43">
        <v>0</v>
      </c>
      <c r="T719" s="43">
        <v>0</v>
      </c>
      <c r="U719" s="19" t="s">
        <v>295</v>
      </c>
      <c r="V719" s="13">
        <f t="shared" si="83"/>
        <v>127463.91386716676</v>
      </c>
      <c r="W719" s="13"/>
      <c r="X719" s="13"/>
      <c r="Y719" s="13"/>
      <c r="Z719" s="45"/>
      <c r="AA719" s="22">
        <v>45839</v>
      </c>
      <c r="AB719" s="22" cm="1">
        <f t="array" ref="AB7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19" s="4"/>
      <c r="AD719" s="4"/>
      <c r="AE719" s="2"/>
      <c r="AF719" s="3"/>
      <c r="AG719" s="3"/>
      <c r="AH719" s="3"/>
      <c r="AI719" s="3"/>
      <c r="AJ719" s="2">
        <f t="shared" si="84"/>
        <v>0</v>
      </c>
      <c r="AK719" s="2">
        <f t="shared" si="86"/>
        <v>0</v>
      </c>
      <c r="AL719" s="2">
        <f t="shared" si="85"/>
        <v>0</v>
      </c>
      <c r="AM719" s="88"/>
      <c r="AN719" s="157" t="s">
        <v>774</v>
      </c>
    </row>
    <row r="720" spans="2:40" ht="23.15" customHeight="1" thickBot="1">
      <c r="B720" s="87">
        <v>45931</v>
      </c>
      <c r="C720" s="2" t="s">
        <v>295</v>
      </c>
      <c r="D720" s="15" t="s">
        <v>19</v>
      </c>
      <c r="E720" s="20" t="s">
        <v>28</v>
      </c>
      <c r="F720" s="20" t="s">
        <v>63</v>
      </c>
      <c r="G720" s="11">
        <v>24</v>
      </c>
      <c r="H720" s="11">
        <v>18</v>
      </c>
      <c r="I720" s="18">
        <v>2</v>
      </c>
      <c r="J720" s="18">
        <v>8</v>
      </c>
      <c r="K720" s="19">
        <v>118516.40880941587</v>
      </c>
      <c r="L720" s="41">
        <v>0</v>
      </c>
      <c r="M720" s="41">
        <v>-679.38</v>
      </c>
      <c r="N720" s="41">
        <v>0</v>
      </c>
      <c r="O720" s="41">
        <v>-376</v>
      </c>
      <c r="P720" s="41">
        <v>-589.1</v>
      </c>
      <c r="Q720" s="43">
        <v>0</v>
      </c>
      <c r="R720" s="43">
        <v>0</v>
      </c>
      <c r="S720" s="43">
        <v>0</v>
      </c>
      <c r="T720" s="43">
        <v>0</v>
      </c>
      <c r="U720" s="19" t="s">
        <v>295</v>
      </c>
      <c r="V720" s="13">
        <f t="shared" si="83"/>
        <v>116871.92880941585</v>
      </c>
      <c r="W720" s="13"/>
      <c r="X720" s="13"/>
      <c r="Y720" s="46"/>
      <c r="Z720" s="46"/>
      <c r="AA720" s="22">
        <v>45901</v>
      </c>
      <c r="AB720" s="22" cm="1">
        <f t="array" ref="AB7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20" s="4"/>
      <c r="AD720" s="4"/>
      <c r="AE720" s="2"/>
      <c r="AF720" s="3"/>
      <c r="AG720" s="3"/>
      <c r="AH720" s="3"/>
      <c r="AI720" s="3"/>
      <c r="AJ720" s="2">
        <f t="shared" si="84"/>
        <v>679.38</v>
      </c>
      <c r="AK720" s="2">
        <f t="shared" si="86"/>
        <v>0</v>
      </c>
      <c r="AL720" s="2">
        <f t="shared" si="85"/>
        <v>1644.4800000000105</v>
      </c>
      <c r="AM720" s="88"/>
      <c r="AN720" s="157" t="s">
        <v>774</v>
      </c>
    </row>
    <row r="721" spans="2:40" ht="23.15" customHeight="1" thickBot="1">
      <c r="B721" s="87"/>
      <c r="C721" s="2" t="s">
        <v>292</v>
      </c>
      <c r="D721" s="15" t="s">
        <v>19</v>
      </c>
      <c r="E721" s="20" t="s">
        <v>25</v>
      </c>
      <c r="F721" s="20" t="s">
        <v>40</v>
      </c>
      <c r="G721" s="11">
        <v>29</v>
      </c>
      <c r="H721" s="11">
        <v>17</v>
      </c>
      <c r="I721" s="18" t="s">
        <v>294</v>
      </c>
      <c r="J721" s="18" t="s">
        <v>294</v>
      </c>
      <c r="K721" s="19">
        <v>119536.67304435001</v>
      </c>
      <c r="L721" s="41">
        <v>0</v>
      </c>
      <c r="M721" s="41" t="s">
        <v>294</v>
      </c>
      <c r="N721" s="41">
        <v>0</v>
      </c>
      <c r="O721" s="41" t="s">
        <v>294</v>
      </c>
      <c r="P721" s="41" t="s">
        <v>301</v>
      </c>
      <c r="Q721" s="43">
        <v>0</v>
      </c>
      <c r="R721" s="43">
        <v>0</v>
      </c>
      <c r="S721" s="43">
        <v>0</v>
      </c>
      <c r="T721" s="43">
        <v>0</v>
      </c>
      <c r="U721" s="19"/>
      <c r="V721" s="13">
        <f t="shared" si="83"/>
        <v>119536.67304435001</v>
      </c>
      <c r="W721" s="13"/>
      <c r="X721" s="13"/>
      <c r="Y721" s="13"/>
      <c r="Z721" s="13"/>
      <c r="AA721" s="22">
        <v>45658</v>
      </c>
      <c r="AB721" s="22" cm="1">
        <f t="array" ref="AB7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21" s="4"/>
      <c r="AD721" s="4"/>
      <c r="AE721" s="2"/>
      <c r="AF721" s="3"/>
      <c r="AG721" s="3"/>
      <c r="AH721" s="3"/>
      <c r="AI721" s="3"/>
      <c r="AJ721" s="2">
        <f t="shared" si="84"/>
        <v>0</v>
      </c>
      <c r="AK721" s="2">
        <f t="shared" si="86"/>
        <v>0</v>
      </c>
      <c r="AL721" s="2">
        <f t="shared" si="85"/>
        <v>0</v>
      </c>
      <c r="AM721" s="88"/>
      <c r="AN721" s="157" t="s">
        <v>774</v>
      </c>
    </row>
    <row r="722" spans="2:40" ht="23.15" customHeight="1" thickBot="1">
      <c r="B722" s="87"/>
      <c r="C722" s="2" t="s">
        <v>292</v>
      </c>
      <c r="D722" s="15" t="s">
        <v>19</v>
      </c>
      <c r="E722" s="20" t="s">
        <v>32</v>
      </c>
      <c r="F722" s="20" t="s">
        <v>40</v>
      </c>
      <c r="G722" s="11">
        <v>18</v>
      </c>
      <c r="H722" s="11">
        <v>18</v>
      </c>
      <c r="I722" s="18">
        <v>0</v>
      </c>
      <c r="J722" s="18">
        <v>0</v>
      </c>
      <c r="K722" s="19">
        <v>122035</v>
      </c>
      <c r="L722" s="41">
        <v>0</v>
      </c>
      <c r="M722" s="41">
        <v>0</v>
      </c>
      <c r="N722" s="41">
        <v>0</v>
      </c>
      <c r="O722" s="41">
        <v>0</v>
      </c>
      <c r="P722" s="41">
        <v>0</v>
      </c>
      <c r="Q722" s="43">
        <v>0</v>
      </c>
      <c r="R722" s="43">
        <v>0</v>
      </c>
      <c r="S722" s="43">
        <v>0</v>
      </c>
      <c r="T722" s="43">
        <v>0</v>
      </c>
      <c r="U722" s="19" t="s">
        <v>295</v>
      </c>
      <c r="V722" s="13">
        <f t="shared" si="83"/>
        <v>122035</v>
      </c>
      <c r="W722" s="13"/>
      <c r="X722" s="13"/>
      <c r="Y722" s="13"/>
      <c r="Z722" s="45"/>
      <c r="AA722" s="22">
        <v>45689</v>
      </c>
      <c r="AB722" s="22" cm="1">
        <f t="array" ref="AB7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22" s="4">
        <v>1334.03</v>
      </c>
      <c r="AD722" s="4">
        <v>1334.03</v>
      </c>
      <c r="AE722" s="2"/>
      <c r="AF722" s="3"/>
      <c r="AG722" s="3"/>
      <c r="AH722" s="3"/>
      <c r="AI722" s="3"/>
      <c r="AJ722" s="2">
        <f t="shared" si="84"/>
        <v>0</v>
      </c>
      <c r="AK722" s="2">
        <f t="shared" si="86"/>
        <v>0</v>
      </c>
      <c r="AL722" s="2">
        <f t="shared" si="85"/>
        <v>0</v>
      </c>
      <c r="AM722" s="88"/>
      <c r="AN722" s="157" t="s">
        <v>774</v>
      </c>
    </row>
    <row r="723" spans="2:40" ht="23.15" customHeight="1" thickBot="1">
      <c r="B723" s="87">
        <v>45757</v>
      </c>
      <c r="C723" s="2" t="s">
        <v>295</v>
      </c>
      <c r="D723" s="15" t="s">
        <v>19</v>
      </c>
      <c r="E723" s="20" t="s">
        <v>32</v>
      </c>
      <c r="F723" s="20" t="s">
        <v>40</v>
      </c>
      <c r="G723" s="11">
        <v>18</v>
      </c>
      <c r="H723" s="11">
        <v>18</v>
      </c>
      <c r="I723" s="18">
        <v>0</v>
      </c>
      <c r="J723" s="18">
        <v>0</v>
      </c>
      <c r="K723" s="19">
        <v>122035</v>
      </c>
      <c r="L723" s="41">
        <v>0</v>
      </c>
      <c r="M723" s="41">
        <v>0</v>
      </c>
      <c r="N723" s="41">
        <v>0</v>
      </c>
      <c r="O723" s="41">
        <v>0</v>
      </c>
      <c r="P723" s="41">
        <v>0</v>
      </c>
      <c r="Q723" s="43">
        <v>0</v>
      </c>
      <c r="R723" s="43">
        <v>0</v>
      </c>
      <c r="S723" s="43">
        <v>0</v>
      </c>
      <c r="T723" s="43">
        <v>0</v>
      </c>
      <c r="U723" s="19" t="s">
        <v>295</v>
      </c>
      <c r="V723" s="13">
        <f t="shared" si="83"/>
        <v>122035</v>
      </c>
      <c r="W723" s="13"/>
      <c r="X723" s="13"/>
      <c r="Y723" s="13"/>
      <c r="Z723" s="45"/>
      <c r="AA723" s="22">
        <v>45717</v>
      </c>
      <c r="AB723" s="22" cm="1">
        <f t="array" ref="AB7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23" s="4">
        <v>2997.11</v>
      </c>
      <c r="AD723" s="4">
        <v>2997.11</v>
      </c>
      <c r="AE723" s="2"/>
      <c r="AF723" s="3"/>
      <c r="AG723" s="3"/>
      <c r="AH723" s="3"/>
      <c r="AI723" s="3"/>
      <c r="AJ723" s="2">
        <f t="shared" si="84"/>
        <v>0</v>
      </c>
      <c r="AK723" s="2">
        <f t="shared" si="86"/>
        <v>0</v>
      </c>
      <c r="AL723" s="2">
        <f t="shared" si="85"/>
        <v>0</v>
      </c>
      <c r="AM723" s="88"/>
      <c r="AN723" s="157" t="s">
        <v>774</v>
      </c>
    </row>
    <row r="724" spans="2:40" ht="23.15" customHeight="1" thickBot="1">
      <c r="B724" s="87"/>
      <c r="C724" s="2" t="s">
        <v>292</v>
      </c>
      <c r="D724" s="15" t="s">
        <v>19</v>
      </c>
      <c r="E724" s="20" t="s">
        <v>32</v>
      </c>
      <c r="F724" s="20" t="s">
        <v>40</v>
      </c>
      <c r="G724" s="11">
        <v>18</v>
      </c>
      <c r="H724" s="11">
        <v>18</v>
      </c>
      <c r="I724" s="18">
        <v>0</v>
      </c>
      <c r="J724" s="18">
        <v>0</v>
      </c>
      <c r="K724" s="19">
        <v>122706</v>
      </c>
      <c r="L724" s="41">
        <v>0</v>
      </c>
      <c r="M724" s="41">
        <v>0</v>
      </c>
      <c r="N724" s="41">
        <v>0</v>
      </c>
      <c r="O724" s="41">
        <v>0</v>
      </c>
      <c r="P724" s="41">
        <v>0</v>
      </c>
      <c r="Q724" s="43">
        <v>0</v>
      </c>
      <c r="R724" s="43">
        <v>0</v>
      </c>
      <c r="S724" s="43">
        <v>0</v>
      </c>
      <c r="T724" s="43">
        <v>0</v>
      </c>
      <c r="U724" s="19" t="s">
        <v>295</v>
      </c>
      <c r="V724" s="13">
        <f t="shared" si="83"/>
        <v>122706</v>
      </c>
      <c r="W724" s="13"/>
      <c r="X724" s="13"/>
      <c r="Y724" s="13"/>
      <c r="Z724" s="45"/>
      <c r="AA724" s="22">
        <v>45658</v>
      </c>
      <c r="AB724" s="22" cm="1">
        <f t="array" ref="AB7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24" s="4"/>
      <c r="AD724" s="4"/>
      <c r="AE724" s="2"/>
      <c r="AF724" s="3"/>
      <c r="AG724" s="3"/>
      <c r="AH724" s="3"/>
      <c r="AI724" s="3"/>
      <c r="AJ724" s="2">
        <f t="shared" si="84"/>
        <v>0</v>
      </c>
      <c r="AK724" s="2">
        <f t="shared" si="86"/>
        <v>0</v>
      </c>
      <c r="AL724" s="2">
        <f t="shared" si="85"/>
        <v>0</v>
      </c>
      <c r="AM724" s="88"/>
      <c r="AN724" s="157" t="s">
        <v>774</v>
      </c>
    </row>
    <row r="725" spans="2:40" ht="23.15" customHeight="1" thickBot="1">
      <c r="B725" s="87"/>
      <c r="C725" s="2" t="s">
        <v>292</v>
      </c>
      <c r="D725" s="15" t="s">
        <v>19</v>
      </c>
      <c r="E725" s="20" t="s">
        <v>25</v>
      </c>
      <c r="F725" s="20" t="s">
        <v>40</v>
      </c>
      <c r="G725" s="11">
        <v>29</v>
      </c>
      <c r="H725" s="11">
        <v>17</v>
      </c>
      <c r="I725" s="18" t="s">
        <v>294</v>
      </c>
      <c r="J725" s="18" t="s">
        <v>294</v>
      </c>
      <c r="K725" s="19">
        <v>124611.54837574999</v>
      </c>
      <c r="L725" s="41">
        <v>0</v>
      </c>
      <c r="M725" s="41" t="s">
        <v>294</v>
      </c>
      <c r="N725" s="41">
        <v>0</v>
      </c>
      <c r="O725" s="41" t="s">
        <v>294</v>
      </c>
      <c r="P725" s="41" t="s">
        <v>301</v>
      </c>
      <c r="Q725" s="43">
        <v>0</v>
      </c>
      <c r="R725" s="43">
        <v>0</v>
      </c>
      <c r="S725" s="43">
        <v>0</v>
      </c>
      <c r="T725" s="43">
        <v>0</v>
      </c>
      <c r="U725" s="19"/>
      <c r="V725" s="13">
        <f t="shared" si="83"/>
        <v>124611.54837574999</v>
      </c>
      <c r="W725" s="13"/>
      <c r="X725" s="13"/>
      <c r="Y725" s="13"/>
      <c r="Z725" s="13"/>
      <c r="AA725" s="22">
        <v>45689</v>
      </c>
      <c r="AB725" s="22" cm="1">
        <f t="array" ref="AB7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25" s="4"/>
      <c r="AD725" s="4"/>
      <c r="AE725" s="2"/>
      <c r="AF725" s="3"/>
      <c r="AG725" s="3"/>
      <c r="AH725" s="3"/>
      <c r="AI725" s="3"/>
      <c r="AJ725" s="2">
        <f t="shared" si="84"/>
        <v>0</v>
      </c>
      <c r="AK725" s="2">
        <f t="shared" si="86"/>
        <v>0</v>
      </c>
      <c r="AL725" s="2">
        <f t="shared" si="85"/>
        <v>0</v>
      </c>
      <c r="AM725" s="88"/>
      <c r="AN725" s="157" t="s">
        <v>774</v>
      </c>
    </row>
    <row r="726" spans="2:40" ht="23.15" customHeight="1" thickBot="1">
      <c r="B726" s="87"/>
      <c r="C726" s="2" t="s">
        <v>292</v>
      </c>
      <c r="D726" s="15" t="s">
        <v>19</v>
      </c>
      <c r="E726" s="20" t="s">
        <v>25</v>
      </c>
      <c r="F726" s="20" t="s">
        <v>40</v>
      </c>
      <c r="G726" s="11">
        <v>29</v>
      </c>
      <c r="H726" s="11">
        <v>17</v>
      </c>
      <c r="I726" s="18" t="s">
        <v>294</v>
      </c>
      <c r="J726" s="18" t="s">
        <v>294</v>
      </c>
      <c r="K726" s="19">
        <v>124611.54837574999</v>
      </c>
      <c r="L726" s="41">
        <v>0</v>
      </c>
      <c r="M726" s="41" t="s">
        <v>294</v>
      </c>
      <c r="N726" s="41">
        <v>0</v>
      </c>
      <c r="O726" s="41" t="s">
        <v>294</v>
      </c>
      <c r="P726" s="41">
        <v>0</v>
      </c>
      <c r="Q726" s="43">
        <v>0</v>
      </c>
      <c r="R726" s="43">
        <v>0</v>
      </c>
      <c r="S726" s="43">
        <v>0</v>
      </c>
      <c r="T726" s="43">
        <v>0</v>
      </c>
      <c r="U726" s="19"/>
      <c r="V726" s="13">
        <f t="shared" si="83"/>
        <v>124611.54837574999</v>
      </c>
      <c r="W726" s="13"/>
      <c r="X726" s="13"/>
      <c r="Y726" s="13"/>
      <c r="Z726" s="13"/>
      <c r="AA726" s="22">
        <v>45717</v>
      </c>
      <c r="AB726" s="22" cm="1">
        <f t="array" ref="AB7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26" s="4"/>
      <c r="AD726" s="4"/>
      <c r="AE726" s="2"/>
      <c r="AF726" s="3"/>
      <c r="AG726" s="3"/>
      <c r="AH726" s="3"/>
      <c r="AI726" s="3"/>
      <c r="AJ726" s="2">
        <f t="shared" si="84"/>
        <v>0</v>
      </c>
      <c r="AK726" s="2">
        <f t="shared" si="86"/>
        <v>0</v>
      </c>
      <c r="AL726" s="2">
        <f t="shared" si="85"/>
        <v>0</v>
      </c>
      <c r="AM726" s="88"/>
      <c r="AN726" s="157" t="s">
        <v>774</v>
      </c>
    </row>
    <row r="727" spans="2:40" ht="23.15" customHeight="1" thickBot="1">
      <c r="B727" s="87"/>
      <c r="C727" s="2" t="s">
        <v>292</v>
      </c>
      <c r="D727" s="15" t="s">
        <v>19</v>
      </c>
      <c r="E727" s="20" t="s">
        <v>25</v>
      </c>
      <c r="F727" s="20" t="s">
        <v>40</v>
      </c>
      <c r="G727" s="11">
        <v>29</v>
      </c>
      <c r="H727" s="11">
        <v>17</v>
      </c>
      <c r="I727" s="18">
        <v>0</v>
      </c>
      <c r="J727" s="18">
        <v>0</v>
      </c>
      <c r="K727" s="19">
        <v>124611.54837574999</v>
      </c>
      <c r="L727" s="41">
        <v>0</v>
      </c>
      <c r="M727" s="41">
        <v>0</v>
      </c>
      <c r="N727" s="41">
        <v>0</v>
      </c>
      <c r="O727" s="41">
        <v>0</v>
      </c>
      <c r="P727" s="41">
        <v>0</v>
      </c>
      <c r="Q727" s="43">
        <v>0</v>
      </c>
      <c r="R727" s="43">
        <v>0</v>
      </c>
      <c r="S727" s="43">
        <v>0</v>
      </c>
      <c r="T727" s="43">
        <v>0</v>
      </c>
      <c r="U727" s="19"/>
      <c r="V727" s="13">
        <f t="shared" si="83"/>
        <v>124611.54837574999</v>
      </c>
      <c r="W727" s="13"/>
      <c r="X727" s="13"/>
      <c r="Y727" s="13"/>
      <c r="Z727" s="13"/>
      <c r="AA727" s="22">
        <v>45748</v>
      </c>
      <c r="AB727" s="22" cm="1">
        <f t="array" ref="AB7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27" s="4"/>
      <c r="AD727" s="4"/>
      <c r="AE727" s="2"/>
      <c r="AF727" s="3"/>
      <c r="AG727" s="3"/>
      <c r="AH727" s="3"/>
      <c r="AI727" s="3"/>
      <c r="AJ727" s="2">
        <f t="shared" si="84"/>
        <v>0</v>
      </c>
      <c r="AK727" s="2">
        <f t="shared" si="86"/>
        <v>0</v>
      </c>
      <c r="AL727" s="2">
        <f t="shared" si="85"/>
        <v>0</v>
      </c>
      <c r="AM727" s="88"/>
      <c r="AN727" s="157" t="s">
        <v>774</v>
      </c>
    </row>
    <row r="728" spans="2:40" ht="23.15" customHeight="1" thickBot="1">
      <c r="B728" s="87"/>
      <c r="C728" s="2" t="s">
        <v>292</v>
      </c>
      <c r="D728" s="15" t="s">
        <v>19</v>
      </c>
      <c r="E728" s="20" t="s">
        <v>25</v>
      </c>
      <c r="F728" s="20" t="s">
        <v>40</v>
      </c>
      <c r="G728" s="11">
        <v>29</v>
      </c>
      <c r="H728" s="11">
        <v>17</v>
      </c>
      <c r="I728" s="18" t="s">
        <v>294</v>
      </c>
      <c r="J728" s="18" t="s">
        <v>294</v>
      </c>
      <c r="K728" s="19">
        <v>124611.54837574999</v>
      </c>
      <c r="L728" s="41">
        <v>0</v>
      </c>
      <c r="M728" s="41" t="s">
        <v>294</v>
      </c>
      <c r="N728" s="41">
        <v>0</v>
      </c>
      <c r="O728" s="41" t="s">
        <v>294</v>
      </c>
      <c r="P728" s="41" t="s">
        <v>293</v>
      </c>
      <c r="Q728" s="43">
        <v>0</v>
      </c>
      <c r="R728" s="43">
        <v>0</v>
      </c>
      <c r="S728" s="43">
        <v>0</v>
      </c>
      <c r="T728" s="43">
        <v>0</v>
      </c>
      <c r="U728" s="19" t="s">
        <v>292</v>
      </c>
      <c r="V728" s="13">
        <f t="shared" ref="V728:V791" si="87">IFERROR((K728+M728+R728+S728+T728+O728)+IF(U728="Sim",P728+Q728,0),(K728+R728+S728+T728)+IF(U728="Sim",P728+Q728,0))</f>
        <v>124611.54837574999</v>
      </c>
      <c r="W728" s="13"/>
      <c r="X728" s="13"/>
      <c r="Y728" s="13"/>
      <c r="Z728" s="13"/>
      <c r="AA728" s="22">
        <v>45778</v>
      </c>
      <c r="AB728" s="22" cm="1">
        <f t="array" ref="AB7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28" s="4"/>
      <c r="AD728" s="4"/>
      <c r="AE728" s="2"/>
      <c r="AF728" s="3"/>
      <c r="AG728" s="3"/>
      <c r="AH728" s="3"/>
      <c r="AI728" s="3"/>
      <c r="AJ728" s="2">
        <f t="shared" si="84"/>
        <v>0</v>
      </c>
      <c r="AK728" s="2">
        <f t="shared" si="86"/>
        <v>0</v>
      </c>
      <c r="AL728" s="2">
        <f t="shared" si="85"/>
        <v>0</v>
      </c>
      <c r="AM728" s="88"/>
      <c r="AN728" s="157" t="s">
        <v>774</v>
      </c>
    </row>
    <row r="729" spans="2:40" ht="23.15" customHeight="1" thickBot="1">
      <c r="B729" s="87">
        <v>45784</v>
      </c>
      <c r="C729" s="2" t="s">
        <v>295</v>
      </c>
      <c r="D729" s="15" t="s">
        <v>19</v>
      </c>
      <c r="E729" s="20" t="s">
        <v>32</v>
      </c>
      <c r="F729" s="20" t="s">
        <v>40</v>
      </c>
      <c r="G729" s="11">
        <v>18</v>
      </c>
      <c r="H729" s="11">
        <v>18</v>
      </c>
      <c r="I729" s="18">
        <v>0</v>
      </c>
      <c r="J729" s="18">
        <v>0</v>
      </c>
      <c r="K729" s="19">
        <v>127463.91386716676</v>
      </c>
      <c r="L729" s="41">
        <v>0</v>
      </c>
      <c r="M729" s="41">
        <v>0</v>
      </c>
      <c r="N729" s="41">
        <v>0</v>
      </c>
      <c r="O729" s="41">
        <v>0</v>
      </c>
      <c r="P729" s="41">
        <v>0</v>
      </c>
      <c r="Q729" s="43">
        <v>0</v>
      </c>
      <c r="R729" s="43">
        <v>0</v>
      </c>
      <c r="S729" s="43">
        <v>0</v>
      </c>
      <c r="T729" s="43">
        <v>0</v>
      </c>
      <c r="U729" s="19" t="s">
        <v>295</v>
      </c>
      <c r="V729" s="13">
        <f t="shared" si="87"/>
        <v>127463.91386716676</v>
      </c>
      <c r="W729" s="13"/>
      <c r="X729" s="13"/>
      <c r="Y729" s="13">
        <v>21745.507265875098</v>
      </c>
      <c r="Z729" s="45" t="s">
        <v>302</v>
      </c>
      <c r="AA729" s="22">
        <v>45748</v>
      </c>
      <c r="AB729" s="22" cm="1">
        <f t="array" ref="AB7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29" s="4"/>
      <c r="AD729" s="4"/>
      <c r="AE729" s="2"/>
      <c r="AF729" s="3"/>
      <c r="AG729" s="3"/>
      <c r="AH729" s="3"/>
      <c r="AI729" s="3"/>
      <c r="AJ729" s="2">
        <f t="shared" si="84"/>
        <v>0</v>
      </c>
      <c r="AK729" s="2">
        <f t="shared" si="86"/>
        <v>0</v>
      </c>
      <c r="AL729" s="2">
        <f t="shared" si="85"/>
        <v>0</v>
      </c>
      <c r="AM729" s="88"/>
      <c r="AN729" s="157" t="s">
        <v>774</v>
      </c>
    </row>
    <row r="730" spans="2:40" ht="23.15" customHeight="1" thickBot="1">
      <c r="B730" s="87">
        <v>45813</v>
      </c>
      <c r="C730" s="2" t="s">
        <v>295</v>
      </c>
      <c r="D730" s="15" t="s">
        <v>19</v>
      </c>
      <c r="E730" s="20" t="s">
        <v>32</v>
      </c>
      <c r="F730" s="20" t="s">
        <v>40</v>
      </c>
      <c r="G730" s="11">
        <v>18</v>
      </c>
      <c r="H730" s="11">
        <v>18</v>
      </c>
      <c r="I730" s="18">
        <v>0</v>
      </c>
      <c r="J730" s="18">
        <v>0</v>
      </c>
      <c r="K730" s="19">
        <v>127463.91386716676</v>
      </c>
      <c r="L730" s="41">
        <v>0</v>
      </c>
      <c r="M730" s="41">
        <v>0</v>
      </c>
      <c r="N730" s="41">
        <v>0</v>
      </c>
      <c r="O730" s="41">
        <v>0</v>
      </c>
      <c r="P730" s="41">
        <v>0</v>
      </c>
      <c r="Q730" s="43">
        <v>0</v>
      </c>
      <c r="R730" s="43">
        <v>0</v>
      </c>
      <c r="S730" s="43">
        <v>0</v>
      </c>
      <c r="T730" s="43">
        <v>0</v>
      </c>
      <c r="U730" s="19" t="s">
        <v>295</v>
      </c>
      <c r="V730" s="13">
        <f t="shared" si="87"/>
        <v>127463.91386716676</v>
      </c>
      <c r="W730" s="13"/>
      <c r="X730" s="13"/>
      <c r="Y730" s="13"/>
      <c r="Z730" s="45"/>
      <c r="AA730" s="22">
        <v>45778</v>
      </c>
      <c r="AB730" s="22" cm="1">
        <f t="array" ref="AB7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30" s="4">
        <v>2822.5882939917046</v>
      </c>
      <c r="AD730" s="4">
        <f>2822.5882939917+5789.33+3308.19</f>
        <v>11920.108293991701</v>
      </c>
      <c r="AE730" s="2"/>
      <c r="AF730" s="3"/>
      <c r="AG730" s="3"/>
      <c r="AH730" s="3"/>
      <c r="AI730" s="3"/>
      <c r="AJ730" s="2">
        <f t="shared" ref="AJ730:AJ793" si="88">IFERROR(L730-M730,0)</f>
        <v>0</v>
      </c>
      <c r="AK730" s="2">
        <f t="shared" si="86"/>
        <v>-9097.5199999999968</v>
      </c>
      <c r="AL730" s="2">
        <f t="shared" si="85"/>
        <v>0</v>
      </c>
      <c r="AM730" s="88"/>
      <c r="AN730" s="157" t="s">
        <v>774</v>
      </c>
    </row>
    <row r="731" spans="2:40" ht="23.15" customHeight="1" thickBot="1">
      <c r="B731" s="87">
        <v>45839</v>
      </c>
      <c r="C731" s="2" t="s">
        <v>295</v>
      </c>
      <c r="D731" s="15" t="s">
        <v>19</v>
      </c>
      <c r="E731" s="20" t="s">
        <v>32</v>
      </c>
      <c r="F731" s="20" t="s">
        <v>40</v>
      </c>
      <c r="G731" s="11">
        <v>18</v>
      </c>
      <c r="H731" s="18">
        <v>18</v>
      </c>
      <c r="I731" s="18">
        <v>0</v>
      </c>
      <c r="J731" s="18">
        <v>0</v>
      </c>
      <c r="K731" s="19">
        <v>127463.91386716676</v>
      </c>
      <c r="L731" s="41">
        <v>0</v>
      </c>
      <c r="M731" s="41">
        <v>0</v>
      </c>
      <c r="N731" s="41">
        <v>0</v>
      </c>
      <c r="O731" s="41">
        <v>0</v>
      </c>
      <c r="P731" s="41">
        <v>0</v>
      </c>
      <c r="Q731" s="43">
        <v>0</v>
      </c>
      <c r="R731" s="43">
        <v>0</v>
      </c>
      <c r="S731" s="43">
        <v>0</v>
      </c>
      <c r="T731" s="43">
        <v>0</v>
      </c>
      <c r="U731" s="19" t="s">
        <v>295</v>
      </c>
      <c r="V731" s="13">
        <f t="shared" si="87"/>
        <v>127463.91386716676</v>
      </c>
      <c r="W731" s="13"/>
      <c r="X731" s="13"/>
      <c r="Y731" s="13"/>
      <c r="Z731" s="45"/>
      <c r="AA731" s="22">
        <v>45809</v>
      </c>
      <c r="AB731" s="22" cm="1">
        <f t="array" ref="AB7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31" s="4">
        <v>1572.23</v>
      </c>
      <c r="AD731" s="4">
        <v>1572.23</v>
      </c>
      <c r="AE731" s="2"/>
      <c r="AF731" s="3"/>
      <c r="AG731" s="3"/>
      <c r="AH731" s="3"/>
      <c r="AI731" s="3"/>
      <c r="AJ731" s="2">
        <f t="shared" si="88"/>
        <v>0</v>
      </c>
      <c r="AK731" s="2">
        <f t="shared" si="86"/>
        <v>0</v>
      </c>
      <c r="AL731" s="2">
        <f t="shared" si="85"/>
        <v>0</v>
      </c>
      <c r="AM731" s="88"/>
      <c r="AN731" s="157" t="s">
        <v>774</v>
      </c>
    </row>
    <row r="732" spans="2:40" ht="23.15" customHeight="1" thickBot="1">
      <c r="B732" s="87"/>
      <c r="C732" s="2" t="s">
        <v>292</v>
      </c>
      <c r="D732" s="15" t="s">
        <v>19</v>
      </c>
      <c r="E732" s="20" t="s">
        <v>25</v>
      </c>
      <c r="F732" s="20" t="s">
        <v>40</v>
      </c>
      <c r="G732" s="11">
        <v>29</v>
      </c>
      <c r="H732" s="11">
        <v>18</v>
      </c>
      <c r="I732" s="18" t="s">
        <v>294</v>
      </c>
      <c r="J732" s="18" t="s">
        <v>294</v>
      </c>
      <c r="K732" s="19">
        <v>137118.35999999999</v>
      </c>
      <c r="L732" s="41">
        <v>0</v>
      </c>
      <c r="M732" s="41" t="s">
        <v>294</v>
      </c>
      <c r="N732" s="41">
        <v>0</v>
      </c>
      <c r="O732" s="41" t="s">
        <v>294</v>
      </c>
      <c r="P732" s="41">
        <v>0</v>
      </c>
      <c r="Q732" s="43">
        <v>0</v>
      </c>
      <c r="R732" s="43">
        <v>0</v>
      </c>
      <c r="S732" s="43">
        <v>0</v>
      </c>
      <c r="T732" s="43">
        <v>0</v>
      </c>
      <c r="U732" s="19" t="s">
        <v>295</v>
      </c>
      <c r="V732" s="13">
        <f t="shared" si="87"/>
        <v>137118.35999999999</v>
      </c>
      <c r="W732" s="13"/>
      <c r="X732" s="13"/>
      <c r="Y732" s="13"/>
      <c r="Z732" s="13"/>
      <c r="AA732" s="22">
        <v>45839</v>
      </c>
      <c r="AB732" s="22" cm="1">
        <f t="array" ref="AB7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32" s="4"/>
      <c r="AD732" s="4"/>
      <c r="AE732" s="2"/>
      <c r="AF732" s="3"/>
      <c r="AG732" s="3"/>
      <c r="AH732" s="3"/>
      <c r="AI732" s="3"/>
      <c r="AJ732" s="2">
        <f t="shared" si="88"/>
        <v>0</v>
      </c>
      <c r="AK732" s="2">
        <f t="shared" si="86"/>
        <v>0</v>
      </c>
      <c r="AL732" s="2">
        <f t="shared" si="85"/>
        <v>0</v>
      </c>
      <c r="AM732" s="88"/>
      <c r="AN732" s="157" t="s">
        <v>774</v>
      </c>
    </row>
    <row r="733" spans="2:40" ht="23.15" customHeight="1" thickBot="1">
      <c r="B733" s="87"/>
      <c r="C733" s="2" t="s">
        <v>292</v>
      </c>
      <c r="D733" s="15" t="s">
        <v>19</v>
      </c>
      <c r="E733" s="20" t="s">
        <v>28</v>
      </c>
      <c r="F733" s="20" t="s">
        <v>63</v>
      </c>
      <c r="G733" s="11">
        <v>24</v>
      </c>
      <c r="H733" s="11"/>
      <c r="I733" s="18" t="s">
        <v>294</v>
      </c>
      <c r="J733" s="18" t="s">
        <v>294</v>
      </c>
      <c r="K733" s="19">
        <v>118516.40880941587</v>
      </c>
      <c r="L733" s="41"/>
      <c r="M733" s="41" t="s">
        <v>294</v>
      </c>
      <c r="N733" s="41"/>
      <c r="O733" s="41" t="s">
        <v>294</v>
      </c>
      <c r="P733" s="41" t="s">
        <v>293</v>
      </c>
      <c r="Q733" s="43"/>
      <c r="R733" s="43"/>
      <c r="S733" s="43"/>
      <c r="T733" s="43"/>
      <c r="U733" s="19"/>
      <c r="V733" s="13">
        <f t="shared" si="87"/>
        <v>118516.40880941587</v>
      </c>
      <c r="W733" s="13"/>
      <c r="X733" s="13"/>
      <c r="Y733" s="46"/>
      <c r="Z733" s="46"/>
      <c r="AA733" s="22">
        <v>45931</v>
      </c>
      <c r="AB733" s="22" cm="1">
        <f t="array" ref="AB7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33" s="4"/>
      <c r="AD733" s="4"/>
      <c r="AE733" s="2"/>
      <c r="AF733" s="3"/>
      <c r="AG733" s="3"/>
      <c r="AH733" s="3"/>
      <c r="AI733" s="3"/>
      <c r="AJ733" s="2">
        <f t="shared" si="88"/>
        <v>0</v>
      </c>
      <c r="AK733" s="2">
        <f t="shared" si="86"/>
        <v>0</v>
      </c>
      <c r="AL733" s="2">
        <f t="shared" si="85"/>
        <v>0</v>
      </c>
      <c r="AM733" s="88"/>
      <c r="AN733" s="157" t="s">
        <v>774</v>
      </c>
    </row>
    <row r="734" spans="2:40" ht="23.15" customHeight="1" thickBot="1">
      <c r="B734" s="87">
        <v>45692</v>
      </c>
      <c r="C734" s="2" t="s">
        <v>295</v>
      </c>
      <c r="D734" s="15" t="s">
        <v>19</v>
      </c>
      <c r="E734" s="20" t="s">
        <v>31</v>
      </c>
      <c r="F734" s="20" t="s">
        <v>40</v>
      </c>
      <c r="G734" s="11">
        <v>25</v>
      </c>
      <c r="H734" s="11">
        <v>27</v>
      </c>
      <c r="I734" s="18">
        <v>35</v>
      </c>
      <c r="J734" s="18">
        <v>0</v>
      </c>
      <c r="K734" s="19">
        <v>129511.50000000001</v>
      </c>
      <c r="L734" s="41">
        <v>0</v>
      </c>
      <c r="M734" s="41">
        <v>-744.79</v>
      </c>
      <c r="N734" s="41">
        <v>0</v>
      </c>
      <c r="O734" s="41">
        <v>0</v>
      </c>
      <c r="P734" s="41">
        <v>0</v>
      </c>
      <c r="Q734" s="43">
        <v>0</v>
      </c>
      <c r="R734" s="43">
        <v>0</v>
      </c>
      <c r="S734" s="43">
        <v>0</v>
      </c>
      <c r="T734" s="43">
        <v>0</v>
      </c>
      <c r="U734" s="19" t="s">
        <v>295</v>
      </c>
      <c r="V734" s="13">
        <f t="shared" si="87"/>
        <v>128766.71000000002</v>
      </c>
      <c r="W734" s="13"/>
      <c r="X734" s="13"/>
      <c r="Y734" s="13"/>
      <c r="Z734" s="13"/>
      <c r="AA734" s="22">
        <v>45658</v>
      </c>
      <c r="AB734" s="22" cm="1">
        <f t="array" ref="AB7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34" s="4"/>
      <c r="AD734" s="4"/>
      <c r="AE734" s="2"/>
      <c r="AF734" s="3"/>
      <c r="AG734" s="3"/>
      <c r="AH734" s="3"/>
      <c r="AI734" s="3"/>
      <c r="AJ734" s="2">
        <f t="shared" si="88"/>
        <v>744.79</v>
      </c>
      <c r="AK734" s="2">
        <f t="shared" si="86"/>
        <v>0</v>
      </c>
      <c r="AL734" s="2">
        <f t="shared" si="85"/>
        <v>744.7899999999936</v>
      </c>
      <c r="AM734" s="88"/>
      <c r="AN734" s="157" t="s">
        <v>774</v>
      </c>
    </row>
    <row r="735" spans="2:40" ht="23.15" customHeight="1" thickBot="1">
      <c r="B735" s="87"/>
      <c r="C735" s="2" t="s">
        <v>292</v>
      </c>
      <c r="D735" s="15" t="s">
        <v>19</v>
      </c>
      <c r="E735" s="20" t="s">
        <v>31</v>
      </c>
      <c r="F735" s="20" t="s">
        <v>40</v>
      </c>
      <c r="G735" s="11">
        <v>25</v>
      </c>
      <c r="H735" s="11">
        <v>27</v>
      </c>
      <c r="I735" s="18">
        <v>0</v>
      </c>
      <c r="J735" s="18">
        <v>0</v>
      </c>
      <c r="K735" s="19">
        <v>129511.50000000001</v>
      </c>
      <c r="L735" s="41">
        <v>0</v>
      </c>
      <c r="M735" s="41">
        <v>0</v>
      </c>
      <c r="N735" s="41">
        <v>0</v>
      </c>
      <c r="O735" s="41">
        <v>0</v>
      </c>
      <c r="P735" s="41">
        <v>0</v>
      </c>
      <c r="Q735" s="43">
        <v>0</v>
      </c>
      <c r="R735" s="43">
        <v>0</v>
      </c>
      <c r="S735" s="43">
        <v>0</v>
      </c>
      <c r="T735" s="43">
        <v>0</v>
      </c>
      <c r="U735" s="19" t="s">
        <v>295</v>
      </c>
      <c r="V735" s="13">
        <f t="shared" si="87"/>
        <v>129511.50000000001</v>
      </c>
      <c r="W735" s="13"/>
      <c r="X735" s="13"/>
      <c r="Y735" s="13"/>
      <c r="Z735" s="13"/>
      <c r="AA735" s="22">
        <v>45689</v>
      </c>
      <c r="AB735" s="22" cm="1">
        <f t="array" ref="AB7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35" s="4"/>
      <c r="AD735" s="4"/>
      <c r="AE735" s="2"/>
      <c r="AF735" s="3"/>
      <c r="AG735" s="3"/>
      <c r="AH735" s="3"/>
      <c r="AI735" s="3"/>
      <c r="AJ735" s="2">
        <f t="shared" si="88"/>
        <v>0</v>
      </c>
      <c r="AK735" s="2">
        <f t="shared" si="86"/>
        <v>0</v>
      </c>
      <c r="AL735" s="2">
        <f t="shared" si="85"/>
        <v>0</v>
      </c>
      <c r="AM735" s="88"/>
      <c r="AN735" s="157" t="s">
        <v>774</v>
      </c>
    </row>
    <row r="736" spans="2:40" ht="23.15" customHeight="1" thickBot="1">
      <c r="B736" s="87">
        <v>45762</v>
      </c>
      <c r="C736" s="2" t="s">
        <v>295</v>
      </c>
      <c r="D736" s="15" t="s">
        <v>19</v>
      </c>
      <c r="E736" s="20" t="s">
        <v>31</v>
      </c>
      <c r="F736" s="20" t="s">
        <v>40</v>
      </c>
      <c r="G736" s="11">
        <v>25</v>
      </c>
      <c r="H736" s="11">
        <v>27</v>
      </c>
      <c r="I736" s="18">
        <v>0</v>
      </c>
      <c r="J736" s="18">
        <v>0</v>
      </c>
      <c r="K736" s="19">
        <v>129511.50000000001</v>
      </c>
      <c r="L736" s="41">
        <v>0</v>
      </c>
      <c r="M736" s="41">
        <v>0</v>
      </c>
      <c r="N736" s="41">
        <v>0</v>
      </c>
      <c r="O736" s="41">
        <v>0</v>
      </c>
      <c r="P736" s="41">
        <v>0</v>
      </c>
      <c r="Q736" s="43">
        <v>0</v>
      </c>
      <c r="R736" s="43">
        <v>0</v>
      </c>
      <c r="S736" s="43">
        <v>0</v>
      </c>
      <c r="T736" s="43">
        <v>0</v>
      </c>
      <c r="U736" s="19" t="s">
        <v>295</v>
      </c>
      <c r="V736" s="13">
        <f t="shared" si="87"/>
        <v>129511.50000000001</v>
      </c>
      <c r="W736" s="13"/>
      <c r="X736" s="13"/>
      <c r="Y736" s="13"/>
      <c r="Z736" s="13"/>
      <c r="AA736" s="22">
        <v>45717</v>
      </c>
      <c r="AB736" s="22" cm="1">
        <f t="array" ref="AB7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36" s="4"/>
      <c r="AD736" s="4"/>
      <c r="AE736" s="2"/>
      <c r="AF736" s="3"/>
      <c r="AG736" s="3"/>
      <c r="AH736" s="3"/>
      <c r="AI736" s="3"/>
      <c r="AJ736" s="2">
        <f t="shared" si="88"/>
        <v>0</v>
      </c>
      <c r="AK736" s="2">
        <f t="shared" si="86"/>
        <v>0</v>
      </c>
      <c r="AL736" s="2">
        <f t="shared" si="85"/>
        <v>0</v>
      </c>
      <c r="AM736" s="88"/>
      <c r="AN736" s="157" t="s">
        <v>774</v>
      </c>
    </row>
    <row r="737" spans="2:40" ht="23.15" customHeight="1" thickBot="1">
      <c r="B737" s="87">
        <v>45784</v>
      </c>
      <c r="C737" s="2" t="s">
        <v>295</v>
      </c>
      <c r="D737" s="15" t="s">
        <v>19</v>
      </c>
      <c r="E737" s="20" t="s">
        <v>31</v>
      </c>
      <c r="F737" s="20" t="s">
        <v>40</v>
      </c>
      <c r="G737" s="11">
        <v>25</v>
      </c>
      <c r="H737" s="11">
        <v>27</v>
      </c>
      <c r="I737" s="18">
        <v>0</v>
      </c>
      <c r="J737" s="18">
        <v>0</v>
      </c>
      <c r="K737" s="19">
        <v>129511.50000000001</v>
      </c>
      <c r="L737" s="41">
        <v>0</v>
      </c>
      <c r="M737" s="41">
        <v>0</v>
      </c>
      <c r="N737" s="41">
        <v>0</v>
      </c>
      <c r="O737" s="41">
        <v>0</v>
      </c>
      <c r="P737" s="41">
        <v>0</v>
      </c>
      <c r="Q737" s="43">
        <v>0</v>
      </c>
      <c r="R737" s="43">
        <v>0</v>
      </c>
      <c r="S737" s="43">
        <v>0</v>
      </c>
      <c r="T737" s="43">
        <v>0</v>
      </c>
      <c r="U737" s="19" t="s">
        <v>295</v>
      </c>
      <c r="V737" s="13">
        <f t="shared" si="87"/>
        <v>129511.50000000001</v>
      </c>
      <c r="W737" s="13"/>
      <c r="X737" s="13"/>
      <c r="Y737" s="13"/>
      <c r="Z737" s="13"/>
      <c r="AA737" s="22">
        <v>45748</v>
      </c>
      <c r="AB737" s="22" cm="1">
        <f t="array" ref="AB7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37" s="4"/>
      <c r="AD737" s="4"/>
      <c r="AE737" s="2"/>
      <c r="AF737" s="3"/>
      <c r="AG737" s="3"/>
      <c r="AH737" s="3"/>
      <c r="AI737" s="3"/>
      <c r="AJ737" s="2">
        <f t="shared" si="88"/>
        <v>0</v>
      </c>
      <c r="AK737" s="2">
        <f t="shared" si="86"/>
        <v>0</v>
      </c>
      <c r="AL737" s="2">
        <f t="shared" si="85"/>
        <v>0</v>
      </c>
      <c r="AM737" s="88"/>
      <c r="AN737" s="157" t="s">
        <v>774</v>
      </c>
    </row>
    <row r="738" spans="2:40" ht="23.15" customHeight="1" thickBot="1">
      <c r="B738" s="87">
        <v>45783</v>
      </c>
      <c r="C738" s="2" t="s">
        <v>295</v>
      </c>
      <c r="D738" s="15" t="s">
        <v>19</v>
      </c>
      <c r="E738" s="20" t="s">
        <v>31</v>
      </c>
      <c r="F738" s="20" t="s">
        <v>40</v>
      </c>
      <c r="G738" s="11">
        <v>25</v>
      </c>
      <c r="H738" s="11">
        <v>27</v>
      </c>
      <c r="I738" s="18">
        <v>0</v>
      </c>
      <c r="J738" s="18">
        <v>0</v>
      </c>
      <c r="K738" s="19">
        <v>129511.50000000001</v>
      </c>
      <c r="L738" s="41">
        <v>0</v>
      </c>
      <c r="M738" s="41">
        <v>0</v>
      </c>
      <c r="N738" s="41">
        <v>0</v>
      </c>
      <c r="O738" s="41">
        <v>0</v>
      </c>
      <c r="P738" s="41">
        <v>0</v>
      </c>
      <c r="Q738" s="43">
        <v>0</v>
      </c>
      <c r="R738" s="43">
        <v>0</v>
      </c>
      <c r="S738" s="43">
        <v>0</v>
      </c>
      <c r="T738" s="43">
        <v>0</v>
      </c>
      <c r="U738" s="19" t="s">
        <v>295</v>
      </c>
      <c r="V738" s="13">
        <f t="shared" si="87"/>
        <v>129511.50000000001</v>
      </c>
      <c r="W738" s="13"/>
      <c r="X738" s="13"/>
      <c r="Y738" s="13"/>
      <c r="Z738" s="13"/>
      <c r="AA738" s="22">
        <v>45778</v>
      </c>
      <c r="AB738" s="22" cm="1">
        <f t="array" ref="AB7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38" s="4"/>
      <c r="AD738" s="4">
        <f>2027.15+1158.37</f>
        <v>3185.52</v>
      </c>
      <c r="AE738" s="2"/>
      <c r="AF738" s="3"/>
      <c r="AG738" s="3"/>
      <c r="AH738" s="3"/>
      <c r="AI738" s="3"/>
      <c r="AJ738" s="2">
        <f t="shared" si="88"/>
        <v>0</v>
      </c>
      <c r="AK738" s="2">
        <f t="shared" si="86"/>
        <v>-3185.52</v>
      </c>
      <c r="AL738" s="2">
        <f t="shared" si="85"/>
        <v>0</v>
      </c>
      <c r="AM738" s="88"/>
      <c r="AN738" s="157" t="s">
        <v>774</v>
      </c>
    </row>
    <row r="739" spans="2:40" ht="23.15" customHeight="1" thickBot="1">
      <c r="B739" s="87">
        <v>45839</v>
      </c>
      <c r="C739" s="2" t="s">
        <v>295</v>
      </c>
      <c r="D739" s="15" t="s">
        <v>19</v>
      </c>
      <c r="E739" s="20" t="s">
        <v>31</v>
      </c>
      <c r="F739" s="20" t="s">
        <v>40</v>
      </c>
      <c r="G739" s="11">
        <v>25</v>
      </c>
      <c r="H739" s="11">
        <v>27</v>
      </c>
      <c r="I739" s="18">
        <v>0</v>
      </c>
      <c r="J739" s="18">
        <v>0</v>
      </c>
      <c r="K739" s="19">
        <v>129511.50000000001</v>
      </c>
      <c r="L739" s="41">
        <v>0</v>
      </c>
      <c r="M739" s="41">
        <v>0</v>
      </c>
      <c r="N739" s="41">
        <v>0</v>
      </c>
      <c r="O739" s="41">
        <v>0</v>
      </c>
      <c r="P739" s="41">
        <v>0</v>
      </c>
      <c r="Q739" s="43">
        <v>0</v>
      </c>
      <c r="R739" s="41">
        <v>0</v>
      </c>
      <c r="S739" s="43">
        <v>0</v>
      </c>
      <c r="T739" s="43">
        <v>0</v>
      </c>
      <c r="U739" s="19" t="s">
        <v>295</v>
      </c>
      <c r="V739" s="13">
        <f t="shared" si="87"/>
        <v>129511.50000000001</v>
      </c>
      <c r="W739" s="13"/>
      <c r="X739" s="13"/>
      <c r="Y739" s="13"/>
      <c r="Z739" s="13"/>
      <c r="AA739" s="22">
        <v>45809</v>
      </c>
      <c r="AB739" s="22" cm="1">
        <f t="array" ref="AB7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39" s="4">
        <f>Tab_Faturamento_RJ[[#This Row],[Valor extras validado Atlas]]</f>
        <v>835.95</v>
      </c>
      <c r="AD739" s="4">
        <v>835.95</v>
      </c>
      <c r="AE739" s="2"/>
      <c r="AF739" s="3"/>
      <c r="AG739" s="3"/>
      <c r="AH739" s="3"/>
      <c r="AI739" s="3"/>
      <c r="AJ739" s="2">
        <f t="shared" si="88"/>
        <v>0</v>
      </c>
      <c r="AK739" s="2">
        <f t="shared" si="86"/>
        <v>0</v>
      </c>
      <c r="AL739" s="2">
        <f t="shared" si="85"/>
        <v>0</v>
      </c>
      <c r="AM739" s="88"/>
      <c r="AN739" s="157" t="s">
        <v>774</v>
      </c>
    </row>
    <row r="740" spans="2:40" ht="23.15" customHeight="1" thickBot="1">
      <c r="B740" s="87"/>
      <c r="C740" s="2" t="s">
        <v>292</v>
      </c>
      <c r="D740" s="15" t="s">
        <v>19</v>
      </c>
      <c r="E740" s="20" t="s">
        <v>25</v>
      </c>
      <c r="F740" s="20" t="s">
        <v>40</v>
      </c>
      <c r="G740" s="11">
        <v>29</v>
      </c>
      <c r="H740" s="11">
        <v>17</v>
      </c>
      <c r="I740" s="18" t="s">
        <v>294</v>
      </c>
      <c r="J740" s="18" t="s">
        <v>294</v>
      </c>
      <c r="K740" s="19">
        <v>137118.35999999999</v>
      </c>
      <c r="L740" s="41">
        <v>0</v>
      </c>
      <c r="M740" s="41" t="s">
        <v>294</v>
      </c>
      <c r="N740" s="41">
        <v>0</v>
      </c>
      <c r="O740" s="41" t="s">
        <v>294</v>
      </c>
      <c r="P740" s="41" t="s">
        <v>293</v>
      </c>
      <c r="Q740" s="43">
        <v>0</v>
      </c>
      <c r="R740" s="41">
        <v>0</v>
      </c>
      <c r="S740" s="43">
        <v>0</v>
      </c>
      <c r="T740" s="43">
        <v>0</v>
      </c>
      <c r="U740" s="19"/>
      <c r="V740" s="13">
        <f t="shared" si="87"/>
        <v>137118.35999999999</v>
      </c>
      <c r="W740" s="13"/>
      <c r="X740" s="13"/>
      <c r="Y740" s="13">
        <v>18187.009999999998</v>
      </c>
      <c r="Z740" s="13" t="s">
        <v>302</v>
      </c>
      <c r="AA740" s="22">
        <v>45809</v>
      </c>
      <c r="AB740" s="22" cm="1">
        <f t="array" ref="AB7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40" s="4"/>
      <c r="AD740" s="4"/>
      <c r="AE740" s="2"/>
      <c r="AF740" s="3"/>
      <c r="AG740" s="3"/>
      <c r="AH740" s="3"/>
      <c r="AI740" s="3"/>
      <c r="AJ740" s="2">
        <f t="shared" si="88"/>
        <v>0</v>
      </c>
      <c r="AK740" s="2">
        <f t="shared" si="86"/>
        <v>0</v>
      </c>
      <c r="AL740" s="2">
        <f t="shared" si="85"/>
        <v>0</v>
      </c>
      <c r="AM740" s="88"/>
      <c r="AN740" s="157" t="s">
        <v>774</v>
      </c>
    </row>
    <row r="741" spans="2:40" ht="23.15" customHeight="1" thickBot="1">
      <c r="B741" s="87">
        <v>45874</v>
      </c>
      <c r="C741" s="2" t="s">
        <v>299</v>
      </c>
      <c r="D741" s="15" t="s">
        <v>19</v>
      </c>
      <c r="E741" s="20" t="s">
        <v>31</v>
      </c>
      <c r="F741" s="20" t="s">
        <v>40</v>
      </c>
      <c r="G741" s="11">
        <v>25</v>
      </c>
      <c r="H741" s="11">
        <v>27</v>
      </c>
      <c r="I741" s="18">
        <v>0</v>
      </c>
      <c r="J741" s="18">
        <v>0</v>
      </c>
      <c r="K741" s="19">
        <v>138505.63445524889</v>
      </c>
      <c r="L741" s="41">
        <v>0</v>
      </c>
      <c r="M741" s="41">
        <v>0</v>
      </c>
      <c r="N741" s="41">
        <v>0</v>
      </c>
      <c r="O741" s="41">
        <v>0</v>
      </c>
      <c r="P741" s="41">
        <v>0</v>
      </c>
      <c r="Q741" s="43">
        <v>0</v>
      </c>
      <c r="R741" s="41">
        <v>0</v>
      </c>
      <c r="S741" s="43">
        <v>0</v>
      </c>
      <c r="T741" s="43">
        <v>0</v>
      </c>
      <c r="U741" s="19" t="s">
        <v>295</v>
      </c>
      <c r="V741" s="13">
        <f t="shared" si="87"/>
        <v>138505.63445524889</v>
      </c>
      <c r="W741" s="13"/>
      <c r="X741" s="13"/>
      <c r="Y741" s="13">
        <v>26982.34</v>
      </c>
      <c r="Z741" s="13" t="s">
        <v>302</v>
      </c>
      <c r="AA741" s="22">
        <v>45839</v>
      </c>
      <c r="AB741" s="22" cm="1">
        <f t="array" ref="AB7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41" s="4"/>
      <c r="AD741" s="4"/>
      <c r="AE741" s="2"/>
      <c r="AF741" s="3"/>
      <c r="AG741" s="3"/>
      <c r="AH741" s="3"/>
      <c r="AI741" s="3"/>
      <c r="AJ741" s="2">
        <f t="shared" si="88"/>
        <v>0</v>
      </c>
      <c r="AK741" s="2">
        <f t="shared" si="86"/>
        <v>0</v>
      </c>
      <c r="AL741" s="2">
        <f t="shared" si="85"/>
        <v>0</v>
      </c>
      <c r="AM741" s="88"/>
      <c r="AN741" s="157" t="s">
        <v>774</v>
      </c>
    </row>
    <row r="742" spans="2:40" ht="23.15" customHeight="1" thickBot="1">
      <c r="B742" s="87"/>
      <c r="C742" s="2" t="s">
        <v>292</v>
      </c>
      <c r="D742" s="15" t="s">
        <v>19</v>
      </c>
      <c r="E742" s="20" t="s">
        <v>30</v>
      </c>
      <c r="F742" s="20" t="s">
        <v>40</v>
      </c>
      <c r="G742" s="11">
        <v>55</v>
      </c>
      <c r="H742" s="11">
        <v>46</v>
      </c>
      <c r="I742" s="18">
        <v>0</v>
      </c>
      <c r="J742" s="18">
        <v>0</v>
      </c>
      <c r="K742" s="19">
        <v>234342.86030893106</v>
      </c>
      <c r="L742" s="41">
        <v>0</v>
      </c>
      <c r="M742" s="41">
        <v>0</v>
      </c>
      <c r="N742" s="41">
        <v>0</v>
      </c>
      <c r="O742" s="41">
        <v>0</v>
      </c>
      <c r="P742" s="41">
        <v>0</v>
      </c>
      <c r="Q742" s="43">
        <v>0</v>
      </c>
      <c r="R742" s="41">
        <v>0</v>
      </c>
      <c r="S742" s="43">
        <v>0</v>
      </c>
      <c r="T742" s="43">
        <v>0</v>
      </c>
      <c r="U742" s="19" t="s">
        <v>295</v>
      </c>
      <c r="V742" s="13">
        <f t="shared" si="87"/>
        <v>234342.86030893106</v>
      </c>
      <c r="W742" s="13"/>
      <c r="X742" s="13"/>
      <c r="Y742" s="13"/>
      <c r="Z742" s="13"/>
      <c r="AA742" s="22">
        <v>45839</v>
      </c>
      <c r="AB742" s="22" cm="1">
        <f t="array" ref="AB7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42" s="4">
        <v>4659.3415257704437</v>
      </c>
      <c r="AD742" s="4">
        <v>4659.3415257704437</v>
      </c>
      <c r="AE742" s="2"/>
      <c r="AF742" s="3"/>
      <c r="AG742" s="3"/>
      <c r="AH742" s="3"/>
      <c r="AI742" s="3"/>
      <c r="AJ742" s="2">
        <f t="shared" si="88"/>
        <v>0</v>
      </c>
      <c r="AK742" s="2">
        <f t="shared" si="86"/>
        <v>0</v>
      </c>
      <c r="AL742" s="2">
        <f t="shared" si="85"/>
        <v>0</v>
      </c>
      <c r="AM742" s="88"/>
      <c r="AN742" s="157" t="s">
        <v>774</v>
      </c>
    </row>
    <row r="743" spans="2:40" ht="23.15" customHeight="1" thickBot="1">
      <c r="B743" s="87">
        <v>45902</v>
      </c>
      <c r="C743" s="2" t="s">
        <v>295</v>
      </c>
      <c r="D743" s="15" t="s">
        <v>19</v>
      </c>
      <c r="E743" s="20" t="s">
        <v>29</v>
      </c>
      <c r="F743" s="20" t="s">
        <v>39</v>
      </c>
      <c r="G743" s="11">
        <v>7</v>
      </c>
      <c r="H743" s="11">
        <v>5</v>
      </c>
      <c r="I743" s="18">
        <v>0</v>
      </c>
      <c r="J743" s="18">
        <v>32.266666666666666</v>
      </c>
      <c r="K743" s="19">
        <v>23368.371096805993</v>
      </c>
      <c r="L743" s="41">
        <v>0</v>
      </c>
      <c r="M743" s="41">
        <v>0</v>
      </c>
      <c r="N743" s="41">
        <v>-375.23</v>
      </c>
      <c r="O743" s="41">
        <v>-722.39416666666705</v>
      </c>
      <c r="P743" s="41">
        <v>-233.68</v>
      </c>
      <c r="Q743" s="43">
        <v>0</v>
      </c>
      <c r="R743" s="41">
        <v>0</v>
      </c>
      <c r="S743" s="43">
        <v>0</v>
      </c>
      <c r="T743" s="43">
        <v>0</v>
      </c>
      <c r="U743" s="19" t="s">
        <v>295</v>
      </c>
      <c r="V743" s="13">
        <f t="shared" si="87"/>
        <v>22412.296930139324</v>
      </c>
      <c r="W743" s="13"/>
      <c r="X743" s="13"/>
      <c r="Y743" s="13"/>
      <c r="Z743" s="13"/>
      <c r="AA743" s="22">
        <v>45870</v>
      </c>
      <c r="AB743" s="22" cm="1">
        <f t="array" ref="AB7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43" s="4"/>
      <c r="AD743" s="4"/>
      <c r="AE743" s="2"/>
      <c r="AF743" s="3"/>
      <c r="AG743" s="3"/>
      <c r="AH743" s="3"/>
      <c r="AI743" s="3"/>
      <c r="AJ743" s="2">
        <f t="shared" si="88"/>
        <v>0</v>
      </c>
      <c r="AK743" s="2">
        <f t="shared" si="86"/>
        <v>0</v>
      </c>
      <c r="AL743" s="2">
        <f t="shared" si="85"/>
        <v>956.07416666666904</v>
      </c>
      <c r="AM743" s="88"/>
      <c r="AN743" s="157" t="s">
        <v>774</v>
      </c>
    </row>
    <row r="744" spans="2:40" ht="23.15" customHeight="1" thickBot="1">
      <c r="B744" s="87"/>
      <c r="C744" s="2" t="s">
        <v>292</v>
      </c>
      <c r="D744" s="15" t="s">
        <v>19</v>
      </c>
      <c r="E744" s="20" t="s">
        <v>30</v>
      </c>
      <c r="F744" s="20" t="s">
        <v>40</v>
      </c>
      <c r="G744" s="11">
        <v>55</v>
      </c>
      <c r="H744" s="11">
        <v>46</v>
      </c>
      <c r="I744" s="18" t="s">
        <v>294</v>
      </c>
      <c r="J744" s="18" t="s">
        <v>294</v>
      </c>
      <c r="K744" s="19">
        <v>234342.86030893106</v>
      </c>
      <c r="L744" s="41">
        <v>0</v>
      </c>
      <c r="M744" s="41" t="s">
        <v>294</v>
      </c>
      <c r="N744" s="41">
        <v>0</v>
      </c>
      <c r="O744" s="41" t="s">
        <v>294</v>
      </c>
      <c r="P744" s="41">
        <v>0</v>
      </c>
      <c r="Q744" s="43">
        <v>0</v>
      </c>
      <c r="R744" s="41">
        <v>0</v>
      </c>
      <c r="S744" s="43">
        <v>0</v>
      </c>
      <c r="T744" s="43">
        <v>0</v>
      </c>
      <c r="U744" s="19"/>
      <c r="V744" s="13">
        <f t="shared" si="87"/>
        <v>234342.86030893106</v>
      </c>
      <c r="W744" s="13"/>
      <c r="X744" s="13"/>
      <c r="Y744" s="13"/>
      <c r="Z744" s="13"/>
      <c r="AA744" s="22">
        <v>45717</v>
      </c>
      <c r="AB744" s="22" cm="1">
        <f t="array" ref="AB7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44" s="4">
        <v>4731.5600000000004</v>
      </c>
      <c r="AD744" s="4">
        <v>4731.5600000000004</v>
      </c>
      <c r="AE744" s="2"/>
      <c r="AF744" s="3"/>
      <c r="AG744" s="3"/>
      <c r="AH744" s="3"/>
      <c r="AI744" s="3"/>
      <c r="AJ744" s="2">
        <f t="shared" si="88"/>
        <v>0</v>
      </c>
      <c r="AK744" s="2">
        <f t="shared" si="86"/>
        <v>0</v>
      </c>
      <c r="AL744" s="2">
        <f t="shared" ref="AL744:AL807" si="89">K744-V744</f>
        <v>0</v>
      </c>
      <c r="AM744" s="88"/>
      <c r="AN744" s="157" t="s">
        <v>774</v>
      </c>
    </row>
    <row r="745" spans="2:40" ht="23.15" customHeight="1" thickBot="1">
      <c r="B745" s="87">
        <v>45889</v>
      </c>
      <c r="C745" s="2" t="s">
        <v>295</v>
      </c>
      <c r="D745" s="15" t="s">
        <v>20</v>
      </c>
      <c r="E745" s="20" t="s">
        <v>158</v>
      </c>
      <c r="F745" s="20" t="s">
        <v>38</v>
      </c>
      <c r="G745" s="11">
        <v>1</v>
      </c>
      <c r="H745" s="11">
        <v>1</v>
      </c>
      <c r="I745" s="18">
        <v>0</v>
      </c>
      <c r="J745" s="18">
        <v>0</v>
      </c>
      <c r="K745" s="19">
        <v>3607</v>
      </c>
      <c r="L745" s="41">
        <v>0</v>
      </c>
      <c r="M745" s="41">
        <v>0</v>
      </c>
      <c r="N745" s="41">
        <v>0</v>
      </c>
      <c r="O745" s="41">
        <v>0</v>
      </c>
      <c r="P745" s="41">
        <v>0</v>
      </c>
      <c r="Q745" s="43">
        <v>0</v>
      </c>
      <c r="R745" s="41">
        <v>0</v>
      </c>
      <c r="S745" s="43">
        <v>0</v>
      </c>
      <c r="T745" s="43">
        <v>0</v>
      </c>
      <c r="U745" s="19" t="s">
        <v>295</v>
      </c>
      <c r="V745" s="13">
        <f t="shared" si="87"/>
        <v>3607</v>
      </c>
      <c r="W745" s="13"/>
      <c r="X745" s="13"/>
      <c r="Y745" s="13"/>
      <c r="Z745" s="13"/>
      <c r="AA745" s="22">
        <v>45839</v>
      </c>
      <c r="AB745" s="22" cm="1">
        <f t="array" ref="AB7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45" s="4"/>
      <c r="AD745" s="4"/>
      <c r="AE745" s="2"/>
      <c r="AF745" s="3"/>
      <c r="AG745" s="3"/>
      <c r="AH745" s="3"/>
      <c r="AI745" s="3"/>
      <c r="AJ745" s="2">
        <f t="shared" si="88"/>
        <v>0</v>
      </c>
      <c r="AK745" s="2">
        <f t="shared" si="86"/>
        <v>0</v>
      </c>
      <c r="AL745" s="2">
        <f t="shared" si="89"/>
        <v>0</v>
      </c>
      <c r="AM745" s="88"/>
      <c r="AN745" s="157" t="s">
        <v>774</v>
      </c>
    </row>
    <row r="746" spans="2:40" ht="23.15" customHeight="1" thickBot="1">
      <c r="B746" s="87"/>
      <c r="C746" s="2" t="s">
        <v>292</v>
      </c>
      <c r="D746" s="15" t="s">
        <v>19</v>
      </c>
      <c r="E746" s="20" t="s">
        <v>30</v>
      </c>
      <c r="F746" s="20" t="s">
        <v>40</v>
      </c>
      <c r="G746" s="11">
        <v>55</v>
      </c>
      <c r="H746" s="11">
        <v>46</v>
      </c>
      <c r="I746" s="18" t="s">
        <v>294</v>
      </c>
      <c r="J746" s="18" t="s">
        <v>294</v>
      </c>
      <c r="K746" s="19">
        <v>234342.86030893106</v>
      </c>
      <c r="L746" s="41">
        <v>0</v>
      </c>
      <c r="M746" s="41" t="s">
        <v>294</v>
      </c>
      <c r="N746" s="41">
        <v>0</v>
      </c>
      <c r="O746" s="41" t="s">
        <v>294</v>
      </c>
      <c r="P746" s="41" t="s">
        <v>301</v>
      </c>
      <c r="Q746" s="43">
        <v>0</v>
      </c>
      <c r="R746" s="41">
        <v>0</v>
      </c>
      <c r="S746" s="43">
        <v>0</v>
      </c>
      <c r="T746" s="43">
        <v>0</v>
      </c>
      <c r="U746" s="19"/>
      <c r="V746" s="13">
        <f t="shared" si="87"/>
        <v>234342.86030893106</v>
      </c>
      <c r="W746" s="13"/>
      <c r="X746" s="13"/>
      <c r="Y746" s="13"/>
      <c r="Z746" s="13"/>
      <c r="AA746" s="22">
        <v>45658</v>
      </c>
      <c r="AB746" s="22" cm="1">
        <f t="array" ref="AB7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46" s="4"/>
      <c r="AD746" s="4"/>
      <c r="AE746" s="2"/>
      <c r="AF746" s="3"/>
      <c r="AG746" s="3"/>
      <c r="AH746" s="3"/>
      <c r="AI746" s="3"/>
      <c r="AJ746" s="2">
        <f t="shared" si="88"/>
        <v>0</v>
      </c>
      <c r="AK746" s="2">
        <f t="shared" si="86"/>
        <v>0</v>
      </c>
      <c r="AL746" s="2">
        <f t="shared" si="89"/>
        <v>0</v>
      </c>
      <c r="AM746" s="88"/>
      <c r="AN746" s="157" t="s">
        <v>774</v>
      </c>
    </row>
    <row r="747" spans="2:40" ht="23.15" customHeight="1" thickBot="1">
      <c r="B747" s="87"/>
      <c r="C747" s="2"/>
      <c r="D747" s="15" t="s">
        <v>11</v>
      </c>
      <c r="E747" s="20" t="s">
        <v>32</v>
      </c>
      <c r="F747" s="20" t="s">
        <v>40</v>
      </c>
      <c r="G747" s="11">
        <v>18</v>
      </c>
      <c r="H747" s="11">
        <v>18</v>
      </c>
      <c r="I747" s="18" t="s">
        <v>294</v>
      </c>
      <c r="J747" s="18" t="s">
        <v>294</v>
      </c>
      <c r="K747" s="19">
        <v>125752.91066769751</v>
      </c>
      <c r="L747" s="41"/>
      <c r="M747" s="18" t="s">
        <v>294</v>
      </c>
      <c r="N747" s="41"/>
      <c r="O747" s="41" t="s">
        <v>294</v>
      </c>
      <c r="P747" s="41"/>
      <c r="Q747" s="43"/>
      <c r="R747" s="41"/>
      <c r="S747" s="43"/>
      <c r="T747" s="43"/>
      <c r="U747" s="19"/>
      <c r="V747" s="13">
        <f t="shared" si="87"/>
        <v>125752.91066769751</v>
      </c>
      <c r="W747" s="13"/>
      <c r="X747" s="13"/>
      <c r="Y747" s="13"/>
      <c r="Z747" s="13"/>
      <c r="AA747" s="22">
        <v>45931</v>
      </c>
      <c r="AB747" s="22" cm="1">
        <f t="array" ref="AB7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47" s="4"/>
      <c r="AD747" s="4"/>
      <c r="AE747" s="2"/>
      <c r="AF747" s="3"/>
      <c r="AG747" s="3"/>
      <c r="AH747" s="3"/>
      <c r="AI747" s="3"/>
      <c r="AJ747" s="2">
        <f t="shared" si="88"/>
        <v>0</v>
      </c>
      <c r="AK747" s="2">
        <f t="shared" si="86"/>
        <v>0</v>
      </c>
      <c r="AL747" s="2">
        <f t="shared" si="89"/>
        <v>0</v>
      </c>
      <c r="AM747" s="88"/>
      <c r="AN747" s="157" t="s">
        <v>774</v>
      </c>
    </row>
    <row r="748" spans="2:40" ht="23.15" customHeight="1" thickBot="1">
      <c r="B748" s="87"/>
      <c r="C748" s="2" t="s">
        <v>292</v>
      </c>
      <c r="D748" s="15" t="s">
        <v>19</v>
      </c>
      <c r="E748" s="20" t="s">
        <v>30</v>
      </c>
      <c r="F748" s="20" t="s">
        <v>40</v>
      </c>
      <c r="G748" s="11">
        <v>55</v>
      </c>
      <c r="H748" s="11">
        <v>46</v>
      </c>
      <c r="I748" s="18">
        <v>0</v>
      </c>
      <c r="J748" s="18">
        <v>0</v>
      </c>
      <c r="K748" s="19">
        <v>234342.86030893106</v>
      </c>
      <c r="L748" s="41">
        <v>0</v>
      </c>
      <c r="M748" s="41">
        <v>0</v>
      </c>
      <c r="N748" s="41">
        <v>0</v>
      </c>
      <c r="O748" s="41">
        <v>0</v>
      </c>
      <c r="P748" s="41" t="s">
        <v>301</v>
      </c>
      <c r="Q748" s="43">
        <v>0</v>
      </c>
      <c r="R748" s="41">
        <v>0</v>
      </c>
      <c r="S748" s="43">
        <v>0</v>
      </c>
      <c r="T748" s="43">
        <v>0</v>
      </c>
      <c r="U748" s="19"/>
      <c r="V748" s="13">
        <f t="shared" si="87"/>
        <v>234342.86030893106</v>
      </c>
      <c r="W748" s="13"/>
      <c r="X748" s="13"/>
      <c r="Y748" s="13"/>
      <c r="Z748" s="13"/>
      <c r="AA748" s="22">
        <v>45689</v>
      </c>
      <c r="AB748" s="22" cm="1">
        <f t="array" ref="AB7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48" s="4"/>
      <c r="AD748" s="4"/>
      <c r="AE748" s="2"/>
      <c r="AF748" s="3"/>
      <c r="AG748" s="3"/>
      <c r="AH748" s="3"/>
      <c r="AI748" s="3"/>
      <c r="AJ748" s="2">
        <f t="shared" si="88"/>
        <v>0</v>
      </c>
      <c r="AK748" s="2">
        <f t="shared" si="86"/>
        <v>0</v>
      </c>
      <c r="AL748" s="2">
        <f t="shared" si="89"/>
        <v>0</v>
      </c>
      <c r="AM748" s="88"/>
      <c r="AN748" s="157" t="s">
        <v>774</v>
      </c>
    </row>
    <row r="749" spans="2:40" ht="23.15" customHeight="1" thickBot="1">
      <c r="B749" s="87"/>
      <c r="C749" s="2" t="s">
        <v>292</v>
      </c>
      <c r="D749" s="15" t="s">
        <v>19</v>
      </c>
      <c r="E749" s="20" t="s">
        <v>30</v>
      </c>
      <c r="F749" s="20" t="s">
        <v>40</v>
      </c>
      <c r="G749" s="11">
        <v>55</v>
      </c>
      <c r="H749" s="11">
        <v>46</v>
      </c>
      <c r="I749" s="18" t="s">
        <v>294</v>
      </c>
      <c r="J749" s="18" t="s">
        <v>294</v>
      </c>
      <c r="K749" s="19">
        <v>234342.86030893106</v>
      </c>
      <c r="L749" s="41">
        <v>0</v>
      </c>
      <c r="M749" s="41" t="s">
        <v>294</v>
      </c>
      <c r="N749" s="41">
        <v>0</v>
      </c>
      <c r="O749" s="41" t="s">
        <v>294</v>
      </c>
      <c r="P749" s="41" t="s">
        <v>301</v>
      </c>
      <c r="Q749" s="43">
        <v>0</v>
      </c>
      <c r="R749" s="41">
        <v>0</v>
      </c>
      <c r="S749" s="43">
        <v>0</v>
      </c>
      <c r="T749" s="43">
        <v>0</v>
      </c>
      <c r="U749" s="19"/>
      <c r="V749" s="13">
        <f t="shared" si="87"/>
        <v>234342.86030893106</v>
      </c>
      <c r="W749" s="13"/>
      <c r="X749" s="13"/>
      <c r="Y749" s="13"/>
      <c r="Z749" s="13"/>
      <c r="AA749" s="22">
        <v>45748</v>
      </c>
      <c r="AB749" s="22" cm="1">
        <f t="array" ref="AB7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49" s="4">
        <v>5363.44</v>
      </c>
      <c r="AD749" s="4">
        <v>5363.44</v>
      </c>
      <c r="AE749" s="2"/>
      <c r="AF749" s="3"/>
      <c r="AG749" s="3"/>
      <c r="AH749" s="3"/>
      <c r="AI749" s="3"/>
      <c r="AJ749" s="2">
        <f t="shared" si="88"/>
        <v>0</v>
      </c>
      <c r="AK749" s="2">
        <f t="shared" si="86"/>
        <v>0</v>
      </c>
      <c r="AL749" s="2">
        <f t="shared" si="89"/>
        <v>0</v>
      </c>
      <c r="AM749" s="88"/>
      <c r="AN749" s="157" t="s">
        <v>774</v>
      </c>
    </row>
    <row r="750" spans="2:40" ht="23.15" customHeight="1" thickBot="1">
      <c r="B750" s="87"/>
      <c r="C750" s="2" t="s">
        <v>292</v>
      </c>
      <c r="D750" s="15" t="s">
        <v>19</v>
      </c>
      <c r="E750" s="20" t="s">
        <v>30</v>
      </c>
      <c r="F750" s="20" t="s">
        <v>40</v>
      </c>
      <c r="G750" s="11">
        <v>55</v>
      </c>
      <c r="H750" s="11">
        <v>46</v>
      </c>
      <c r="I750" s="18" t="s">
        <v>294</v>
      </c>
      <c r="J750" s="41" t="s">
        <v>294</v>
      </c>
      <c r="K750" s="19">
        <v>234342.86030893106</v>
      </c>
      <c r="L750" s="41">
        <v>0</v>
      </c>
      <c r="M750" s="41" t="s">
        <v>294</v>
      </c>
      <c r="N750" s="41">
        <v>0</v>
      </c>
      <c r="O750" s="41" t="s">
        <v>294</v>
      </c>
      <c r="P750" s="41" t="s">
        <v>293</v>
      </c>
      <c r="Q750" s="43">
        <v>0</v>
      </c>
      <c r="R750" s="41">
        <v>0</v>
      </c>
      <c r="S750" s="43">
        <v>0</v>
      </c>
      <c r="T750" s="43">
        <v>0</v>
      </c>
      <c r="U750" s="19" t="s">
        <v>292</v>
      </c>
      <c r="V750" s="13">
        <f t="shared" si="87"/>
        <v>234342.86030893106</v>
      </c>
      <c r="W750" s="13"/>
      <c r="X750" s="13"/>
      <c r="Y750" s="13"/>
      <c r="Z750" s="13"/>
      <c r="AA750" s="22">
        <v>45778</v>
      </c>
      <c r="AB750" s="22" cm="1">
        <f t="array" ref="AB7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50" s="4"/>
      <c r="AD750" s="4"/>
      <c r="AE750" s="2"/>
      <c r="AF750" s="3"/>
      <c r="AG750" s="3"/>
      <c r="AH750" s="3"/>
      <c r="AI750" s="3"/>
      <c r="AJ750" s="2">
        <f t="shared" si="88"/>
        <v>0</v>
      </c>
      <c r="AK750" s="2">
        <f t="shared" si="86"/>
        <v>0</v>
      </c>
      <c r="AL750" s="2">
        <f t="shared" si="89"/>
        <v>0</v>
      </c>
      <c r="AM750" s="88"/>
      <c r="AN750" s="157" t="s">
        <v>774</v>
      </c>
    </row>
    <row r="751" spans="2:40" ht="23.15" customHeight="1" thickBot="1">
      <c r="B751" s="87"/>
      <c r="C751" s="2" t="s">
        <v>292</v>
      </c>
      <c r="D751" s="15" t="s">
        <v>19</v>
      </c>
      <c r="E751" s="20" t="s">
        <v>30</v>
      </c>
      <c r="F751" s="20" t="s">
        <v>40</v>
      </c>
      <c r="G751" s="11">
        <v>55</v>
      </c>
      <c r="H751" s="11">
        <v>46</v>
      </c>
      <c r="I751" s="18" t="s">
        <v>294</v>
      </c>
      <c r="J751" s="41" t="s">
        <v>294</v>
      </c>
      <c r="K751" s="19">
        <v>234342.86030893106</v>
      </c>
      <c r="L751" s="41">
        <v>0</v>
      </c>
      <c r="M751" s="41" t="s">
        <v>294</v>
      </c>
      <c r="N751" s="41">
        <v>0</v>
      </c>
      <c r="O751" s="41" t="s">
        <v>294</v>
      </c>
      <c r="P751" s="41" t="s">
        <v>293</v>
      </c>
      <c r="Q751" s="43">
        <v>0</v>
      </c>
      <c r="R751" s="41">
        <v>0</v>
      </c>
      <c r="S751" s="43">
        <v>0</v>
      </c>
      <c r="T751" s="43">
        <v>0</v>
      </c>
      <c r="U751" s="19"/>
      <c r="V751" s="13">
        <f t="shared" si="87"/>
        <v>234342.86030893106</v>
      </c>
      <c r="W751" s="13"/>
      <c r="X751" s="13"/>
      <c r="Y751" s="13"/>
      <c r="Z751" s="13"/>
      <c r="AA751" s="22">
        <v>45809</v>
      </c>
      <c r="AB751" s="22" cm="1">
        <f t="array" ref="AB7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51" s="4">
        <v>1276.6736929651481</v>
      </c>
      <c r="AD751" s="4">
        <v>1276.6736929651481</v>
      </c>
      <c r="AE751" s="2"/>
      <c r="AF751" s="3"/>
      <c r="AG751" s="3"/>
      <c r="AH751" s="3"/>
      <c r="AI751" s="3"/>
      <c r="AJ751" s="2">
        <f t="shared" si="88"/>
        <v>0</v>
      </c>
      <c r="AK751" s="2">
        <f t="shared" si="86"/>
        <v>0</v>
      </c>
      <c r="AL751" s="2">
        <f t="shared" si="89"/>
        <v>0</v>
      </c>
      <c r="AM751" s="88"/>
      <c r="AN751" s="157" t="s">
        <v>774</v>
      </c>
    </row>
    <row r="752" spans="2:40" ht="23.15" customHeight="1" thickBot="1">
      <c r="B752" s="87">
        <v>45931</v>
      </c>
      <c r="C752" s="2" t="s">
        <v>295</v>
      </c>
      <c r="D752" s="15" t="s">
        <v>19</v>
      </c>
      <c r="E752" s="20" t="s">
        <v>29</v>
      </c>
      <c r="F752" s="20" t="s">
        <v>39</v>
      </c>
      <c r="G752" s="11">
        <v>7</v>
      </c>
      <c r="H752" s="11">
        <v>5</v>
      </c>
      <c r="I752" s="18">
        <v>0</v>
      </c>
      <c r="J752" s="18">
        <v>0</v>
      </c>
      <c r="K752" s="19">
        <v>23368.371096805993</v>
      </c>
      <c r="L752" s="41">
        <v>0</v>
      </c>
      <c r="M752" s="18">
        <v>0</v>
      </c>
      <c r="N752" s="41">
        <v>0</v>
      </c>
      <c r="O752" s="41">
        <v>0</v>
      </c>
      <c r="P752" s="41">
        <v>0</v>
      </c>
      <c r="Q752" s="43">
        <v>0</v>
      </c>
      <c r="R752" s="41">
        <v>0</v>
      </c>
      <c r="S752" s="43">
        <v>0</v>
      </c>
      <c r="T752" s="43">
        <v>0</v>
      </c>
      <c r="U752" s="19" t="s">
        <v>295</v>
      </c>
      <c r="V752" s="13">
        <f t="shared" si="87"/>
        <v>23368.371096805993</v>
      </c>
      <c r="W752" s="13"/>
      <c r="X752" s="13"/>
      <c r="Y752" s="13"/>
      <c r="Z752" s="13"/>
      <c r="AA752" s="22">
        <v>45901</v>
      </c>
      <c r="AB752" s="22" cm="1">
        <f t="array" ref="AB7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52" s="4"/>
      <c r="AD752" s="4"/>
      <c r="AE752" s="2"/>
      <c r="AF752" s="3"/>
      <c r="AG752" s="3"/>
      <c r="AH752" s="3"/>
      <c r="AI752" s="3"/>
      <c r="AJ752" s="2">
        <f t="shared" si="88"/>
        <v>0</v>
      </c>
      <c r="AK752" s="2">
        <f t="shared" si="86"/>
        <v>0</v>
      </c>
      <c r="AL752" s="2">
        <f t="shared" si="89"/>
        <v>0</v>
      </c>
      <c r="AM752" s="88"/>
      <c r="AN752" s="157" t="s">
        <v>774</v>
      </c>
    </row>
    <row r="753" spans="2:40" ht="23.15" customHeight="1" thickBot="1">
      <c r="B753" s="87"/>
      <c r="C753" s="2" t="s">
        <v>292</v>
      </c>
      <c r="D753" s="15" t="s">
        <v>19</v>
      </c>
      <c r="E753" s="20" t="s">
        <v>29</v>
      </c>
      <c r="F753" s="20" t="s">
        <v>39</v>
      </c>
      <c r="G753" s="11">
        <v>7</v>
      </c>
      <c r="H753" s="11"/>
      <c r="I753" s="18" t="s">
        <v>294</v>
      </c>
      <c r="J753" s="18" t="s">
        <v>294</v>
      </c>
      <c r="K753" s="19">
        <v>23368.371096805993</v>
      </c>
      <c r="L753" s="41"/>
      <c r="M753" s="41" t="s">
        <v>294</v>
      </c>
      <c r="N753" s="41"/>
      <c r="O753" s="41" t="s">
        <v>294</v>
      </c>
      <c r="P753" s="41" t="s">
        <v>293</v>
      </c>
      <c r="Q753" s="43"/>
      <c r="R753" s="41"/>
      <c r="S753" s="43"/>
      <c r="T753" s="43"/>
      <c r="U753" s="19"/>
      <c r="V753" s="13">
        <f t="shared" si="87"/>
        <v>23368.371096805993</v>
      </c>
      <c r="W753" s="13"/>
      <c r="X753" s="13"/>
      <c r="Y753" s="13"/>
      <c r="Z753" s="13"/>
      <c r="AA753" s="22">
        <v>45931</v>
      </c>
      <c r="AB753" s="22" cm="1">
        <f t="array" ref="AB7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53" s="4"/>
      <c r="AD753" s="4"/>
      <c r="AE753" s="2"/>
      <c r="AF753" s="3"/>
      <c r="AG753" s="3"/>
      <c r="AH753" s="3"/>
      <c r="AI753" s="3"/>
      <c r="AJ753" s="2">
        <f t="shared" si="88"/>
        <v>0</v>
      </c>
      <c r="AK753" s="2">
        <f t="shared" si="86"/>
        <v>0</v>
      </c>
      <c r="AL753" s="2">
        <f t="shared" si="89"/>
        <v>0</v>
      </c>
      <c r="AM753" s="88"/>
      <c r="AN753" s="157" t="s">
        <v>774</v>
      </c>
    </row>
    <row r="754" spans="2:40" ht="23.15" customHeight="1" thickBot="1">
      <c r="B754" s="87"/>
      <c r="C754" s="2" t="s">
        <v>292</v>
      </c>
      <c r="D754" s="15" t="s">
        <v>19</v>
      </c>
      <c r="E754" s="20" t="s">
        <v>30</v>
      </c>
      <c r="F754" s="20" t="s">
        <v>40</v>
      </c>
      <c r="G754" s="11">
        <v>55</v>
      </c>
      <c r="H754" s="11">
        <v>46</v>
      </c>
      <c r="I754" s="18" t="s">
        <v>294</v>
      </c>
      <c r="J754" s="18" t="s">
        <v>294</v>
      </c>
      <c r="K754" s="19">
        <v>234342.86030893106</v>
      </c>
      <c r="L754" s="41">
        <v>0</v>
      </c>
      <c r="M754" s="18" t="s">
        <v>294</v>
      </c>
      <c r="N754" s="41">
        <v>0</v>
      </c>
      <c r="O754" s="41" t="s">
        <v>294</v>
      </c>
      <c r="P754" s="41">
        <v>0</v>
      </c>
      <c r="Q754" s="43">
        <v>0</v>
      </c>
      <c r="R754" s="41">
        <v>0</v>
      </c>
      <c r="S754" s="43">
        <v>0</v>
      </c>
      <c r="T754" s="43">
        <v>0</v>
      </c>
      <c r="U754" s="19" t="s">
        <v>295</v>
      </c>
      <c r="V754" s="13">
        <f t="shared" si="87"/>
        <v>234342.86030893106</v>
      </c>
      <c r="W754" s="13"/>
      <c r="X754" s="13"/>
      <c r="Y754" s="13"/>
      <c r="Z754" s="13"/>
      <c r="AA754" s="22">
        <v>45870</v>
      </c>
      <c r="AB754" s="22" cm="1">
        <f t="array" ref="AB7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54" s="4"/>
      <c r="AD754" s="4"/>
      <c r="AE754" s="2"/>
      <c r="AF754" s="3"/>
      <c r="AG754" s="3"/>
      <c r="AH754" s="3"/>
      <c r="AI754" s="3"/>
      <c r="AJ754" s="2">
        <f t="shared" si="88"/>
        <v>0</v>
      </c>
      <c r="AK754" s="2">
        <f t="shared" si="86"/>
        <v>0</v>
      </c>
      <c r="AL754" s="2">
        <f t="shared" si="89"/>
        <v>0</v>
      </c>
      <c r="AM754" s="88"/>
      <c r="AN754" s="157" t="s">
        <v>774</v>
      </c>
    </row>
    <row r="755" spans="2:40" ht="23.15" customHeight="1" thickBot="1">
      <c r="B755" s="87"/>
      <c r="C755" s="2" t="s">
        <v>292</v>
      </c>
      <c r="D755" s="15" t="s">
        <v>19</v>
      </c>
      <c r="E755" s="20" t="s">
        <v>30</v>
      </c>
      <c r="F755" s="20" t="s">
        <v>40</v>
      </c>
      <c r="G755" s="11">
        <v>55</v>
      </c>
      <c r="H755" s="11"/>
      <c r="I755" s="18" t="s">
        <v>294</v>
      </c>
      <c r="J755" s="18" t="s">
        <v>294</v>
      </c>
      <c r="K755" s="19">
        <v>234342.86030893106</v>
      </c>
      <c r="L755" s="41" t="s">
        <v>294</v>
      </c>
      <c r="M755" s="18" t="s">
        <v>294</v>
      </c>
      <c r="N755" s="41" t="s">
        <v>294</v>
      </c>
      <c r="O755" s="41" t="s">
        <v>294</v>
      </c>
      <c r="P755" s="41" t="s">
        <v>293</v>
      </c>
      <c r="Q755" s="43">
        <v>0</v>
      </c>
      <c r="R755" s="41">
        <v>0</v>
      </c>
      <c r="S755" s="43">
        <v>0</v>
      </c>
      <c r="T755" s="43">
        <v>0</v>
      </c>
      <c r="U755" s="19"/>
      <c r="V755" s="13">
        <f t="shared" si="87"/>
        <v>234342.86030893106</v>
      </c>
      <c r="W755" s="13"/>
      <c r="X755" s="13"/>
      <c r="Y755" s="13"/>
      <c r="Z755" s="13"/>
      <c r="AA755" s="22">
        <v>45901</v>
      </c>
      <c r="AB755" s="22" cm="1">
        <f t="array" ref="AB7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55" s="4"/>
      <c r="AD755" s="4"/>
      <c r="AE755" s="2"/>
      <c r="AF755" s="3"/>
      <c r="AG755" s="3"/>
      <c r="AH755" s="3"/>
      <c r="AI755" s="3"/>
      <c r="AJ755" s="2">
        <f t="shared" si="88"/>
        <v>0</v>
      </c>
      <c r="AK755" s="2">
        <f t="shared" si="86"/>
        <v>0</v>
      </c>
      <c r="AL755" s="2">
        <f t="shared" si="89"/>
        <v>0</v>
      </c>
      <c r="AM755" s="88"/>
      <c r="AN755" s="157" t="s">
        <v>774</v>
      </c>
    </row>
    <row r="756" spans="2:40" ht="23.15" customHeight="1" thickBot="1">
      <c r="B756" s="87"/>
      <c r="C756" s="2" t="s">
        <v>292</v>
      </c>
      <c r="D756" s="15" t="s">
        <v>19</v>
      </c>
      <c r="E756" s="20" t="s">
        <v>30</v>
      </c>
      <c r="F756" s="20" t="s">
        <v>40</v>
      </c>
      <c r="G756" s="11">
        <v>55</v>
      </c>
      <c r="H756" s="11"/>
      <c r="I756" s="18" t="s">
        <v>294</v>
      </c>
      <c r="J756" s="18" t="s">
        <v>294</v>
      </c>
      <c r="K756" s="19">
        <v>234342.86030893106</v>
      </c>
      <c r="L756" s="41"/>
      <c r="M756" s="41" t="s">
        <v>294</v>
      </c>
      <c r="N756" s="41"/>
      <c r="O756" s="41" t="s">
        <v>294</v>
      </c>
      <c r="P756" s="41" t="s">
        <v>293</v>
      </c>
      <c r="Q756" s="43"/>
      <c r="R756" s="43"/>
      <c r="S756" s="43"/>
      <c r="T756" s="43"/>
      <c r="U756" s="19"/>
      <c r="V756" s="13">
        <f t="shared" si="87"/>
        <v>234342.86030893106</v>
      </c>
      <c r="W756" s="13"/>
      <c r="X756" s="13"/>
      <c r="Y756" s="13"/>
      <c r="Z756" s="13"/>
      <c r="AA756" s="22">
        <v>45931</v>
      </c>
      <c r="AB756" s="22" cm="1">
        <f t="array" ref="AB7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56" s="348">
        <v>15562.66</v>
      </c>
      <c r="AD756" s="4">
        <v>15562.66</v>
      </c>
      <c r="AE756" s="2"/>
      <c r="AF756" s="3"/>
      <c r="AG756" s="3"/>
      <c r="AH756" s="3"/>
      <c r="AI756" s="3"/>
      <c r="AJ756" s="2">
        <f t="shared" si="88"/>
        <v>0</v>
      </c>
      <c r="AK756" s="2">
        <f t="shared" si="86"/>
        <v>0</v>
      </c>
      <c r="AL756" s="2">
        <f t="shared" si="89"/>
        <v>0</v>
      </c>
      <c r="AM756" s="88"/>
      <c r="AN756" s="157" t="s">
        <v>774</v>
      </c>
    </row>
    <row r="757" spans="2:40" ht="23.15" customHeight="1" thickBot="1">
      <c r="B757" s="87"/>
      <c r="C757" s="2" t="s">
        <v>292</v>
      </c>
      <c r="D757" s="15" t="s">
        <v>19</v>
      </c>
      <c r="E757" s="20" t="s">
        <v>25</v>
      </c>
      <c r="F757" s="20" t="s">
        <v>40</v>
      </c>
      <c r="G757" s="11">
        <v>29</v>
      </c>
      <c r="H757" s="11">
        <v>18</v>
      </c>
      <c r="I757" s="18" t="s">
        <v>294</v>
      </c>
      <c r="J757" s="18" t="s">
        <v>294</v>
      </c>
      <c r="K757" s="19">
        <v>137118.35999999999</v>
      </c>
      <c r="L757" s="41">
        <v>0</v>
      </c>
      <c r="M757" s="18" t="s">
        <v>294</v>
      </c>
      <c r="N757" s="41">
        <v>0</v>
      </c>
      <c r="O757" s="41" t="s">
        <v>294</v>
      </c>
      <c r="P757" s="41">
        <v>0</v>
      </c>
      <c r="Q757" s="43">
        <v>0</v>
      </c>
      <c r="R757" s="43">
        <v>0</v>
      </c>
      <c r="S757" s="43">
        <v>0</v>
      </c>
      <c r="T757" s="43">
        <v>0</v>
      </c>
      <c r="U757" s="19" t="s">
        <v>295</v>
      </c>
      <c r="V757" s="13">
        <f t="shared" si="87"/>
        <v>137118.35999999999</v>
      </c>
      <c r="W757" s="13"/>
      <c r="X757" s="13"/>
      <c r="Y757" s="13"/>
      <c r="Z757" s="13"/>
      <c r="AA757" s="22">
        <v>45870</v>
      </c>
      <c r="AB757" s="22" cm="1">
        <f t="array" ref="AB7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57" s="4"/>
      <c r="AD757" s="4"/>
      <c r="AE757" s="2"/>
      <c r="AF757" s="3"/>
      <c r="AG757" s="3"/>
      <c r="AH757" s="3"/>
      <c r="AI757" s="3"/>
      <c r="AJ757" s="2">
        <f t="shared" si="88"/>
        <v>0</v>
      </c>
      <c r="AK757" s="2">
        <f t="shared" si="86"/>
        <v>0</v>
      </c>
      <c r="AL757" s="2">
        <f t="shared" si="89"/>
        <v>0</v>
      </c>
      <c r="AM757" s="88"/>
      <c r="AN757" s="157" t="s">
        <v>774</v>
      </c>
    </row>
    <row r="758" spans="2:40" ht="23.15" customHeight="1" thickBot="1">
      <c r="B758" s="87"/>
      <c r="C758" s="2" t="s">
        <v>292</v>
      </c>
      <c r="D758" s="15" t="s">
        <v>19</v>
      </c>
      <c r="E758" s="20" t="s">
        <v>25</v>
      </c>
      <c r="F758" s="20" t="s">
        <v>40</v>
      </c>
      <c r="G758" s="11">
        <v>29</v>
      </c>
      <c r="H758" s="11"/>
      <c r="I758" s="18" t="s">
        <v>294</v>
      </c>
      <c r="J758" s="18" t="s">
        <v>294</v>
      </c>
      <c r="K758" s="19">
        <v>137118.35999999999</v>
      </c>
      <c r="L758" s="18" t="s">
        <v>294</v>
      </c>
      <c r="M758" s="18" t="s">
        <v>294</v>
      </c>
      <c r="N758" s="41" t="s">
        <v>294</v>
      </c>
      <c r="O758" s="41" t="s">
        <v>294</v>
      </c>
      <c r="P758" s="41">
        <v>0</v>
      </c>
      <c r="Q758" s="43">
        <v>0</v>
      </c>
      <c r="R758" s="43">
        <v>0</v>
      </c>
      <c r="S758" s="43">
        <v>0</v>
      </c>
      <c r="T758" s="43">
        <v>0</v>
      </c>
      <c r="U758" s="19"/>
      <c r="V758" s="13">
        <f t="shared" si="87"/>
        <v>137118.35999999999</v>
      </c>
      <c r="W758" s="13"/>
      <c r="X758" s="13"/>
      <c r="Y758" s="13"/>
      <c r="Z758" s="13"/>
      <c r="AA758" s="22">
        <v>45901</v>
      </c>
      <c r="AB758" s="22" cm="1">
        <f t="array" ref="AB7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58" s="4"/>
      <c r="AD758" s="4"/>
      <c r="AE758" s="2"/>
      <c r="AF758" s="3"/>
      <c r="AG758" s="3"/>
      <c r="AH758" s="3"/>
      <c r="AI758" s="3"/>
      <c r="AJ758" s="2">
        <f t="shared" si="88"/>
        <v>0</v>
      </c>
      <c r="AK758" s="2">
        <f t="shared" si="86"/>
        <v>0</v>
      </c>
      <c r="AL758" s="2">
        <f t="shared" si="89"/>
        <v>0</v>
      </c>
      <c r="AM758" s="88"/>
      <c r="AN758" s="157" t="s">
        <v>774</v>
      </c>
    </row>
    <row r="759" spans="2:40" ht="23.15" customHeight="1" thickBot="1">
      <c r="B759" s="87"/>
      <c r="C759" s="2" t="s">
        <v>292</v>
      </c>
      <c r="D759" s="15" t="s">
        <v>19</v>
      </c>
      <c r="E759" s="20" t="s">
        <v>25</v>
      </c>
      <c r="F759" s="20" t="s">
        <v>40</v>
      </c>
      <c r="G759" s="11">
        <v>29</v>
      </c>
      <c r="H759" s="11"/>
      <c r="I759" s="18" t="s">
        <v>294</v>
      </c>
      <c r="J759" s="18" t="s">
        <v>294</v>
      </c>
      <c r="K759" s="19">
        <v>137118.35999999999</v>
      </c>
      <c r="L759" s="41"/>
      <c r="M759" s="43" t="s">
        <v>294</v>
      </c>
      <c r="N759" s="41"/>
      <c r="O759" s="41" t="s">
        <v>294</v>
      </c>
      <c r="P759" s="41" t="s">
        <v>293</v>
      </c>
      <c r="Q759" s="43"/>
      <c r="R759" s="43"/>
      <c r="S759" s="43"/>
      <c r="T759" s="43"/>
      <c r="U759" s="19"/>
      <c r="V759" s="13">
        <f t="shared" si="87"/>
        <v>137118.35999999999</v>
      </c>
      <c r="W759" s="13"/>
      <c r="X759" s="13"/>
      <c r="Y759" s="13"/>
      <c r="Z759" s="13"/>
      <c r="AA759" s="22">
        <v>45931</v>
      </c>
      <c r="AB759" s="22" cm="1">
        <f t="array" ref="AB7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59" s="4"/>
      <c r="AD759" s="4"/>
      <c r="AE759" s="2"/>
      <c r="AF759" s="3"/>
      <c r="AG759" s="3"/>
      <c r="AH759" s="3"/>
      <c r="AI759" s="3"/>
      <c r="AJ759" s="2">
        <f t="shared" si="88"/>
        <v>0</v>
      </c>
      <c r="AK759" s="2">
        <f t="shared" si="86"/>
        <v>0</v>
      </c>
      <c r="AL759" s="2">
        <f t="shared" si="89"/>
        <v>0</v>
      </c>
      <c r="AM759" s="88"/>
      <c r="AN759" s="157" t="s">
        <v>774</v>
      </c>
    </row>
    <row r="760" spans="2:40" ht="23.15" customHeight="1" thickBot="1">
      <c r="B760" s="87"/>
      <c r="C760" s="2" t="s">
        <v>292</v>
      </c>
      <c r="D760" s="15" t="s">
        <v>19</v>
      </c>
      <c r="E760" s="20" t="s">
        <v>161</v>
      </c>
      <c r="F760" s="20" t="s">
        <v>40</v>
      </c>
      <c r="G760" s="11">
        <v>2</v>
      </c>
      <c r="H760" s="11">
        <v>2</v>
      </c>
      <c r="I760" s="18" t="s">
        <v>294</v>
      </c>
      <c r="J760" s="18" t="s">
        <v>294</v>
      </c>
      <c r="K760" s="19">
        <v>13103.564369376998</v>
      </c>
      <c r="L760" s="41">
        <v>0</v>
      </c>
      <c r="M760" s="11" t="s">
        <v>294</v>
      </c>
      <c r="N760" s="41">
        <v>0</v>
      </c>
      <c r="O760" s="41" t="s">
        <v>294</v>
      </c>
      <c r="P760" s="41">
        <v>0</v>
      </c>
      <c r="Q760" s="43">
        <v>0</v>
      </c>
      <c r="R760" s="43">
        <v>0</v>
      </c>
      <c r="S760" s="43">
        <v>0</v>
      </c>
      <c r="T760" s="43">
        <v>0</v>
      </c>
      <c r="U760" s="19" t="s">
        <v>295</v>
      </c>
      <c r="V760" s="13">
        <f t="shared" si="87"/>
        <v>13103.564369376998</v>
      </c>
      <c r="W760" s="13"/>
      <c r="X760" s="13"/>
      <c r="Y760" s="13"/>
      <c r="Z760" s="13"/>
      <c r="AA760" s="22">
        <v>45870</v>
      </c>
      <c r="AB760" s="22" cm="1">
        <f t="array" ref="AB7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60" s="4"/>
      <c r="AD760" s="4"/>
      <c r="AE760" s="2"/>
      <c r="AF760" s="3"/>
      <c r="AG760" s="3"/>
      <c r="AH760" s="3"/>
      <c r="AI760" s="3"/>
      <c r="AJ760" s="2">
        <f t="shared" si="88"/>
        <v>0</v>
      </c>
      <c r="AK760" s="2">
        <f t="shared" si="86"/>
        <v>0</v>
      </c>
      <c r="AL760" s="2">
        <f t="shared" si="89"/>
        <v>0</v>
      </c>
      <c r="AM760" s="88"/>
      <c r="AN760" s="157" t="s">
        <v>774</v>
      </c>
    </row>
    <row r="761" spans="2:40" ht="23.15" customHeight="1" thickBot="1">
      <c r="B761" s="87"/>
      <c r="C761" s="2" t="s">
        <v>292</v>
      </c>
      <c r="D761" s="15" t="s">
        <v>19</v>
      </c>
      <c r="E761" s="20" t="s">
        <v>161</v>
      </c>
      <c r="F761" s="20" t="s">
        <v>40</v>
      </c>
      <c r="G761" s="11">
        <v>2</v>
      </c>
      <c r="H761" s="11"/>
      <c r="I761" s="18" t="s">
        <v>294</v>
      </c>
      <c r="J761" s="18" t="s">
        <v>294</v>
      </c>
      <c r="K761" s="19">
        <v>13103.564369376998</v>
      </c>
      <c r="L761" s="18" t="s">
        <v>294</v>
      </c>
      <c r="M761" s="18" t="s">
        <v>294</v>
      </c>
      <c r="N761" s="41" t="s">
        <v>294</v>
      </c>
      <c r="O761" s="41" t="s">
        <v>294</v>
      </c>
      <c r="P761" s="41" t="s">
        <v>293</v>
      </c>
      <c r="Q761" s="43">
        <v>0</v>
      </c>
      <c r="R761" s="43">
        <v>0</v>
      </c>
      <c r="S761" s="43">
        <v>0</v>
      </c>
      <c r="T761" s="43">
        <v>0</v>
      </c>
      <c r="U761" s="19"/>
      <c r="V761" s="13">
        <f t="shared" si="87"/>
        <v>13103.564369376998</v>
      </c>
      <c r="W761" s="13"/>
      <c r="X761" s="13"/>
      <c r="Y761" s="13"/>
      <c r="Z761" s="13"/>
      <c r="AA761" s="22">
        <v>45901</v>
      </c>
      <c r="AB761" s="22" cm="1">
        <f t="array" ref="AB7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61" s="4"/>
      <c r="AD761" s="4"/>
      <c r="AE761" s="2"/>
      <c r="AF761" s="3"/>
      <c r="AG761" s="3"/>
      <c r="AH761" s="3"/>
      <c r="AI761" s="3"/>
      <c r="AJ761" s="2">
        <f t="shared" si="88"/>
        <v>0</v>
      </c>
      <c r="AK761" s="2">
        <f t="shared" si="86"/>
        <v>0</v>
      </c>
      <c r="AL761" s="2">
        <f t="shared" si="89"/>
        <v>0</v>
      </c>
      <c r="AM761" s="88"/>
      <c r="AN761" s="157" t="s">
        <v>774</v>
      </c>
    </row>
    <row r="762" spans="2:40" ht="23.15" customHeight="1" thickBot="1">
      <c r="B762" s="87"/>
      <c r="C762" s="2" t="s">
        <v>292</v>
      </c>
      <c r="D762" s="15" t="s">
        <v>19</v>
      </c>
      <c r="E762" s="20" t="s">
        <v>161</v>
      </c>
      <c r="F762" s="20" t="s">
        <v>40</v>
      </c>
      <c r="G762" s="11">
        <v>2</v>
      </c>
      <c r="H762" s="11"/>
      <c r="I762" s="18" t="s">
        <v>294</v>
      </c>
      <c r="J762" s="18" t="s">
        <v>294</v>
      </c>
      <c r="K762" s="19">
        <v>13103.564369376998</v>
      </c>
      <c r="L762" s="41"/>
      <c r="M762" s="41" t="s">
        <v>294</v>
      </c>
      <c r="N762" s="41"/>
      <c r="O762" s="41" t="s">
        <v>294</v>
      </c>
      <c r="P762" s="41" t="s">
        <v>301</v>
      </c>
      <c r="Q762" s="43"/>
      <c r="R762" s="43"/>
      <c r="S762" s="43"/>
      <c r="T762" s="43"/>
      <c r="U762" s="19"/>
      <c r="V762" s="13">
        <f t="shared" si="87"/>
        <v>13103.564369376998</v>
      </c>
      <c r="W762" s="13"/>
      <c r="X762" s="13"/>
      <c r="Y762" s="13"/>
      <c r="Z762" s="13"/>
      <c r="AA762" s="22">
        <v>45931</v>
      </c>
      <c r="AB762" s="22" cm="1">
        <f t="array" ref="AB7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62" s="4"/>
      <c r="AD762" s="4"/>
      <c r="AE762" s="2"/>
      <c r="AF762" s="3"/>
      <c r="AG762" s="3"/>
      <c r="AH762" s="3"/>
      <c r="AI762" s="3"/>
      <c r="AJ762" s="2">
        <f t="shared" si="88"/>
        <v>0</v>
      </c>
      <c r="AK762" s="2">
        <f t="shared" si="86"/>
        <v>0</v>
      </c>
      <c r="AL762" s="2">
        <f t="shared" si="89"/>
        <v>0</v>
      </c>
      <c r="AM762" s="88"/>
      <c r="AN762" s="157" t="s">
        <v>774</v>
      </c>
    </row>
    <row r="763" spans="2:40" ht="23.15" customHeight="1" thickBot="1">
      <c r="B763" s="87"/>
      <c r="C763" s="2" t="s">
        <v>292</v>
      </c>
      <c r="D763" s="15" t="s">
        <v>19</v>
      </c>
      <c r="E763" s="20" t="s">
        <v>26</v>
      </c>
      <c r="F763" s="20" t="s">
        <v>40</v>
      </c>
      <c r="G763" s="11">
        <v>4</v>
      </c>
      <c r="H763" s="11">
        <v>4</v>
      </c>
      <c r="I763" s="18" t="s">
        <v>294</v>
      </c>
      <c r="J763" s="18" t="s">
        <v>294</v>
      </c>
      <c r="K763" s="19">
        <v>31416.077186057617</v>
      </c>
      <c r="L763" s="41">
        <v>0</v>
      </c>
      <c r="M763" s="18" t="s">
        <v>294</v>
      </c>
      <c r="N763" s="41">
        <v>0</v>
      </c>
      <c r="O763" s="41" t="s">
        <v>294</v>
      </c>
      <c r="P763" s="41">
        <v>0</v>
      </c>
      <c r="Q763" s="43">
        <v>0</v>
      </c>
      <c r="R763" s="43">
        <v>0</v>
      </c>
      <c r="S763" s="43">
        <v>0</v>
      </c>
      <c r="T763" s="43">
        <v>0</v>
      </c>
      <c r="U763" s="19" t="s">
        <v>295</v>
      </c>
      <c r="V763" s="13">
        <f t="shared" si="87"/>
        <v>31416.077186057617</v>
      </c>
      <c r="W763" s="13"/>
      <c r="X763" s="13"/>
      <c r="Y763" s="13"/>
      <c r="Z763" s="13"/>
      <c r="AA763" s="22">
        <v>45870</v>
      </c>
      <c r="AB763" s="22" cm="1">
        <f t="array" ref="AB7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63" s="4"/>
      <c r="AD763" s="4"/>
      <c r="AE763" s="2"/>
      <c r="AF763" s="3"/>
      <c r="AG763" s="3"/>
      <c r="AH763" s="3"/>
      <c r="AI763" s="3"/>
      <c r="AJ763" s="2">
        <f t="shared" si="88"/>
        <v>0</v>
      </c>
      <c r="AK763" s="2">
        <f t="shared" si="86"/>
        <v>0</v>
      </c>
      <c r="AL763" s="2">
        <f t="shared" si="89"/>
        <v>0</v>
      </c>
      <c r="AM763" s="88"/>
      <c r="AN763" s="157" t="s">
        <v>774</v>
      </c>
    </row>
    <row r="764" spans="2:40" ht="23.15" customHeight="1" thickBot="1">
      <c r="B764" s="87"/>
      <c r="C764" s="2" t="s">
        <v>292</v>
      </c>
      <c r="D764" s="15" t="s">
        <v>19</v>
      </c>
      <c r="E764" s="20" t="s">
        <v>26</v>
      </c>
      <c r="F764" s="20" t="s">
        <v>40</v>
      </c>
      <c r="G764" s="11">
        <v>4</v>
      </c>
      <c r="H764" s="11"/>
      <c r="I764" s="18" t="s">
        <v>294</v>
      </c>
      <c r="J764" s="18" t="s">
        <v>294</v>
      </c>
      <c r="K764" s="19">
        <v>31416.077186057617</v>
      </c>
      <c r="L764" s="18" t="s">
        <v>294</v>
      </c>
      <c r="M764" s="18" t="s">
        <v>294</v>
      </c>
      <c r="N764" s="41" t="s">
        <v>294</v>
      </c>
      <c r="O764" s="41" t="s">
        <v>294</v>
      </c>
      <c r="P764" s="41">
        <v>0</v>
      </c>
      <c r="Q764" s="43">
        <v>0</v>
      </c>
      <c r="R764" s="43">
        <v>0</v>
      </c>
      <c r="S764" s="43">
        <v>0</v>
      </c>
      <c r="T764" s="43">
        <v>0</v>
      </c>
      <c r="U764" s="19"/>
      <c r="V764" s="13">
        <f t="shared" si="87"/>
        <v>31416.077186057617</v>
      </c>
      <c r="W764" s="13"/>
      <c r="X764" s="13"/>
      <c r="Y764" s="13"/>
      <c r="Z764" s="13"/>
      <c r="AA764" s="22">
        <v>45901</v>
      </c>
      <c r="AB764" s="22" cm="1">
        <f t="array" ref="AB7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64" s="4"/>
      <c r="AD764" s="4"/>
      <c r="AE764" s="2"/>
      <c r="AF764" s="3"/>
      <c r="AG764" s="3"/>
      <c r="AH764" s="3"/>
      <c r="AI764" s="3"/>
      <c r="AJ764" s="2">
        <f t="shared" si="88"/>
        <v>0</v>
      </c>
      <c r="AK764" s="2">
        <f t="shared" si="86"/>
        <v>0</v>
      </c>
      <c r="AL764" s="2">
        <f t="shared" si="89"/>
        <v>0</v>
      </c>
      <c r="AM764" s="88"/>
      <c r="AN764" s="157" t="s">
        <v>774</v>
      </c>
    </row>
    <row r="765" spans="2:40" ht="23.15" customHeight="1" thickBot="1">
      <c r="B765" s="87"/>
      <c r="C765" s="2" t="s">
        <v>292</v>
      </c>
      <c r="D765" s="15" t="s">
        <v>19</v>
      </c>
      <c r="E765" s="20" t="s">
        <v>26</v>
      </c>
      <c r="F765" s="20" t="s">
        <v>40</v>
      </c>
      <c r="G765" s="11">
        <v>4</v>
      </c>
      <c r="H765" s="11"/>
      <c r="I765" s="18" t="s">
        <v>294</v>
      </c>
      <c r="J765" s="18" t="s">
        <v>294</v>
      </c>
      <c r="K765" s="19">
        <v>31416.077186057617</v>
      </c>
      <c r="L765" s="41"/>
      <c r="M765" s="43" t="s">
        <v>294</v>
      </c>
      <c r="N765" s="41"/>
      <c r="O765" s="41" t="s">
        <v>294</v>
      </c>
      <c r="P765" s="41" t="s">
        <v>301</v>
      </c>
      <c r="Q765" s="43"/>
      <c r="R765" s="43"/>
      <c r="S765" s="43"/>
      <c r="T765" s="43"/>
      <c r="U765" s="19"/>
      <c r="V765" s="13">
        <f t="shared" si="87"/>
        <v>31416.077186057617</v>
      </c>
      <c r="W765" s="13"/>
      <c r="X765" s="13"/>
      <c r="Y765" s="13"/>
      <c r="Z765" s="13"/>
      <c r="AA765" s="22">
        <v>45931</v>
      </c>
      <c r="AB765" s="22" cm="1">
        <f t="array" ref="AB7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65" s="4"/>
      <c r="AD765" s="4"/>
      <c r="AE765" s="2"/>
      <c r="AF765" s="3"/>
      <c r="AG765" s="3"/>
      <c r="AH765" s="3"/>
      <c r="AI765" s="3"/>
      <c r="AJ765" s="2">
        <f t="shared" si="88"/>
        <v>0</v>
      </c>
      <c r="AK765" s="2">
        <f t="shared" si="86"/>
        <v>0</v>
      </c>
      <c r="AL765" s="2">
        <f t="shared" si="89"/>
        <v>0</v>
      </c>
      <c r="AM765" s="88"/>
      <c r="AN765" s="157" t="s">
        <v>774</v>
      </c>
    </row>
    <row r="766" spans="2:40" ht="23.15" customHeight="1" thickBot="1">
      <c r="B766" s="87">
        <v>45901</v>
      </c>
      <c r="C766" s="2" t="s">
        <v>295</v>
      </c>
      <c r="D766" s="15" t="s">
        <v>19</v>
      </c>
      <c r="E766" s="20" t="s">
        <v>31</v>
      </c>
      <c r="F766" s="20" t="s">
        <v>40</v>
      </c>
      <c r="G766" s="11">
        <v>25</v>
      </c>
      <c r="H766" s="11">
        <v>27</v>
      </c>
      <c r="I766" s="18">
        <v>0</v>
      </c>
      <c r="J766" s="18">
        <v>9.33</v>
      </c>
      <c r="K766" s="19">
        <v>138505.63445524889</v>
      </c>
      <c r="L766" s="41">
        <v>0</v>
      </c>
      <c r="M766" s="41">
        <v>0</v>
      </c>
      <c r="N766" s="41">
        <v>0</v>
      </c>
      <c r="O766" s="41">
        <v>-211.5111</v>
      </c>
      <c r="P766" s="41">
        <v>0</v>
      </c>
      <c r="Q766" s="41">
        <v>0</v>
      </c>
      <c r="R766" s="41">
        <v>0</v>
      </c>
      <c r="S766" s="43">
        <v>0</v>
      </c>
      <c r="T766" s="43">
        <v>0</v>
      </c>
      <c r="U766" s="19" t="s">
        <v>295</v>
      </c>
      <c r="V766" s="13">
        <f t="shared" si="87"/>
        <v>138294.12335524888</v>
      </c>
      <c r="W766" s="13"/>
      <c r="X766" s="13"/>
      <c r="Y766" s="13"/>
      <c r="Z766" s="13"/>
      <c r="AA766" s="22">
        <v>45870</v>
      </c>
      <c r="AB766" s="22" cm="1">
        <f t="array" ref="AB7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66" s="4"/>
      <c r="AD766" s="4"/>
      <c r="AE766" s="2"/>
      <c r="AF766" s="3"/>
      <c r="AG766" s="3"/>
      <c r="AH766" s="3"/>
      <c r="AI766" s="3"/>
      <c r="AJ766" s="2">
        <f t="shared" si="88"/>
        <v>0</v>
      </c>
      <c r="AK766" s="2">
        <f t="shared" si="86"/>
        <v>0</v>
      </c>
      <c r="AL766" s="2">
        <f t="shared" si="89"/>
        <v>211.51110000000335</v>
      </c>
      <c r="AM766" s="88"/>
      <c r="AN766" s="157" t="s">
        <v>774</v>
      </c>
    </row>
    <row r="767" spans="2:40" ht="23.15" customHeight="1" thickBot="1">
      <c r="B767" s="87">
        <v>45931</v>
      </c>
      <c r="C767" s="2" t="s">
        <v>295</v>
      </c>
      <c r="D767" s="15" t="s">
        <v>19</v>
      </c>
      <c r="E767" s="20" t="s">
        <v>31</v>
      </c>
      <c r="F767" s="20" t="s">
        <v>40</v>
      </c>
      <c r="G767" s="11">
        <v>25</v>
      </c>
      <c r="H767" s="11">
        <v>27</v>
      </c>
      <c r="I767" s="18">
        <v>0</v>
      </c>
      <c r="J767" s="18">
        <v>0</v>
      </c>
      <c r="K767" s="19">
        <v>138505.63445524889</v>
      </c>
      <c r="L767" s="41">
        <v>0</v>
      </c>
      <c r="M767" s="18">
        <v>0</v>
      </c>
      <c r="N767" s="41">
        <v>0</v>
      </c>
      <c r="O767" s="41">
        <v>0</v>
      </c>
      <c r="P767" s="41">
        <v>0</v>
      </c>
      <c r="Q767" s="41">
        <v>0</v>
      </c>
      <c r="R767" s="41">
        <v>0</v>
      </c>
      <c r="S767" s="41">
        <v>0</v>
      </c>
      <c r="T767" s="41">
        <v>0</v>
      </c>
      <c r="U767" s="19"/>
      <c r="V767" s="13">
        <f t="shared" si="87"/>
        <v>138505.63445524889</v>
      </c>
      <c r="W767" s="13"/>
      <c r="X767" s="13"/>
      <c r="Y767" s="13"/>
      <c r="Z767" s="13"/>
      <c r="AA767" s="22">
        <v>45901</v>
      </c>
      <c r="AB767" s="22" cm="1">
        <f t="array" ref="AB7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67" s="4"/>
      <c r="AD767" s="4"/>
      <c r="AE767" s="2"/>
      <c r="AF767" s="3"/>
      <c r="AG767" s="3"/>
      <c r="AH767" s="3"/>
      <c r="AI767" s="3"/>
      <c r="AJ767" s="2">
        <f t="shared" si="88"/>
        <v>0</v>
      </c>
      <c r="AK767" s="2">
        <f t="shared" si="86"/>
        <v>0</v>
      </c>
      <c r="AL767" s="2">
        <f t="shared" si="89"/>
        <v>0</v>
      </c>
      <c r="AM767" s="88"/>
      <c r="AN767" s="157" t="s">
        <v>774</v>
      </c>
    </row>
    <row r="768" spans="2:40" ht="23.15" customHeight="1" thickBot="1">
      <c r="B768" s="87"/>
      <c r="C768" s="2" t="s">
        <v>292</v>
      </c>
      <c r="D768" s="15" t="s">
        <v>19</v>
      </c>
      <c r="E768" s="20" t="s">
        <v>31</v>
      </c>
      <c r="F768" s="20" t="s">
        <v>40</v>
      </c>
      <c r="G768" s="11">
        <v>25</v>
      </c>
      <c r="H768" s="11"/>
      <c r="I768" s="18" t="s">
        <v>294</v>
      </c>
      <c r="J768" s="18" t="s">
        <v>294</v>
      </c>
      <c r="K768" s="19">
        <v>138505.63445524889</v>
      </c>
      <c r="L768" s="41"/>
      <c r="M768" s="41" t="s">
        <v>294</v>
      </c>
      <c r="N768" s="41"/>
      <c r="O768" s="41" t="s">
        <v>294</v>
      </c>
      <c r="P768" s="41" t="s">
        <v>301</v>
      </c>
      <c r="Q768" s="43"/>
      <c r="R768" s="43"/>
      <c r="S768" s="43"/>
      <c r="T768" s="43"/>
      <c r="U768" s="19"/>
      <c r="V768" s="13">
        <f t="shared" si="87"/>
        <v>138505.63445524889</v>
      </c>
      <c r="W768" s="13"/>
      <c r="X768" s="13"/>
      <c r="Y768" s="13"/>
      <c r="Z768" s="13"/>
      <c r="AA768" s="22">
        <v>45931</v>
      </c>
      <c r="AB768" s="22" cm="1">
        <f t="array" ref="AB7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68" s="9"/>
      <c r="AD768" s="4">
        <v>973.31</v>
      </c>
      <c r="AE768" s="2"/>
      <c r="AF768" s="3"/>
      <c r="AG768" s="3"/>
      <c r="AH768" s="3"/>
      <c r="AI768" s="3"/>
      <c r="AJ768" s="2">
        <f t="shared" si="88"/>
        <v>0</v>
      </c>
      <c r="AK768" s="2">
        <f>AC768-AD770</f>
        <v>0</v>
      </c>
      <c r="AL768" s="2">
        <f t="shared" si="89"/>
        <v>0</v>
      </c>
      <c r="AM768" s="88"/>
      <c r="AN768" s="157" t="s">
        <v>774</v>
      </c>
    </row>
    <row r="769" spans="2:40" ht="23.15" customHeight="1" thickBot="1">
      <c r="B769" s="87"/>
      <c r="C769" s="2" t="s">
        <v>292</v>
      </c>
      <c r="D769" s="15" t="s">
        <v>19</v>
      </c>
      <c r="E769" s="20" t="s">
        <v>35</v>
      </c>
      <c r="F769" s="20" t="s">
        <v>40</v>
      </c>
      <c r="G769" s="11">
        <v>8</v>
      </c>
      <c r="H769" s="11">
        <v>8</v>
      </c>
      <c r="I769" s="18" t="s">
        <v>294</v>
      </c>
      <c r="J769" s="18" t="s">
        <v>294</v>
      </c>
      <c r="K769" s="19">
        <v>43549.706597734665</v>
      </c>
      <c r="L769" s="41">
        <v>0</v>
      </c>
      <c r="M769" s="18" t="s">
        <v>294</v>
      </c>
      <c r="N769" s="41">
        <v>0</v>
      </c>
      <c r="O769" s="41" t="s">
        <v>294</v>
      </c>
      <c r="P769" s="41" t="s">
        <v>301</v>
      </c>
      <c r="Q769" s="43">
        <v>0</v>
      </c>
      <c r="R769" s="43">
        <v>0</v>
      </c>
      <c r="S769" s="43">
        <v>0</v>
      </c>
      <c r="T769" s="43">
        <v>0</v>
      </c>
      <c r="U769" s="19"/>
      <c r="V769" s="13">
        <f t="shared" si="87"/>
        <v>43549.706597734665</v>
      </c>
      <c r="W769" s="13"/>
      <c r="X769" s="13"/>
      <c r="Y769" s="13"/>
      <c r="Z769" s="13"/>
      <c r="AA769" s="22">
        <v>45870</v>
      </c>
      <c r="AB769" s="22" cm="1">
        <f t="array" ref="AB7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69" s="4"/>
      <c r="AD769" s="4"/>
      <c r="AE769" s="2"/>
      <c r="AF769" s="3"/>
      <c r="AG769" s="3"/>
      <c r="AH769" s="3"/>
      <c r="AI769" s="3"/>
      <c r="AJ769" s="2">
        <f t="shared" si="88"/>
        <v>0</v>
      </c>
      <c r="AK769" s="2">
        <f>AC769-AD769</f>
        <v>0</v>
      </c>
      <c r="AL769" s="2">
        <f t="shared" si="89"/>
        <v>0</v>
      </c>
      <c r="AM769" s="88"/>
      <c r="AN769" s="157" t="s">
        <v>774</v>
      </c>
    </row>
    <row r="770" spans="2:40" ht="23.15" customHeight="1" thickBot="1">
      <c r="B770" s="87"/>
      <c r="C770" s="2" t="s">
        <v>292</v>
      </c>
      <c r="D770" s="15" t="s">
        <v>19</v>
      </c>
      <c r="E770" s="20" t="s">
        <v>35</v>
      </c>
      <c r="F770" s="20" t="s">
        <v>40</v>
      </c>
      <c r="G770" s="11">
        <v>8</v>
      </c>
      <c r="H770" s="11"/>
      <c r="I770" s="18" t="s">
        <v>294</v>
      </c>
      <c r="J770" s="18" t="s">
        <v>294</v>
      </c>
      <c r="K770" s="19">
        <v>43549.706597734665</v>
      </c>
      <c r="L770" s="18" t="s">
        <v>294</v>
      </c>
      <c r="M770" s="18" t="s">
        <v>294</v>
      </c>
      <c r="N770" s="41" t="s">
        <v>294</v>
      </c>
      <c r="O770" s="41" t="s">
        <v>294</v>
      </c>
      <c r="P770" s="41">
        <v>0</v>
      </c>
      <c r="Q770" s="43">
        <v>0</v>
      </c>
      <c r="R770" s="43">
        <v>0</v>
      </c>
      <c r="S770" s="43">
        <v>0</v>
      </c>
      <c r="T770" s="43">
        <v>0</v>
      </c>
      <c r="U770" s="19"/>
      <c r="V770" s="13">
        <f t="shared" si="87"/>
        <v>43549.706597734665</v>
      </c>
      <c r="W770" s="13"/>
      <c r="X770" s="13"/>
      <c r="Y770" s="13"/>
      <c r="Z770" s="13"/>
      <c r="AA770" s="22">
        <v>45901</v>
      </c>
      <c r="AB770" s="22" cm="1">
        <f t="array" ref="AB7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70" s="4"/>
      <c r="AD770" s="4"/>
      <c r="AE770" s="2"/>
      <c r="AF770" s="3"/>
      <c r="AG770" s="3"/>
      <c r="AH770" s="3"/>
      <c r="AI770" s="3"/>
      <c r="AJ770" s="2">
        <f t="shared" si="88"/>
        <v>0</v>
      </c>
      <c r="AK770" s="2">
        <f>AC770-AD770</f>
        <v>0</v>
      </c>
      <c r="AL770" s="2">
        <f t="shared" si="89"/>
        <v>0</v>
      </c>
      <c r="AM770" s="88"/>
      <c r="AN770" s="157" t="s">
        <v>774</v>
      </c>
    </row>
    <row r="771" spans="2:40" ht="23.15" customHeight="1" thickBot="1">
      <c r="B771" s="87"/>
      <c r="C771" s="2" t="s">
        <v>292</v>
      </c>
      <c r="D771" s="15" t="s">
        <v>19</v>
      </c>
      <c r="E771" s="20" t="s">
        <v>35</v>
      </c>
      <c r="F771" s="20" t="s">
        <v>40</v>
      </c>
      <c r="G771" s="11">
        <v>8</v>
      </c>
      <c r="H771" s="11"/>
      <c r="I771" s="18" t="s">
        <v>294</v>
      </c>
      <c r="J771" s="18" t="s">
        <v>294</v>
      </c>
      <c r="K771" s="19">
        <v>43549.706597734665</v>
      </c>
      <c r="L771" s="41"/>
      <c r="M771" s="41" t="s">
        <v>294</v>
      </c>
      <c r="N771" s="41"/>
      <c r="O771" s="41" t="s">
        <v>294</v>
      </c>
      <c r="P771" s="41" t="s">
        <v>301</v>
      </c>
      <c r="Q771" s="43"/>
      <c r="R771" s="43"/>
      <c r="S771" s="43"/>
      <c r="T771" s="43"/>
      <c r="U771" s="19"/>
      <c r="V771" s="13">
        <f t="shared" si="87"/>
        <v>43549.706597734665</v>
      </c>
      <c r="W771" s="13"/>
      <c r="X771" s="13"/>
      <c r="Y771" s="13"/>
      <c r="Z771" s="13"/>
      <c r="AA771" s="22">
        <v>45931</v>
      </c>
      <c r="AB771" s="22" cm="1">
        <f t="array" ref="AB7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71" s="4"/>
      <c r="AD771" s="4"/>
      <c r="AE771" s="2"/>
      <c r="AF771" s="3"/>
      <c r="AG771" s="3"/>
      <c r="AH771" s="3"/>
      <c r="AI771" s="3"/>
      <c r="AJ771" s="2">
        <f t="shared" si="88"/>
        <v>0</v>
      </c>
      <c r="AK771" s="2">
        <f>AC771-AD771</f>
        <v>0</v>
      </c>
      <c r="AL771" s="2">
        <f t="shared" si="89"/>
        <v>0</v>
      </c>
      <c r="AM771" s="88"/>
      <c r="AN771" s="157" t="s">
        <v>774</v>
      </c>
    </row>
    <row r="772" spans="2:40" ht="23.15" customHeight="1" thickBot="1">
      <c r="B772" s="87">
        <v>45901</v>
      </c>
      <c r="C772" s="2" t="s">
        <v>295</v>
      </c>
      <c r="D772" s="15" t="s">
        <v>19</v>
      </c>
      <c r="E772" s="20" t="s">
        <v>32</v>
      </c>
      <c r="F772" s="20" t="s">
        <v>40</v>
      </c>
      <c r="G772" s="11">
        <v>18</v>
      </c>
      <c r="H772" s="11">
        <v>18</v>
      </c>
      <c r="I772" s="18">
        <v>0</v>
      </c>
      <c r="J772" s="18">
        <v>6</v>
      </c>
      <c r="K772" s="19">
        <v>127463.91386716676</v>
      </c>
      <c r="L772" s="41">
        <v>0</v>
      </c>
      <c r="M772" s="41">
        <v>0</v>
      </c>
      <c r="N772" s="41">
        <v>0</v>
      </c>
      <c r="O772" s="41">
        <v>-164.28</v>
      </c>
      <c r="P772" s="41">
        <v>0</v>
      </c>
      <c r="Q772" s="43">
        <v>0</v>
      </c>
      <c r="R772" s="43">
        <v>0</v>
      </c>
      <c r="S772" s="43">
        <v>0</v>
      </c>
      <c r="T772" s="43">
        <v>0</v>
      </c>
      <c r="U772" s="19" t="s">
        <v>295</v>
      </c>
      <c r="V772" s="13">
        <f t="shared" si="87"/>
        <v>127299.63386716676</v>
      </c>
      <c r="W772" s="13"/>
      <c r="X772" s="13"/>
      <c r="Y772" s="13"/>
      <c r="Z772" s="45"/>
      <c r="AA772" s="22">
        <v>45870</v>
      </c>
      <c r="AB772" s="22" cm="1">
        <f t="array" ref="AB7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72" s="4"/>
      <c r="AD772" s="4"/>
      <c r="AE772" s="2"/>
      <c r="AF772" s="3"/>
      <c r="AG772" s="3"/>
      <c r="AH772" s="3"/>
      <c r="AI772" s="3"/>
      <c r="AJ772" s="2">
        <f t="shared" si="88"/>
        <v>0</v>
      </c>
      <c r="AK772" s="2">
        <f>AC772-AD857</f>
        <v>0</v>
      </c>
      <c r="AL772" s="2">
        <f t="shared" si="89"/>
        <v>164.27999999999884</v>
      </c>
      <c r="AM772" s="88"/>
      <c r="AN772" s="157" t="s">
        <v>774</v>
      </c>
    </row>
    <row r="773" spans="2:40" ht="23.15" customHeight="1" thickBot="1">
      <c r="B773" s="87">
        <v>45931</v>
      </c>
      <c r="C773" s="2" t="s">
        <v>295</v>
      </c>
      <c r="D773" s="15" t="s">
        <v>19</v>
      </c>
      <c r="E773" s="20" t="s">
        <v>32</v>
      </c>
      <c r="F773" s="20" t="s">
        <v>40</v>
      </c>
      <c r="G773" s="11">
        <v>18</v>
      </c>
      <c r="H773" s="11">
        <v>18</v>
      </c>
      <c r="I773" s="18">
        <v>0</v>
      </c>
      <c r="J773" s="18">
        <v>0</v>
      </c>
      <c r="K773" s="19">
        <f>127463.913867167</f>
        <v>127463.91386716699</v>
      </c>
      <c r="L773" s="41">
        <v>0</v>
      </c>
      <c r="M773" s="18">
        <v>0</v>
      </c>
      <c r="N773" s="41">
        <v>0</v>
      </c>
      <c r="O773" s="41">
        <v>0</v>
      </c>
      <c r="P773" s="41">
        <v>0</v>
      </c>
      <c r="Q773" s="43">
        <v>0</v>
      </c>
      <c r="R773" s="43">
        <v>0</v>
      </c>
      <c r="S773" s="43">
        <v>0</v>
      </c>
      <c r="T773" s="43">
        <v>0</v>
      </c>
      <c r="U773" s="19" t="s">
        <v>295</v>
      </c>
      <c r="V773" s="13">
        <f t="shared" si="87"/>
        <v>127463.91386716699</v>
      </c>
      <c r="W773" s="13"/>
      <c r="X773" s="13"/>
      <c r="Y773" s="13"/>
      <c r="Z773" s="45"/>
      <c r="AA773" s="22">
        <v>45901</v>
      </c>
      <c r="AB773" s="22" cm="1">
        <f t="array" ref="AB7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73" s="4"/>
      <c r="AD773" s="4">
        <v>1594.85</v>
      </c>
      <c r="AE773" s="2"/>
      <c r="AF773" s="3"/>
      <c r="AG773" s="3"/>
      <c r="AH773" s="3"/>
      <c r="AI773" s="3"/>
      <c r="AJ773" s="2">
        <f t="shared" si="88"/>
        <v>0</v>
      </c>
      <c r="AK773" s="2" t="e">
        <f>AC773-#REF!</f>
        <v>#REF!</v>
      </c>
      <c r="AL773" s="2">
        <f t="shared" si="89"/>
        <v>0</v>
      </c>
      <c r="AM773" s="88"/>
      <c r="AN773" s="157" t="s">
        <v>774</v>
      </c>
    </row>
    <row r="774" spans="2:40" ht="23.15" customHeight="1" thickBot="1">
      <c r="B774" s="87"/>
      <c r="C774" s="2"/>
      <c r="D774" s="15" t="s">
        <v>19</v>
      </c>
      <c r="E774" s="20" t="s">
        <v>32</v>
      </c>
      <c r="F774" s="20" t="s">
        <v>40</v>
      </c>
      <c r="G774" s="11">
        <v>18</v>
      </c>
      <c r="H774" s="11"/>
      <c r="I774" s="18" t="s">
        <v>294</v>
      </c>
      <c r="J774" s="18" t="s">
        <v>294</v>
      </c>
      <c r="K774" s="19">
        <f>127463.913867167</f>
        <v>127463.91386716699</v>
      </c>
      <c r="L774" s="41"/>
      <c r="M774" s="41" t="s">
        <v>294</v>
      </c>
      <c r="N774" s="41"/>
      <c r="O774" s="41" t="s">
        <v>294</v>
      </c>
      <c r="P774" s="41" t="s">
        <v>301</v>
      </c>
      <c r="Q774" s="43"/>
      <c r="R774" s="43"/>
      <c r="S774" s="43"/>
      <c r="T774" s="43"/>
      <c r="U774" s="19"/>
      <c r="V774" s="13">
        <f t="shared" si="87"/>
        <v>127463.91386716699</v>
      </c>
      <c r="W774" s="13"/>
      <c r="X774" s="13"/>
      <c r="Y774" s="13"/>
      <c r="Z774" s="45"/>
      <c r="AA774" s="22">
        <v>45931</v>
      </c>
      <c r="AB774" s="22" cm="1">
        <f t="array" ref="AB7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74" s="4"/>
      <c r="AD774" s="4">
        <f>1211.48+1394.28</f>
        <v>2605.7600000000002</v>
      </c>
      <c r="AE774" s="2"/>
      <c r="AF774" s="3"/>
      <c r="AG774" s="3"/>
      <c r="AH774" s="3"/>
      <c r="AI774" s="3"/>
      <c r="AJ774" s="2">
        <f t="shared" si="88"/>
        <v>0</v>
      </c>
      <c r="AK774" s="2" t="e">
        <f>AC774-#REF!</f>
        <v>#REF!</v>
      </c>
      <c r="AL774" s="2">
        <f t="shared" si="89"/>
        <v>0</v>
      </c>
      <c r="AM774" s="88"/>
      <c r="AN774" s="157" t="s">
        <v>774</v>
      </c>
    </row>
    <row r="775" spans="2:40" ht="23.15" customHeight="1" thickBot="1">
      <c r="B775" s="87"/>
      <c r="C775" s="2"/>
      <c r="D775" s="15" t="s">
        <v>19</v>
      </c>
      <c r="E775" s="20" t="s">
        <v>28</v>
      </c>
      <c r="F775" s="20" t="s">
        <v>63</v>
      </c>
      <c r="G775" s="11">
        <v>24</v>
      </c>
      <c r="H775" s="11"/>
      <c r="I775" s="18"/>
      <c r="J775" s="18"/>
      <c r="K775" s="19"/>
      <c r="L775" s="41"/>
      <c r="M775" s="41"/>
      <c r="N775" s="41"/>
      <c r="O775" s="41"/>
      <c r="P775" s="41"/>
      <c r="Q775" s="43"/>
      <c r="R775" s="43"/>
      <c r="S775" s="43"/>
      <c r="T775" s="43"/>
      <c r="U775" s="19"/>
      <c r="V775" s="13">
        <f t="shared" si="87"/>
        <v>0</v>
      </c>
      <c r="W775" s="13"/>
      <c r="X775" s="13"/>
      <c r="Y775" s="46"/>
      <c r="Z775" s="46"/>
      <c r="AA775" s="22">
        <v>45962</v>
      </c>
      <c r="AB775" s="22" cm="1">
        <f t="array" ref="AB7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75" s="4"/>
      <c r="AD775" s="4"/>
      <c r="AE775" s="2"/>
      <c r="AF775" s="3"/>
      <c r="AG775" s="3"/>
      <c r="AH775" s="3"/>
      <c r="AI775" s="3"/>
      <c r="AJ775" s="2">
        <f t="shared" si="88"/>
        <v>0</v>
      </c>
      <c r="AK775" s="2">
        <f t="shared" ref="AK775:AK806" si="90">AC775-AD775</f>
        <v>0</v>
      </c>
      <c r="AL775" s="2">
        <f t="shared" si="89"/>
        <v>0</v>
      </c>
      <c r="AM775" s="88"/>
      <c r="AN775" s="157" t="s">
        <v>774</v>
      </c>
    </row>
    <row r="776" spans="2:40" ht="23.15" customHeight="1" thickBot="1">
      <c r="B776" s="87"/>
      <c r="C776" s="2"/>
      <c r="D776" s="15" t="s">
        <v>19</v>
      </c>
      <c r="E776" s="20" t="s">
        <v>29</v>
      </c>
      <c r="F776" s="20" t="s">
        <v>39</v>
      </c>
      <c r="G776" s="11">
        <v>7</v>
      </c>
      <c r="H776" s="11"/>
      <c r="I776" s="18"/>
      <c r="J776" s="18"/>
      <c r="K776" s="19"/>
      <c r="L776" s="41"/>
      <c r="M776" s="41"/>
      <c r="N776" s="41"/>
      <c r="O776" s="41"/>
      <c r="P776" s="41"/>
      <c r="Q776" s="43"/>
      <c r="R776" s="43"/>
      <c r="S776" s="43"/>
      <c r="T776" s="43"/>
      <c r="U776" s="19"/>
      <c r="V776" s="13">
        <f t="shared" si="87"/>
        <v>0</v>
      </c>
      <c r="W776" s="13"/>
      <c r="X776" s="13"/>
      <c r="Y776" s="13"/>
      <c r="Z776" s="13"/>
      <c r="AA776" s="22">
        <v>45962</v>
      </c>
      <c r="AB776" s="22" cm="1">
        <f t="array" ref="AB7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76" s="4"/>
      <c r="AD776" s="4"/>
      <c r="AE776" s="2"/>
      <c r="AF776" s="3"/>
      <c r="AG776" s="3"/>
      <c r="AH776" s="3"/>
      <c r="AI776" s="3"/>
      <c r="AJ776" s="2">
        <f t="shared" si="88"/>
        <v>0</v>
      </c>
      <c r="AK776" s="2">
        <f t="shared" si="90"/>
        <v>0</v>
      </c>
      <c r="AL776" s="2">
        <f t="shared" si="89"/>
        <v>0</v>
      </c>
      <c r="AM776" s="88"/>
      <c r="AN776" s="157" t="s">
        <v>774</v>
      </c>
    </row>
    <row r="777" spans="2:40" ht="23.15" customHeight="1" thickBot="1">
      <c r="B777" s="87"/>
      <c r="C777" s="2"/>
      <c r="D777" s="15" t="s">
        <v>19</v>
      </c>
      <c r="E777" s="20" t="s">
        <v>25</v>
      </c>
      <c r="F777" s="20" t="s">
        <v>40</v>
      </c>
      <c r="G777" s="11">
        <v>29</v>
      </c>
      <c r="H777" s="11"/>
      <c r="I777" s="18"/>
      <c r="J777" s="18"/>
      <c r="K777" s="19"/>
      <c r="L777" s="41"/>
      <c r="M777" s="41"/>
      <c r="N777" s="41"/>
      <c r="O777" s="41"/>
      <c r="P777" s="41"/>
      <c r="Q777" s="43"/>
      <c r="R777" s="43"/>
      <c r="S777" s="43"/>
      <c r="T777" s="43"/>
      <c r="U777" s="19"/>
      <c r="V777" s="13">
        <f t="shared" si="87"/>
        <v>0</v>
      </c>
      <c r="W777" s="13"/>
      <c r="X777" s="13"/>
      <c r="Y777" s="13"/>
      <c r="Z777" s="13"/>
      <c r="AA777" s="22">
        <v>45962</v>
      </c>
      <c r="AB777" s="22" cm="1">
        <f t="array" ref="AB7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77" s="4"/>
      <c r="AD777" s="4"/>
      <c r="AE777" s="2"/>
      <c r="AF777" s="3"/>
      <c r="AG777" s="3"/>
      <c r="AH777" s="3"/>
      <c r="AI777" s="3"/>
      <c r="AJ777" s="2">
        <f t="shared" si="88"/>
        <v>0</v>
      </c>
      <c r="AK777" s="2">
        <f t="shared" si="90"/>
        <v>0</v>
      </c>
      <c r="AL777" s="2">
        <f t="shared" si="89"/>
        <v>0</v>
      </c>
      <c r="AM777" s="88"/>
      <c r="AN777" s="157" t="s">
        <v>774</v>
      </c>
    </row>
    <row r="778" spans="2:40" ht="23.15" customHeight="1" thickBot="1">
      <c r="B778" s="87"/>
      <c r="C778" s="2"/>
      <c r="D778" s="15" t="s">
        <v>19</v>
      </c>
      <c r="E778" s="20" t="s">
        <v>161</v>
      </c>
      <c r="F778" s="20" t="s">
        <v>40</v>
      </c>
      <c r="G778" s="11">
        <v>2</v>
      </c>
      <c r="H778" s="11"/>
      <c r="I778" s="18"/>
      <c r="J778" s="18"/>
      <c r="K778" s="19"/>
      <c r="L778" s="41"/>
      <c r="M778" s="41"/>
      <c r="N778" s="41"/>
      <c r="O778" s="41"/>
      <c r="P778" s="41"/>
      <c r="Q778" s="43"/>
      <c r="R778" s="43"/>
      <c r="S778" s="43"/>
      <c r="T778" s="43"/>
      <c r="U778" s="19"/>
      <c r="V778" s="13">
        <f t="shared" si="87"/>
        <v>0</v>
      </c>
      <c r="W778" s="13"/>
      <c r="X778" s="13"/>
      <c r="Y778" s="13"/>
      <c r="Z778" s="13"/>
      <c r="AA778" s="22">
        <v>45962</v>
      </c>
      <c r="AB778" s="22" cm="1">
        <f t="array" ref="AB7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78" s="4"/>
      <c r="AD778" s="4"/>
      <c r="AE778" s="2"/>
      <c r="AF778" s="3"/>
      <c r="AG778" s="3"/>
      <c r="AH778" s="3"/>
      <c r="AI778" s="3"/>
      <c r="AJ778" s="2">
        <f t="shared" si="88"/>
        <v>0</v>
      </c>
      <c r="AK778" s="2">
        <f t="shared" si="90"/>
        <v>0</v>
      </c>
      <c r="AL778" s="2">
        <f t="shared" si="89"/>
        <v>0</v>
      </c>
      <c r="AM778" s="88"/>
      <c r="AN778" s="157" t="s">
        <v>774</v>
      </c>
    </row>
    <row r="779" spans="2:40" ht="23.15" customHeight="1" thickBot="1">
      <c r="B779" s="87"/>
      <c r="C779" s="2"/>
      <c r="D779" s="15" t="s">
        <v>19</v>
      </c>
      <c r="E779" s="20" t="s">
        <v>26</v>
      </c>
      <c r="F779" s="20" t="s">
        <v>40</v>
      </c>
      <c r="G779" s="11">
        <v>4</v>
      </c>
      <c r="H779" s="11"/>
      <c r="I779" s="18"/>
      <c r="J779" s="18"/>
      <c r="K779" s="19"/>
      <c r="L779" s="41"/>
      <c r="M779" s="41"/>
      <c r="N779" s="41"/>
      <c r="O779" s="41"/>
      <c r="P779" s="41"/>
      <c r="Q779" s="43"/>
      <c r="R779" s="43"/>
      <c r="S779" s="43"/>
      <c r="T779" s="43"/>
      <c r="U779" s="19"/>
      <c r="V779" s="13">
        <f t="shared" si="87"/>
        <v>0</v>
      </c>
      <c r="W779" s="13"/>
      <c r="X779" s="13"/>
      <c r="Y779" s="13"/>
      <c r="Z779" s="13"/>
      <c r="AA779" s="22">
        <v>45962</v>
      </c>
      <c r="AB779" s="22" cm="1">
        <f t="array" ref="AB7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79" s="4"/>
      <c r="AD779" s="4"/>
      <c r="AE779" s="2"/>
      <c r="AF779" s="3"/>
      <c r="AG779" s="3"/>
      <c r="AH779" s="3"/>
      <c r="AI779" s="3"/>
      <c r="AJ779" s="2">
        <f t="shared" si="88"/>
        <v>0</v>
      </c>
      <c r="AK779" s="2">
        <f t="shared" si="90"/>
        <v>0</v>
      </c>
      <c r="AL779" s="2">
        <f t="shared" si="89"/>
        <v>0</v>
      </c>
      <c r="AM779" s="88"/>
      <c r="AN779" s="157" t="s">
        <v>774</v>
      </c>
    </row>
    <row r="780" spans="2:40" ht="23.15" customHeight="1" thickBot="1">
      <c r="B780" s="87"/>
      <c r="C780" s="2"/>
      <c r="D780" s="15" t="s">
        <v>19</v>
      </c>
      <c r="E780" s="20" t="s">
        <v>30</v>
      </c>
      <c r="F780" s="20" t="s">
        <v>40</v>
      </c>
      <c r="G780" s="11">
        <v>55</v>
      </c>
      <c r="H780" s="11"/>
      <c r="I780" s="18"/>
      <c r="J780" s="18"/>
      <c r="K780" s="19"/>
      <c r="L780" s="41"/>
      <c r="M780" s="41"/>
      <c r="N780" s="41"/>
      <c r="O780" s="41"/>
      <c r="P780" s="41"/>
      <c r="Q780" s="43"/>
      <c r="R780" s="43"/>
      <c r="S780" s="43"/>
      <c r="T780" s="43"/>
      <c r="U780" s="19"/>
      <c r="V780" s="13">
        <f t="shared" si="87"/>
        <v>0</v>
      </c>
      <c r="W780" s="13"/>
      <c r="X780" s="13"/>
      <c r="Y780" s="13"/>
      <c r="Z780" s="13"/>
      <c r="AA780" s="22">
        <v>45962</v>
      </c>
      <c r="AB780" s="22" cm="1">
        <f t="array" ref="AB7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80" s="4"/>
      <c r="AD780" s="4"/>
      <c r="AE780" s="2"/>
      <c r="AF780" s="3"/>
      <c r="AG780" s="3"/>
      <c r="AH780" s="3"/>
      <c r="AI780" s="3"/>
      <c r="AJ780" s="2">
        <f t="shared" si="88"/>
        <v>0</v>
      </c>
      <c r="AK780" s="2">
        <f t="shared" si="90"/>
        <v>0</v>
      </c>
      <c r="AL780" s="2">
        <f t="shared" si="89"/>
        <v>0</v>
      </c>
      <c r="AM780" s="88"/>
      <c r="AN780" s="157" t="s">
        <v>774</v>
      </c>
    </row>
    <row r="781" spans="2:40" ht="23.15" customHeight="1" thickBot="1">
      <c r="B781" s="87"/>
      <c r="C781" s="2"/>
      <c r="D781" s="15" t="s">
        <v>19</v>
      </c>
      <c r="E781" s="20" t="s">
        <v>31</v>
      </c>
      <c r="F781" s="20" t="s">
        <v>40</v>
      </c>
      <c r="G781" s="11">
        <v>25</v>
      </c>
      <c r="H781" s="11"/>
      <c r="I781" s="18"/>
      <c r="J781" s="18"/>
      <c r="K781" s="19"/>
      <c r="L781" s="41"/>
      <c r="M781" s="41"/>
      <c r="N781" s="41"/>
      <c r="O781" s="41"/>
      <c r="P781" s="41"/>
      <c r="Q781" s="43"/>
      <c r="R781" s="43"/>
      <c r="S781" s="43"/>
      <c r="T781" s="43"/>
      <c r="U781" s="19"/>
      <c r="V781" s="13">
        <f t="shared" si="87"/>
        <v>0</v>
      </c>
      <c r="W781" s="13"/>
      <c r="X781" s="13"/>
      <c r="Y781" s="13"/>
      <c r="Z781" s="13"/>
      <c r="AA781" s="22">
        <v>45962</v>
      </c>
      <c r="AB781" s="22" cm="1">
        <f t="array" ref="AB7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81" s="4"/>
      <c r="AD781" s="4"/>
      <c r="AE781" s="2"/>
      <c r="AF781" s="3"/>
      <c r="AG781" s="3"/>
      <c r="AH781" s="3"/>
      <c r="AI781" s="3"/>
      <c r="AJ781" s="2">
        <f t="shared" si="88"/>
        <v>0</v>
      </c>
      <c r="AK781" s="2">
        <f t="shared" si="90"/>
        <v>0</v>
      </c>
      <c r="AL781" s="2">
        <f t="shared" si="89"/>
        <v>0</v>
      </c>
      <c r="AM781" s="88"/>
      <c r="AN781" s="157" t="s">
        <v>774</v>
      </c>
    </row>
    <row r="782" spans="2:40" ht="23.15" customHeight="1" thickBot="1">
      <c r="B782" s="87"/>
      <c r="C782" s="2"/>
      <c r="D782" s="15" t="s">
        <v>19</v>
      </c>
      <c r="E782" s="20" t="s">
        <v>35</v>
      </c>
      <c r="F782" s="20" t="s">
        <v>40</v>
      </c>
      <c r="G782" s="11">
        <v>8</v>
      </c>
      <c r="H782" s="11"/>
      <c r="I782" s="18"/>
      <c r="J782" s="18"/>
      <c r="K782" s="19"/>
      <c r="L782" s="41"/>
      <c r="M782" s="41"/>
      <c r="N782" s="41"/>
      <c r="O782" s="41"/>
      <c r="P782" s="41"/>
      <c r="Q782" s="43"/>
      <c r="R782" s="43"/>
      <c r="S782" s="43"/>
      <c r="T782" s="43"/>
      <c r="U782" s="19"/>
      <c r="V782" s="13">
        <f t="shared" si="87"/>
        <v>0</v>
      </c>
      <c r="W782" s="13"/>
      <c r="X782" s="13"/>
      <c r="Y782" s="13"/>
      <c r="Z782" s="13"/>
      <c r="AA782" s="22">
        <v>45962</v>
      </c>
      <c r="AB782" s="22" cm="1">
        <f t="array" ref="AB7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82" s="4"/>
      <c r="AD782" s="4"/>
      <c r="AE782" s="2"/>
      <c r="AF782" s="3"/>
      <c r="AG782" s="3"/>
      <c r="AH782" s="3"/>
      <c r="AI782" s="3"/>
      <c r="AJ782" s="2">
        <f t="shared" si="88"/>
        <v>0</v>
      </c>
      <c r="AK782" s="2">
        <f t="shared" si="90"/>
        <v>0</v>
      </c>
      <c r="AL782" s="2">
        <f t="shared" si="89"/>
        <v>0</v>
      </c>
      <c r="AM782" s="88"/>
      <c r="AN782" s="157" t="s">
        <v>774</v>
      </c>
    </row>
    <row r="783" spans="2:40" ht="23.15" customHeight="1" thickBot="1">
      <c r="B783" s="87"/>
      <c r="C783" s="2"/>
      <c r="D783" s="15" t="s">
        <v>19</v>
      </c>
      <c r="E783" s="20" t="s">
        <v>32</v>
      </c>
      <c r="F783" s="20" t="s">
        <v>40</v>
      </c>
      <c r="G783" s="11">
        <v>18</v>
      </c>
      <c r="H783" s="11"/>
      <c r="I783" s="18"/>
      <c r="J783" s="18"/>
      <c r="K783" s="19"/>
      <c r="L783" s="41"/>
      <c r="M783" s="41"/>
      <c r="N783" s="41"/>
      <c r="O783" s="41"/>
      <c r="P783" s="41"/>
      <c r="Q783" s="43"/>
      <c r="R783" s="43"/>
      <c r="S783" s="43"/>
      <c r="T783" s="43"/>
      <c r="U783" s="19"/>
      <c r="V783" s="13">
        <f t="shared" si="87"/>
        <v>0</v>
      </c>
      <c r="W783" s="13"/>
      <c r="X783" s="13"/>
      <c r="Y783" s="13"/>
      <c r="Z783" s="45"/>
      <c r="AA783" s="22">
        <v>45962</v>
      </c>
      <c r="AB783" s="22" cm="1">
        <f t="array" ref="AB7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83" s="4"/>
      <c r="AD783" s="4"/>
      <c r="AE783" s="2"/>
      <c r="AF783" s="3"/>
      <c r="AG783" s="3"/>
      <c r="AH783" s="3"/>
      <c r="AI783" s="3"/>
      <c r="AJ783" s="2">
        <f t="shared" si="88"/>
        <v>0</v>
      </c>
      <c r="AK783" s="2">
        <f t="shared" si="90"/>
        <v>0</v>
      </c>
      <c r="AL783" s="2">
        <f t="shared" si="89"/>
        <v>0</v>
      </c>
      <c r="AM783" s="88"/>
      <c r="AN783" s="157" t="s">
        <v>774</v>
      </c>
    </row>
    <row r="784" spans="2:40" ht="23.15" customHeight="1" thickBot="1">
      <c r="B784" s="87"/>
      <c r="C784" s="2"/>
      <c r="D784" s="15" t="s">
        <v>19</v>
      </c>
      <c r="E784" s="20" t="s">
        <v>28</v>
      </c>
      <c r="F784" s="20" t="s">
        <v>63</v>
      </c>
      <c r="G784" s="11">
        <v>24</v>
      </c>
      <c r="H784" s="11"/>
      <c r="I784" s="18"/>
      <c r="J784" s="18"/>
      <c r="K784" s="19"/>
      <c r="L784" s="41"/>
      <c r="M784" s="41"/>
      <c r="N784" s="41"/>
      <c r="O784" s="41"/>
      <c r="P784" s="41"/>
      <c r="Q784" s="43"/>
      <c r="R784" s="43"/>
      <c r="S784" s="43"/>
      <c r="T784" s="43"/>
      <c r="U784" s="19"/>
      <c r="V784" s="13">
        <f t="shared" si="87"/>
        <v>0</v>
      </c>
      <c r="W784" s="13"/>
      <c r="X784" s="13"/>
      <c r="Y784" s="46"/>
      <c r="Z784" s="46"/>
      <c r="AA784" s="22">
        <v>45992</v>
      </c>
      <c r="AB784" s="22" cm="1">
        <f t="array" ref="AB7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4" s="4"/>
      <c r="AD784" s="4"/>
      <c r="AE784" s="2"/>
      <c r="AF784" s="3"/>
      <c r="AG784" s="3"/>
      <c r="AH784" s="3"/>
      <c r="AI784" s="3"/>
      <c r="AJ784" s="2">
        <f t="shared" si="88"/>
        <v>0</v>
      </c>
      <c r="AK784" s="2">
        <f t="shared" si="90"/>
        <v>0</v>
      </c>
      <c r="AL784" s="2">
        <f t="shared" si="89"/>
        <v>0</v>
      </c>
      <c r="AM784" s="88"/>
      <c r="AN784" s="157" t="s">
        <v>774</v>
      </c>
    </row>
    <row r="785" spans="2:40" ht="23.15" customHeight="1" thickBot="1">
      <c r="B785" s="87"/>
      <c r="C785" s="2"/>
      <c r="D785" s="15" t="s">
        <v>19</v>
      </c>
      <c r="E785" s="20" t="s">
        <v>29</v>
      </c>
      <c r="F785" s="20" t="s">
        <v>39</v>
      </c>
      <c r="G785" s="11">
        <v>7</v>
      </c>
      <c r="H785" s="11"/>
      <c r="I785" s="18"/>
      <c r="J785" s="18"/>
      <c r="K785" s="19"/>
      <c r="L785" s="41"/>
      <c r="M785" s="41"/>
      <c r="N785" s="41"/>
      <c r="O785" s="41"/>
      <c r="P785" s="41"/>
      <c r="Q785" s="43"/>
      <c r="R785" s="43"/>
      <c r="S785" s="43"/>
      <c r="T785" s="43"/>
      <c r="U785" s="19"/>
      <c r="V785" s="13">
        <f t="shared" si="87"/>
        <v>0</v>
      </c>
      <c r="W785" s="13"/>
      <c r="X785" s="13"/>
      <c r="Y785" s="13"/>
      <c r="Z785" s="13"/>
      <c r="AA785" s="22">
        <v>45992</v>
      </c>
      <c r="AB785" s="22" cm="1">
        <f t="array" ref="AB7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5" s="4"/>
      <c r="AD785" s="4"/>
      <c r="AE785" s="2"/>
      <c r="AF785" s="3"/>
      <c r="AG785" s="3"/>
      <c r="AH785" s="3"/>
      <c r="AI785" s="3"/>
      <c r="AJ785" s="2">
        <f t="shared" si="88"/>
        <v>0</v>
      </c>
      <c r="AK785" s="2">
        <f t="shared" si="90"/>
        <v>0</v>
      </c>
      <c r="AL785" s="2">
        <f t="shared" si="89"/>
        <v>0</v>
      </c>
      <c r="AM785" s="88"/>
      <c r="AN785" s="157" t="s">
        <v>774</v>
      </c>
    </row>
    <row r="786" spans="2:40" ht="23.15" customHeight="1" thickBot="1">
      <c r="B786" s="87"/>
      <c r="C786" s="2"/>
      <c r="D786" s="15" t="s">
        <v>19</v>
      </c>
      <c r="E786" s="20" t="s">
        <v>25</v>
      </c>
      <c r="F786" s="20" t="s">
        <v>40</v>
      </c>
      <c r="G786" s="11">
        <v>29</v>
      </c>
      <c r="H786" s="11"/>
      <c r="I786" s="18"/>
      <c r="J786" s="18"/>
      <c r="K786" s="19"/>
      <c r="L786" s="41"/>
      <c r="M786" s="41"/>
      <c r="N786" s="41"/>
      <c r="O786" s="41"/>
      <c r="P786" s="41"/>
      <c r="Q786" s="43"/>
      <c r="R786" s="43"/>
      <c r="S786" s="43"/>
      <c r="T786" s="43"/>
      <c r="U786" s="19"/>
      <c r="V786" s="13">
        <f t="shared" si="87"/>
        <v>0</v>
      </c>
      <c r="W786" s="13"/>
      <c r="X786" s="13"/>
      <c r="Y786" s="13"/>
      <c r="Z786" s="13"/>
      <c r="AA786" s="22">
        <v>45992</v>
      </c>
      <c r="AB786" s="22" cm="1">
        <f t="array" ref="AB7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6" s="4"/>
      <c r="AD786" s="4"/>
      <c r="AE786" s="2"/>
      <c r="AF786" s="3"/>
      <c r="AG786" s="3"/>
      <c r="AH786" s="3"/>
      <c r="AI786" s="3"/>
      <c r="AJ786" s="2">
        <f t="shared" si="88"/>
        <v>0</v>
      </c>
      <c r="AK786" s="2">
        <f t="shared" si="90"/>
        <v>0</v>
      </c>
      <c r="AL786" s="2">
        <f t="shared" si="89"/>
        <v>0</v>
      </c>
      <c r="AM786" s="88"/>
      <c r="AN786" s="157" t="s">
        <v>774</v>
      </c>
    </row>
    <row r="787" spans="2:40" ht="23.15" customHeight="1" thickBot="1">
      <c r="B787" s="87"/>
      <c r="C787" s="2"/>
      <c r="D787" s="15" t="s">
        <v>19</v>
      </c>
      <c r="E787" s="20" t="s">
        <v>161</v>
      </c>
      <c r="F787" s="20" t="s">
        <v>40</v>
      </c>
      <c r="G787" s="11">
        <v>2</v>
      </c>
      <c r="H787" s="11"/>
      <c r="I787" s="18"/>
      <c r="J787" s="18"/>
      <c r="K787" s="19"/>
      <c r="L787" s="41"/>
      <c r="M787" s="41"/>
      <c r="N787" s="41"/>
      <c r="O787" s="41"/>
      <c r="P787" s="41"/>
      <c r="Q787" s="43"/>
      <c r="R787" s="43"/>
      <c r="S787" s="43"/>
      <c r="T787" s="43"/>
      <c r="U787" s="19"/>
      <c r="V787" s="13">
        <f t="shared" si="87"/>
        <v>0</v>
      </c>
      <c r="W787" s="13"/>
      <c r="X787" s="13"/>
      <c r="Y787" s="13"/>
      <c r="Z787" s="13"/>
      <c r="AA787" s="22">
        <v>45992</v>
      </c>
      <c r="AB787" s="22" cm="1">
        <f t="array" ref="AB7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7" s="4"/>
      <c r="AD787" s="4"/>
      <c r="AE787" s="2"/>
      <c r="AF787" s="3"/>
      <c r="AG787" s="3"/>
      <c r="AH787" s="3"/>
      <c r="AI787" s="3"/>
      <c r="AJ787" s="2">
        <f t="shared" si="88"/>
        <v>0</v>
      </c>
      <c r="AK787" s="2">
        <f t="shared" si="90"/>
        <v>0</v>
      </c>
      <c r="AL787" s="2">
        <f t="shared" si="89"/>
        <v>0</v>
      </c>
      <c r="AM787" s="88"/>
      <c r="AN787" s="157" t="s">
        <v>774</v>
      </c>
    </row>
    <row r="788" spans="2:40" ht="23.15" customHeight="1" thickBot="1">
      <c r="B788" s="87"/>
      <c r="C788" s="2"/>
      <c r="D788" s="15" t="s">
        <v>19</v>
      </c>
      <c r="E788" s="20" t="s">
        <v>26</v>
      </c>
      <c r="F788" s="20" t="s">
        <v>40</v>
      </c>
      <c r="G788" s="11">
        <v>4</v>
      </c>
      <c r="H788" s="11"/>
      <c r="I788" s="18"/>
      <c r="J788" s="18"/>
      <c r="K788" s="19"/>
      <c r="L788" s="41"/>
      <c r="M788" s="41"/>
      <c r="N788" s="41"/>
      <c r="O788" s="41"/>
      <c r="P788" s="41"/>
      <c r="Q788" s="43"/>
      <c r="R788" s="43"/>
      <c r="S788" s="43"/>
      <c r="T788" s="43"/>
      <c r="U788" s="19"/>
      <c r="V788" s="13">
        <f t="shared" si="87"/>
        <v>0</v>
      </c>
      <c r="W788" s="13"/>
      <c r="X788" s="13"/>
      <c r="Y788" s="13"/>
      <c r="Z788" s="13"/>
      <c r="AA788" s="22">
        <v>45992</v>
      </c>
      <c r="AB788" s="22" cm="1">
        <f t="array" ref="AB7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8" s="4"/>
      <c r="AD788" s="4"/>
      <c r="AE788" s="2"/>
      <c r="AF788" s="3"/>
      <c r="AG788" s="3"/>
      <c r="AH788" s="3"/>
      <c r="AI788" s="3"/>
      <c r="AJ788" s="2">
        <f t="shared" si="88"/>
        <v>0</v>
      </c>
      <c r="AK788" s="2">
        <f t="shared" si="90"/>
        <v>0</v>
      </c>
      <c r="AL788" s="2">
        <f t="shared" si="89"/>
        <v>0</v>
      </c>
      <c r="AM788" s="88"/>
      <c r="AN788" s="157" t="s">
        <v>774</v>
      </c>
    </row>
    <row r="789" spans="2:40" ht="23.15" customHeight="1" thickBot="1">
      <c r="B789" s="87"/>
      <c r="C789" s="2"/>
      <c r="D789" s="15" t="s">
        <v>19</v>
      </c>
      <c r="E789" s="20" t="s">
        <v>31</v>
      </c>
      <c r="F789" s="20" t="s">
        <v>40</v>
      </c>
      <c r="G789" s="11">
        <v>25</v>
      </c>
      <c r="H789" s="11"/>
      <c r="I789" s="18"/>
      <c r="J789" s="18"/>
      <c r="K789" s="19"/>
      <c r="L789" s="41"/>
      <c r="M789" s="41"/>
      <c r="N789" s="41"/>
      <c r="O789" s="41"/>
      <c r="P789" s="41"/>
      <c r="Q789" s="43"/>
      <c r="R789" s="43"/>
      <c r="S789" s="43"/>
      <c r="T789" s="43"/>
      <c r="U789" s="19"/>
      <c r="V789" s="13">
        <f t="shared" si="87"/>
        <v>0</v>
      </c>
      <c r="W789" s="13"/>
      <c r="X789" s="13"/>
      <c r="Y789" s="13"/>
      <c r="Z789" s="13"/>
      <c r="AA789" s="22">
        <v>45992</v>
      </c>
      <c r="AB789" s="22" cm="1">
        <f t="array" ref="AB7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9" s="4"/>
      <c r="AD789" s="4"/>
      <c r="AE789" s="2"/>
      <c r="AF789" s="3"/>
      <c r="AG789" s="3"/>
      <c r="AH789" s="3"/>
      <c r="AI789" s="3"/>
      <c r="AJ789" s="2">
        <f t="shared" si="88"/>
        <v>0</v>
      </c>
      <c r="AK789" s="2">
        <f t="shared" si="90"/>
        <v>0</v>
      </c>
      <c r="AL789" s="2">
        <f t="shared" si="89"/>
        <v>0</v>
      </c>
      <c r="AM789" s="88"/>
      <c r="AN789" s="157" t="s">
        <v>774</v>
      </c>
    </row>
    <row r="790" spans="2:40" ht="23.15" customHeight="1" thickBot="1">
      <c r="B790" s="87"/>
      <c r="C790" s="2"/>
      <c r="D790" s="15" t="s">
        <v>19</v>
      </c>
      <c r="E790" s="20" t="s">
        <v>30</v>
      </c>
      <c r="F790" s="20" t="s">
        <v>40</v>
      </c>
      <c r="G790" s="11">
        <v>55</v>
      </c>
      <c r="H790" s="11"/>
      <c r="I790" s="18"/>
      <c r="J790" s="11"/>
      <c r="K790" s="19"/>
      <c r="L790" s="41"/>
      <c r="M790" s="43"/>
      <c r="N790" s="41"/>
      <c r="O790" s="41"/>
      <c r="P790" s="43"/>
      <c r="Q790" s="43"/>
      <c r="R790" s="43"/>
      <c r="S790" s="43"/>
      <c r="T790" s="43"/>
      <c r="U790" s="19"/>
      <c r="V790" s="13">
        <f t="shared" si="87"/>
        <v>0</v>
      </c>
      <c r="W790" s="13"/>
      <c r="X790" s="13"/>
      <c r="Y790" s="13"/>
      <c r="Z790" s="13"/>
      <c r="AA790" s="22">
        <v>45992</v>
      </c>
      <c r="AB790" s="22" cm="1">
        <f t="array" ref="AB7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90" s="4"/>
      <c r="AD790" s="4"/>
      <c r="AE790" s="2"/>
      <c r="AF790" s="3"/>
      <c r="AG790" s="3"/>
      <c r="AH790" s="3"/>
      <c r="AI790" s="3"/>
      <c r="AJ790" s="2">
        <f t="shared" si="88"/>
        <v>0</v>
      </c>
      <c r="AK790" s="2">
        <f t="shared" si="90"/>
        <v>0</v>
      </c>
      <c r="AL790" s="2">
        <f t="shared" si="89"/>
        <v>0</v>
      </c>
      <c r="AM790" s="88"/>
      <c r="AN790" s="157" t="s">
        <v>774</v>
      </c>
    </row>
    <row r="791" spans="2:40" ht="23.15" customHeight="1" thickBot="1">
      <c r="B791" s="87"/>
      <c r="C791" s="2"/>
      <c r="D791" s="15" t="s">
        <v>19</v>
      </c>
      <c r="E791" s="20" t="s">
        <v>35</v>
      </c>
      <c r="F791" s="20" t="s">
        <v>40</v>
      </c>
      <c r="G791" s="11">
        <v>8</v>
      </c>
      <c r="H791" s="11"/>
      <c r="I791" s="18"/>
      <c r="J791" s="11"/>
      <c r="K791" s="19"/>
      <c r="L791" s="41"/>
      <c r="M791" s="43"/>
      <c r="N791" s="41"/>
      <c r="O791" s="41"/>
      <c r="P791" s="43"/>
      <c r="Q791" s="43"/>
      <c r="R791" s="43"/>
      <c r="S791" s="43"/>
      <c r="T791" s="43"/>
      <c r="U791" s="19"/>
      <c r="V791" s="13">
        <f t="shared" si="87"/>
        <v>0</v>
      </c>
      <c r="W791" s="13"/>
      <c r="X791" s="13"/>
      <c r="Y791" s="13"/>
      <c r="Z791" s="13"/>
      <c r="AA791" s="22">
        <v>45992</v>
      </c>
      <c r="AB791" s="22" cm="1">
        <f t="array" ref="AB7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91" s="4"/>
      <c r="AD791" s="4"/>
      <c r="AE791" s="2"/>
      <c r="AF791" s="3"/>
      <c r="AG791" s="3"/>
      <c r="AH791" s="3"/>
      <c r="AI791" s="3"/>
      <c r="AJ791" s="2">
        <f t="shared" si="88"/>
        <v>0</v>
      </c>
      <c r="AK791" s="2">
        <f t="shared" si="90"/>
        <v>0</v>
      </c>
      <c r="AL791" s="2">
        <f t="shared" si="89"/>
        <v>0</v>
      </c>
      <c r="AM791" s="88"/>
      <c r="AN791" s="157" t="s">
        <v>774</v>
      </c>
    </row>
    <row r="792" spans="2:40" ht="23.15" customHeight="1" thickBot="1">
      <c r="B792" s="87"/>
      <c r="C792" s="2"/>
      <c r="D792" s="15" t="s">
        <v>19</v>
      </c>
      <c r="E792" s="20" t="s">
        <v>32</v>
      </c>
      <c r="F792" s="20" t="s">
        <v>40</v>
      </c>
      <c r="G792" s="11">
        <v>18</v>
      </c>
      <c r="H792" s="11"/>
      <c r="I792" s="18"/>
      <c r="J792" s="11"/>
      <c r="K792" s="19"/>
      <c r="L792" s="41"/>
      <c r="M792" s="43"/>
      <c r="N792" s="41"/>
      <c r="O792" s="41"/>
      <c r="P792" s="43"/>
      <c r="Q792" s="43"/>
      <c r="R792" s="43"/>
      <c r="S792" s="43"/>
      <c r="T792" s="43"/>
      <c r="U792" s="19"/>
      <c r="V792" s="13">
        <f t="shared" ref="V792:V855" si="91">IFERROR((K792+M792+R792+S792+T792+O792)+IF(U792="Sim",P792+Q792,0),(K792+R792+S792+T792)+IF(U792="Sim",P792+Q792,0))</f>
        <v>0</v>
      </c>
      <c r="W792" s="13"/>
      <c r="X792" s="13"/>
      <c r="Y792" s="13"/>
      <c r="Z792" s="45"/>
      <c r="AA792" s="22">
        <v>45992</v>
      </c>
      <c r="AB792" s="22" cm="1">
        <f t="array" ref="AB7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92" s="4"/>
      <c r="AD792" s="4"/>
      <c r="AE792" s="4"/>
      <c r="AF792" s="3"/>
      <c r="AG792" s="3"/>
      <c r="AH792" s="3"/>
      <c r="AI792" s="3"/>
      <c r="AJ792" s="2">
        <f t="shared" si="88"/>
        <v>0</v>
      </c>
      <c r="AK792" s="2">
        <f t="shared" si="90"/>
        <v>0</v>
      </c>
      <c r="AL792" s="2">
        <f t="shared" si="89"/>
        <v>0</v>
      </c>
      <c r="AM792" s="88"/>
      <c r="AN792" s="157" t="s">
        <v>774</v>
      </c>
    </row>
    <row r="793" spans="2:40" ht="23.15" customHeight="1" thickBot="1">
      <c r="B793" s="87">
        <v>45699</v>
      </c>
      <c r="C793" s="2" t="s">
        <v>295</v>
      </c>
      <c r="D793" s="15" t="s">
        <v>20</v>
      </c>
      <c r="E793" s="20" t="s">
        <v>158</v>
      </c>
      <c r="F793" s="20" t="s">
        <v>38</v>
      </c>
      <c r="G793" s="11">
        <v>1</v>
      </c>
      <c r="H793" s="11">
        <v>1</v>
      </c>
      <c r="I793" s="18">
        <v>0</v>
      </c>
      <c r="J793" s="18">
        <v>0</v>
      </c>
      <c r="K793" s="19">
        <v>3607</v>
      </c>
      <c r="L793" s="41">
        <v>0</v>
      </c>
      <c r="M793" s="43">
        <v>0</v>
      </c>
      <c r="N793" s="41">
        <v>0</v>
      </c>
      <c r="O793" s="41">
        <v>0</v>
      </c>
      <c r="P793" s="41">
        <v>0</v>
      </c>
      <c r="Q793" s="43">
        <v>0</v>
      </c>
      <c r="R793" s="43">
        <v>0</v>
      </c>
      <c r="S793" s="43">
        <v>0</v>
      </c>
      <c r="T793" s="43">
        <v>0</v>
      </c>
      <c r="U793" s="19"/>
      <c r="V793" s="13">
        <f t="shared" si="91"/>
        <v>3607</v>
      </c>
      <c r="W793" s="13"/>
      <c r="X793" s="13"/>
      <c r="Y793" s="13"/>
      <c r="Z793" s="13"/>
      <c r="AA793" s="22">
        <v>45658</v>
      </c>
      <c r="AB793" s="22" cm="1">
        <f t="array" ref="AB7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93" s="4"/>
      <c r="AD793" s="4"/>
      <c r="AE793" s="2"/>
      <c r="AF793" s="3"/>
      <c r="AG793" s="3"/>
      <c r="AH793" s="3"/>
      <c r="AI793" s="3"/>
      <c r="AJ793" s="2">
        <f t="shared" si="88"/>
        <v>0</v>
      </c>
      <c r="AK793" s="2">
        <f t="shared" si="90"/>
        <v>0</v>
      </c>
      <c r="AL793" s="2">
        <f t="shared" si="89"/>
        <v>0</v>
      </c>
      <c r="AM793" s="88"/>
      <c r="AN793" s="157" t="s">
        <v>774</v>
      </c>
    </row>
    <row r="794" spans="2:40" ht="23.15" customHeight="1" thickBot="1">
      <c r="B794" s="87">
        <v>45723</v>
      </c>
      <c r="C794" s="2" t="s">
        <v>295</v>
      </c>
      <c r="D794" s="15" t="s">
        <v>20</v>
      </c>
      <c r="E794" s="20" t="s">
        <v>158</v>
      </c>
      <c r="F794" s="20" t="s">
        <v>38</v>
      </c>
      <c r="G794" s="11">
        <v>1</v>
      </c>
      <c r="H794" s="33">
        <v>1</v>
      </c>
      <c r="I794" s="18">
        <v>0</v>
      </c>
      <c r="J794" s="18">
        <v>0</v>
      </c>
      <c r="K794" s="19">
        <v>3607</v>
      </c>
      <c r="L794" s="41">
        <v>0</v>
      </c>
      <c r="M794" s="43">
        <v>0</v>
      </c>
      <c r="N794" s="41">
        <v>0</v>
      </c>
      <c r="O794" s="41">
        <v>0</v>
      </c>
      <c r="P794" s="41">
        <v>0</v>
      </c>
      <c r="Q794" s="43">
        <v>0</v>
      </c>
      <c r="R794" s="43">
        <v>0</v>
      </c>
      <c r="S794" s="43">
        <v>0</v>
      </c>
      <c r="T794" s="43">
        <v>0</v>
      </c>
      <c r="U794" s="19"/>
      <c r="V794" s="13">
        <f t="shared" si="91"/>
        <v>3607</v>
      </c>
      <c r="W794" s="13"/>
      <c r="X794" s="13"/>
      <c r="Y794" s="13"/>
      <c r="Z794" s="13"/>
      <c r="AA794" s="22">
        <v>45689</v>
      </c>
      <c r="AB794" s="22" cm="1">
        <f t="array" ref="AB7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94" s="4">
        <v>709.10552069339064</v>
      </c>
      <c r="AD794" s="4">
        <v>673.4992339558828</v>
      </c>
      <c r="AE794" s="2"/>
      <c r="AF794" s="3"/>
      <c r="AG794" s="3"/>
      <c r="AH794" s="3"/>
      <c r="AI794" s="3"/>
      <c r="AJ794" s="2">
        <f t="shared" ref="AJ794:AJ857" si="92">IFERROR(L794-M794,0)</f>
        <v>0</v>
      </c>
      <c r="AK794" s="2">
        <f t="shared" si="90"/>
        <v>35.606286737507844</v>
      </c>
      <c r="AL794" s="2">
        <f t="shared" si="89"/>
        <v>0</v>
      </c>
      <c r="AM794" s="88"/>
      <c r="AN794" s="157" t="s">
        <v>774</v>
      </c>
    </row>
    <row r="795" spans="2:40" ht="23.15" customHeight="1" thickBot="1">
      <c r="B795" s="87">
        <v>45748</v>
      </c>
      <c r="C795" s="2" t="s">
        <v>295</v>
      </c>
      <c r="D795" s="15" t="s">
        <v>20</v>
      </c>
      <c r="E795" s="20" t="s">
        <v>158</v>
      </c>
      <c r="F795" s="20" t="s">
        <v>38</v>
      </c>
      <c r="G795" s="11">
        <v>1</v>
      </c>
      <c r="H795" s="11">
        <v>1</v>
      </c>
      <c r="I795" s="18">
        <v>0</v>
      </c>
      <c r="J795" s="18">
        <v>0</v>
      </c>
      <c r="K795" s="19">
        <v>3607</v>
      </c>
      <c r="L795" s="41">
        <v>0</v>
      </c>
      <c r="M795" s="43">
        <v>0</v>
      </c>
      <c r="N795" s="41">
        <v>0</v>
      </c>
      <c r="O795" s="41">
        <v>0</v>
      </c>
      <c r="P795" s="41">
        <v>0</v>
      </c>
      <c r="Q795" s="43">
        <v>0</v>
      </c>
      <c r="R795" s="43">
        <v>0</v>
      </c>
      <c r="S795" s="43">
        <v>0</v>
      </c>
      <c r="T795" s="43">
        <v>0</v>
      </c>
      <c r="U795" s="19"/>
      <c r="V795" s="13">
        <f t="shared" si="91"/>
        <v>3607</v>
      </c>
      <c r="W795" s="13"/>
      <c r="X795" s="13"/>
      <c r="Y795" s="13"/>
      <c r="Z795" s="13"/>
      <c r="AA795" s="22">
        <v>45717</v>
      </c>
      <c r="AB795" s="22" cm="1">
        <f t="array" ref="AB7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95" s="4"/>
      <c r="AD795" s="4"/>
      <c r="AE795" s="2"/>
      <c r="AF795" s="3"/>
      <c r="AG795" s="3"/>
      <c r="AH795" s="3"/>
      <c r="AI795" s="3"/>
      <c r="AJ795" s="2">
        <f t="shared" si="92"/>
        <v>0</v>
      </c>
      <c r="AK795" s="2">
        <f t="shared" si="90"/>
        <v>0</v>
      </c>
      <c r="AL795" s="2">
        <f t="shared" si="89"/>
        <v>0</v>
      </c>
      <c r="AM795" s="88"/>
      <c r="AN795" s="157" t="s">
        <v>774</v>
      </c>
    </row>
    <row r="796" spans="2:40" ht="23.15" customHeight="1" thickBot="1">
      <c r="B796" s="87">
        <v>45784</v>
      </c>
      <c r="C796" s="2" t="s">
        <v>295</v>
      </c>
      <c r="D796" s="15" t="s">
        <v>20</v>
      </c>
      <c r="E796" s="20" t="s">
        <v>158</v>
      </c>
      <c r="F796" s="20" t="s">
        <v>38</v>
      </c>
      <c r="G796" s="11">
        <v>1</v>
      </c>
      <c r="H796" s="11">
        <v>1</v>
      </c>
      <c r="I796" s="18">
        <v>0</v>
      </c>
      <c r="J796" s="18">
        <v>0</v>
      </c>
      <c r="K796" s="19">
        <v>3607</v>
      </c>
      <c r="L796" s="41">
        <v>0</v>
      </c>
      <c r="M796" s="43">
        <v>0</v>
      </c>
      <c r="N796" s="41">
        <v>0</v>
      </c>
      <c r="O796" s="41">
        <v>0</v>
      </c>
      <c r="P796" s="41">
        <v>0</v>
      </c>
      <c r="Q796" s="43">
        <v>0</v>
      </c>
      <c r="R796" s="43">
        <v>0</v>
      </c>
      <c r="S796" s="43">
        <v>0</v>
      </c>
      <c r="T796" s="43">
        <v>0</v>
      </c>
      <c r="U796" s="19"/>
      <c r="V796" s="13">
        <f t="shared" si="91"/>
        <v>3607</v>
      </c>
      <c r="W796" s="13"/>
      <c r="X796" s="13"/>
      <c r="Y796" s="13"/>
      <c r="Z796" s="13"/>
      <c r="AA796" s="22">
        <v>45748</v>
      </c>
      <c r="AB796" s="22" cm="1">
        <f t="array" ref="AB7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96" s="4"/>
      <c r="AD796" s="4"/>
      <c r="AE796" s="2"/>
      <c r="AF796" s="3"/>
      <c r="AG796" s="3"/>
      <c r="AH796" s="3"/>
      <c r="AI796" s="3"/>
      <c r="AJ796" s="2">
        <f t="shared" si="92"/>
        <v>0</v>
      </c>
      <c r="AK796" s="2">
        <f t="shared" si="90"/>
        <v>0</v>
      </c>
      <c r="AL796" s="2">
        <f t="shared" si="89"/>
        <v>0</v>
      </c>
      <c r="AM796" s="88"/>
      <c r="AN796" s="157" t="s">
        <v>774</v>
      </c>
    </row>
    <row r="797" spans="2:40" ht="23.15" customHeight="1" thickBot="1">
      <c r="B797" s="87">
        <v>45817</v>
      </c>
      <c r="C797" s="2" t="s">
        <v>295</v>
      </c>
      <c r="D797" s="15" t="s">
        <v>20</v>
      </c>
      <c r="E797" s="20" t="s">
        <v>158</v>
      </c>
      <c r="F797" s="20" t="s">
        <v>38</v>
      </c>
      <c r="G797" s="11">
        <v>1</v>
      </c>
      <c r="H797" s="11">
        <v>1</v>
      </c>
      <c r="I797" s="18">
        <v>0</v>
      </c>
      <c r="J797" s="18">
        <v>0</v>
      </c>
      <c r="K797" s="19">
        <v>3607</v>
      </c>
      <c r="L797" s="41">
        <v>0</v>
      </c>
      <c r="M797" s="43">
        <v>0</v>
      </c>
      <c r="N797" s="41">
        <v>0</v>
      </c>
      <c r="O797" s="41">
        <v>0</v>
      </c>
      <c r="P797" s="43">
        <v>0</v>
      </c>
      <c r="Q797" s="43">
        <v>0</v>
      </c>
      <c r="R797" s="43">
        <v>0</v>
      </c>
      <c r="S797" s="43">
        <v>0</v>
      </c>
      <c r="T797" s="43">
        <v>0</v>
      </c>
      <c r="U797" s="19"/>
      <c r="V797" s="13">
        <f t="shared" si="91"/>
        <v>3607</v>
      </c>
      <c r="W797" s="13"/>
      <c r="X797" s="13"/>
      <c r="Y797" s="13"/>
      <c r="Z797" s="13"/>
      <c r="AA797" s="22">
        <v>45778</v>
      </c>
      <c r="AB797" s="22" cm="1">
        <f t="array" ref="AB7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97" s="4"/>
      <c r="AD797" s="4"/>
      <c r="AE797" s="2"/>
      <c r="AF797" s="3"/>
      <c r="AG797" s="3"/>
      <c r="AH797" s="3"/>
      <c r="AI797" s="3"/>
      <c r="AJ797" s="2">
        <f t="shared" si="92"/>
        <v>0</v>
      </c>
      <c r="AK797" s="2">
        <f t="shared" si="90"/>
        <v>0</v>
      </c>
      <c r="AL797" s="2">
        <f t="shared" si="89"/>
        <v>0</v>
      </c>
      <c r="AM797" s="88"/>
      <c r="AN797" s="157" t="s">
        <v>774</v>
      </c>
    </row>
    <row r="798" spans="2:40" ht="23.15" customHeight="1" thickBot="1">
      <c r="B798" s="87">
        <v>45847</v>
      </c>
      <c r="C798" s="2" t="s">
        <v>295</v>
      </c>
      <c r="D798" s="15" t="s">
        <v>20</v>
      </c>
      <c r="E798" s="20" t="s">
        <v>158</v>
      </c>
      <c r="F798" s="20" t="s">
        <v>38</v>
      </c>
      <c r="G798" s="11">
        <v>1</v>
      </c>
      <c r="H798" s="11">
        <v>1</v>
      </c>
      <c r="I798" s="18">
        <v>0</v>
      </c>
      <c r="J798" s="18">
        <v>0</v>
      </c>
      <c r="K798" s="19">
        <v>3607</v>
      </c>
      <c r="L798" s="41">
        <v>0</v>
      </c>
      <c r="M798" s="44">
        <v>0</v>
      </c>
      <c r="N798" s="41">
        <v>0</v>
      </c>
      <c r="O798" s="41">
        <v>0</v>
      </c>
      <c r="P798" s="41">
        <v>0</v>
      </c>
      <c r="Q798" s="43">
        <v>0</v>
      </c>
      <c r="R798" s="43">
        <v>0</v>
      </c>
      <c r="S798" s="43">
        <v>0</v>
      </c>
      <c r="T798" s="43">
        <v>0</v>
      </c>
      <c r="U798" s="19"/>
      <c r="V798" s="13">
        <f t="shared" si="91"/>
        <v>3607</v>
      </c>
      <c r="W798" s="13"/>
      <c r="X798" s="13"/>
      <c r="Y798" s="13"/>
      <c r="Z798" s="13"/>
      <c r="AA798" s="22">
        <v>45809</v>
      </c>
      <c r="AB798" s="22" cm="1">
        <f t="array" ref="AB7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98" s="4"/>
      <c r="AD798" s="4"/>
      <c r="AE798" s="2"/>
      <c r="AF798" s="3"/>
      <c r="AG798" s="3"/>
      <c r="AH798" s="3"/>
      <c r="AI798" s="3"/>
      <c r="AJ798" s="2">
        <f t="shared" si="92"/>
        <v>0</v>
      </c>
      <c r="AK798" s="2">
        <f t="shared" si="90"/>
        <v>0</v>
      </c>
      <c r="AL798" s="2">
        <f t="shared" si="89"/>
        <v>0</v>
      </c>
      <c r="AM798" s="88"/>
      <c r="AN798" s="157" t="s">
        <v>774</v>
      </c>
    </row>
    <row r="799" spans="2:40" ht="23.15" customHeight="1" thickBot="1">
      <c r="B799" s="87">
        <v>45875</v>
      </c>
      <c r="C799" s="2" t="s">
        <v>295</v>
      </c>
      <c r="D799" s="15" t="s">
        <v>20</v>
      </c>
      <c r="E799" s="20" t="s">
        <v>33</v>
      </c>
      <c r="F799" s="20" t="s">
        <v>44</v>
      </c>
      <c r="G799" s="11">
        <v>3</v>
      </c>
      <c r="H799" s="11">
        <v>4</v>
      </c>
      <c r="I799" s="18">
        <v>0</v>
      </c>
      <c r="J799" s="18">
        <v>0</v>
      </c>
      <c r="K799" s="19">
        <v>16950.95</v>
      </c>
      <c r="L799" s="41">
        <v>0</v>
      </c>
      <c r="M799" s="43">
        <v>0</v>
      </c>
      <c r="N799" s="41">
        <v>0</v>
      </c>
      <c r="O799" s="41">
        <v>0</v>
      </c>
      <c r="P799" s="41">
        <v>0</v>
      </c>
      <c r="Q799" s="43">
        <v>0</v>
      </c>
      <c r="R799" s="43">
        <v>0</v>
      </c>
      <c r="S799" s="43">
        <v>0</v>
      </c>
      <c r="T799" s="43">
        <v>0</v>
      </c>
      <c r="U799" s="19" t="s">
        <v>295</v>
      </c>
      <c r="V799" s="13">
        <f t="shared" si="91"/>
        <v>16950.95</v>
      </c>
      <c r="W799" s="13"/>
      <c r="X799" s="13"/>
      <c r="Y799" s="13"/>
      <c r="Z799" s="13"/>
      <c r="AA799" s="22">
        <v>45839</v>
      </c>
      <c r="AB799" s="22" cm="1">
        <f t="array" ref="AB7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99" s="4"/>
      <c r="AD799" s="4"/>
      <c r="AE799" s="2"/>
      <c r="AF799" s="3"/>
      <c r="AG799" s="3"/>
      <c r="AH799" s="3"/>
      <c r="AI799" s="3"/>
      <c r="AJ799" s="2">
        <f t="shared" si="92"/>
        <v>0</v>
      </c>
      <c r="AK799" s="2">
        <f t="shared" si="90"/>
        <v>0</v>
      </c>
      <c r="AL799" s="2">
        <f t="shared" si="89"/>
        <v>0</v>
      </c>
      <c r="AM799" s="88"/>
      <c r="AN799" s="157" t="s">
        <v>774</v>
      </c>
    </row>
    <row r="800" spans="2:40" ht="23.15" customHeight="1" thickBot="1">
      <c r="B800" s="87">
        <v>45904</v>
      </c>
      <c r="C800" s="2" t="s">
        <v>295</v>
      </c>
      <c r="D800" s="15" t="s">
        <v>20</v>
      </c>
      <c r="E800" s="20" t="s">
        <v>28</v>
      </c>
      <c r="F800" s="20" t="s">
        <v>37</v>
      </c>
      <c r="G800" s="11">
        <v>12</v>
      </c>
      <c r="H800" s="11">
        <v>12</v>
      </c>
      <c r="I800" s="18">
        <v>0</v>
      </c>
      <c r="J800" s="18">
        <v>0</v>
      </c>
      <c r="K800" s="19">
        <v>76946.511608279514</v>
      </c>
      <c r="L800" s="41">
        <v>0</v>
      </c>
      <c r="M800" s="43">
        <v>0</v>
      </c>
      <c r="N800" s="41">
        <v>0</v>
      </c>
      <c r="O800" s="41">
        <v>0</v>
      </c>
      <c r="P800" s="41" t="s">
        <v>301</v>
      </c>
      <c r="Q800" s="43">
        <v>0</v>
      </c>
      <c r="R800" s="43">
        <v>0</v>
      </c>
      <c r="S800" s="43">
        <v>0</v>
      </c>
      <c r="T800" s="43">
        <v>0</v>
      </c>
      <c r="U800" s="19"/>
      <c r="V800" s="13">
        <f t="shared" si="91"/>
        <v>76946.511608279514</v>
      </c>
      <c r="W800" s="13"/>
      <c r="X800" s="13"/>
      <c r="Y800" s="13"/>
      <c r="Z800" s="13"/>
      <c r="AA800" s="22">
        <v>45870</v>
      </c>
      <c r="AB800" s="22" cm="1">
        <f t="array" ref="AB8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00" s="4"/>
      <c r="AD800" s="4"/>
      <c r="AE800" s="2"/>
      <c r="AF800" s="3"/>
      <c r="AG800" s="3"/>
      <c r="AH800" s="3"/>
      <c r="AI800" s="3"/>
      <c r="AJ800" s="2">
        <f t="shared" si="92"/>
        <v>0</v>
      </c>
      <c r="AK800" s="2">
        <f t="shared" si="90"/>
        <v>0</v>
      </c>
      <c r="AL800" s="2">
        <f t="shared" si="89"/>
        <v>0</v>
      </c>
      <c r="AM800" s="88"/>
      <c r="AN800" s="157" t="s">
        <v>774</v>
      </c>
    </row>
    <row r="801" spans="2:40" ht="23.15" customHeight="1" thickBot="1">
      <c r="B801" s="87">
        <v>45699</v>
      </c>
      <c r="C801" s="2" t="s">
        <v>295</v>
      </c>
      <c r="D801" s="15" t="s">
        <v>20</v>
      </c>
      <c r="E801" s="20" t="s">
        <v>33</v>
      </c>
      <c r="F801" s="20" t="s">
        <v>44</v>
      </c>
      <c r="G801" s="11">
        <v>3</v>
      </c>
      <c r="H801" s="11">
        <v>4</v>
      </c>
      <c r="I801" s="18">
        <v>0</v>
      </c>
      <c r="J801" s="18">
        <v>0</v>
      </c>
      <c r="K801" s="19">
        <v>15421</v>
      </c>
      <c r="L801" s="41">
        <v>0</v>
      </c>
      <c r="M801" s="43">
        <v>0</v>
      </c>
      <c r="N801" s="41">
        <v>0</v>
      </c>
      <c r="O801" s="41">
        <v>0</v>
      </c>
      <c r="P801" s="41">
        <v>0</v>
      </c>
      <c r="Q801" s="43">
        <v>0</v>
      </c>
      <c r="R801" s="43">
        <v>0</v>
      </c>
      <c r="S801" s="43">
        <v>0</v>
      </c>
      <c r="T801" s="43">
        <v>0</v>
      </c>
      <c r="U801" s="19" t="s">
        <v>295</v>
      </c>
      <c r="V801" s="13">
        <f t="shared" si="91"/>
        <v>15421</v>
      </c>
      <c r="W801" s="13"/>
      <c r="X801" s="13"/>
      <c r="Y801" s="13"/>
      <c r="Z801" s="13"/>
      <c r="AA801" s="22">
        <v>45658</v>
      </c>
      <c r="AB801" s="22" cm="1">
        <f t="array" ref="AB8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01" s="4"/>
      <c r="AD801" s="4"/>
      <c r="AE801" s="2"/>
      <c r="AF801" s="3"/>
      <c r="AG801" s="3"/>
      <c r="AH801" s="3"/>
      <c r="AI801" s="3"/>
      <c r="AJ801" s="2">
        <f t="shared" si="92"/>
        <v>0</v>
      </c>
      <c r="AK801" s="2">
        <f t="shared" si="90"/>
        <v>0</v>
      </c>
      <c r="AL801" s="2">
        <f t="shared" si="89"/>
        <v>0</v>
      </c>
      <c r="AM801" s="88"/>
      <c r="AN801" s="157" t="s">
        <v>774</v>
      </c>
    </row>
    <row r="802" spans="2:40" ht="23.15" customHeight="1" thickBot="1">
      <c r="B802" s="87"/>
      <c r="C802" s="2" t="s">
        <v>292</v>
      </c>
      <c r="D802" s="15" t="s">
        <v>20</v>
      </c>
      <c r="E802" s="20" t="s">
        <v>33</v>
      </c>
      <c r="F802" s="20" t="s">
        <v>44</v>
      </c>
      <c r="G802" s="11">
        <v>3</v>
      </c>
      <c r="H802" s="11">
        <v>4</v>
      </c>
      <c r="I802" s="18" t="s">
        <v>294</v>
      </c>
      <c r="J802" s="18" t="s">
        <v>294</v>
      </c>
      <c r="K802" s="19">
        <v>15421.41</v>
      </c>
      <c r="L802" s="41">
        <v>0</v>
      </c>
      <c r="M802" s="43" t="s">
        <v>294</v>
      </c>
      <c r="N802" s="41">
        <v>0</v>
      </c>
      <c r="O802" s="41" t="s">
        <v>294</v>
      </c>
      <c r="P802" s="43">
        <v>0</v>
      </c>
      <c r="Q802" s="43">
        <v>0</v>
      </c>
      <c r="R802" s="43">
        <v>0</v>
      </c>
      <c r="S802" s="43">
        <v>0</v>
      </c>
      <c r="T802" s="43">
        <v>0</v>
      </c>
      <c r="U802" s="19"/>
      <c r="V802" s="13">
        <f t="shared" si="91"/>
        <v>15421.41</v>
      </c>
      <c r="W802" s="13"/>
      <c r="X802" s="13"/>
      <c r="Y802" s="13"/>
      <c r="Z802" s="13"/>
      <c r="AA802" s="22">
        <v>45689</v>
      </c>
      <c r="AB802" s="22" cm="1">
        <f t="array" ref="AB8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02" s="4"/>
      <c r="AD802" s="4"/>
      <c r="AE802" s="2"/>
      <c r="AF802" s="3"/>
      <c r="AG802" s="3"/>
      <c r="AH802" s="3"/>
      <c r="AI802" s="3"/>
      <c r="AJ802" s="2">
        <f t="shared" si="92"/>
        <v>0</v>
      </c>
      <c r="AK802" s="2">
        <f t="shared" si="90"/>
        <v>0</v>
      </c>
      <c r="AL802" s="2">
        <f t="shared" si="89"/>
        <v>0</v>
      </c>
      <c r="AM802" s="88"/>
      <c r="AN802" s="157" t="s">
        <v>774</v>
      </c>
    </row>
    <row r="803" spans="2:40" ht="23.15" customHeight="1" thickBot="1">
      <c r="B803" s="87"/>
      <c r="C803" s="2" t="s">
        <v>292</v>
      </c>
      <c r="D803" s="15" t="s">
        <v>20</v>
      </c>
      <c r="E803" s="20" t="s">
        <v>33</v>
      </c>
      <c r="F803" s="20" t="s">
        <v>44</v>
      </c>
      <c r="G803" s="11">
        <v>3</v>
      </c>
      <c r="H803" s="25">
        <v>4</v>
      </c>
      <c r="I803" s="18" t="s">
        <v>294</v>
      </c>
      <c r="J803" s="18" t="s">
        <v>294</v>
      </c>
      <c r="K803" s="19">
        <v>15421.41</v>
      </c>
      <c r="L803" s="41">
        <v>0</v>
      </c>
      <c r="M803" s="43" t="s">
        <v>294</v>
      </c>
      <c r="N803" s="41">
        <v>0</v>
      </c>
      <c r="O803" s="41" t="s">
        <v>294</v>
      </c>
      <c r="P803" s="41">
        <v>0</v>
      </c>
      <c r="Q803" s="43">
        <v>0</v>
      </c>
      <c r="R803" s="43">
        <v>0</v>
      </c>
      <c r="S803" s="43">
        <v>0</v>
      </c>
      <c r="T803" s="43">
        <v>0</v>
      </c>
      <c r="U803" s="19"/>
      <c r="V803" s="13">
        <f t="shared" si="91"/>
        <v>15421.41</v>
      </c>
      <c r="W803" s="13"/>
      <c r="X803" s="13"/>
      <c r="Y803" s="13"/>
      <c r="Z803" s="13"/>
      <c r="AA803" s="22">
        <v>45717</v>
      </c>
      <c r="AB803" s="22" cm="1">
        <f t="array" ref="AB8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03" s="4"/>
      <c r="AD803" s="4"/>
      <c r="AE803" s="2"/>
      <c r="AF803" s="3"/>
      <c r="AG803" s="3"/>
      <c r="AH803" s="3"/>
      <c r="AI803" s="3"/>
      <c r="AJ803" s="2">
        <f t="shared" si="92"/>
        <v>0</v>
      </c>
      <c r="AK803" s="2">
        <f t="shared" si="90"/>
        <v>0</v>
      </c>
      <c r="AL803" s="2">
        <f t="shared" si="89"/>
        <v>0</v>
      </c>
      <c r="AM803" s="88"/>
      <c r="AN803" s="157" t="s">
        <v>774</v>
      </c>
    </row>
    <row r="804" spans="2:40" ht="23.15" customHeight="1" thickBot="1">
      <c r="B804" s="87">
        <v>45779</v>
      </c>
      <c r="C804" s="2" t="s">
        <v>295</v>
      </c>
      <c r="D804" s="15" t="s">
        <v>20</v>
      </c>
      <c r="E804" s="20" t="s">
        <v>33</v>
      </c>
      <c r="F804" s="20" t="s">
        <v>44</v>
      </c>
      <c r="G804" s="11">
        <v>3</v>
      </c>
      <c r="H804" s="11">
        <v>4</v>
      </c>
      <c r="I804" s="18">
        <v>0</v>
      </c>
      <c r="J804" s="18">
        <v>0</v>
      </c>
      <c r="K804" s="19">
        <v>16950.95</v>
      </c>
      <c r="L804" s="41">
        <v>0</v>
      </c>
      <c r="M804" s="43">
        <v>0</v>
      </c>
      <c r="N804" s="41">
        <v>0</v>
      </c>
      <c r="O804" s="41">
        <v>0</v>
      </c>
      <c r="P804" s="41">
        <v>0</v>
      </c>
      <c r="Q804" s="43">
        <v>0</v>
      </c>
      <c r="R804" s="43">
        <v>0</v>
      </c>
      <c r="S804" s="43">
        <v>0</v>
      </c>
      <c r="T804" s="43">
        <v>0</v>
      </c>
      <c r="U804" s="19" t="s">
        <v>295</v>
      </c>
      <c r="V804" s="13">
        <f t="shared" si="91"/>
        <v>16950.95</v>
      </c>
      <c r="W804" s="13"/>
      <c r="X804" s="13"/>
      <c r="Y804" s="13"/>
      <c r="Z804" s="13"/>
      <c r="AA804" s="22">
        <v>45748</v>
      </c>
      <c r="AB804" s="22" cm="1">
        <f t="array" ref="AB8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04" s="4"/>
      <c r="AD804" s="4"/>
      <c r="AE804" s="2"/>
      <c r="AF804" s="3"/>
      <c r="AG804" s="3"/>
      <c r="AH804" s="3"/>
      <c r="AI804" s="3"/>
      <c r="AJ804" s="2">
        <f t="shared" si="92"/>
        <v>0</v>
      </c>
      <c r="AK804" s="2">
        <f t="shared" si="90"/>
        <v>0</v>
      </c>
      <c r="AL804" s="2">
        <f t="shared" si="89"/>
        <v>0</v>
      </c>
      <c r="AM804" s="88"/>
      <c r="AN804" s="157" t="s">
        <v>774</v>
      </c>
    </row>
    <row r="805" spans="2:40" ht="23.15" customHeight="1" thickBot="1">
      <c r="B805" s="87"/>
      <c r="C805" s="2" t="s">
        <v>292</v>
      </c>
      <c r="D805" s="15" t="s">
        <v>20</v>
      </c>
      <c r="E805" s="20" t="s">
        <v>33</v>
      </c>
      <c r="F805" s="20" t="s">
        <v>44</v>
      </c>
      <c r="G805" s="11">
        <v>3</v>
      </c>
      <c r="H805" s="11">
        <v>4</v>
      </c>
      <c r="I805" s="18">
        <v>0</v>
      </c>
      <c r="J805" s="18">
        <v>0</v>
      </c>
      <c r="K805" s="19">
        <v>16950.95</v>
      </c>
      <c r="L805" s="41">
        <v>0</v>
      </c>
      <c r="M805" s="43">
        <v>0</v>
      </c>
      <c r="N805" s="41">
        <v>0</v>
      </c>
      <c r="O805" s="41">
        <v>0</v>
      </c>
      <c r="P805" s="41">
        <v>0</v>
      </c>
      <c r="Q805" s="43">
        <v>0</v>
      </c>
      <c r="R805" s="43">
        <v>0</v>
      </c>
      <c r="S805" s="43">
        <v>0</v>
      </c>
      <c r="T805" s="43">
        <v>0</v>
      </c>
      <c r="U805" s="19"/>
      <c r="V805" s="13">
        <f t="shared" si="91"/>
        <v>16950.95</v>
      </c>
      <c r="W805" s="13"/>
      <c r="X805" s="13"/>
      <c r="Y805" s="13"/>
      <c r="Z805" s="13"/>
      <c r="AA805" s="22">
        <v>45778</v>
      </c>
      <c r="AB805" s="22" cm="1">
        <f t="array" ref="AB8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05" s="4"/>
      <c r="AD805" s="4"/>
      <c r="AE805" s="2"/>
      <c r="AF805" s="3"/>
      <c r="AG805" s="3"/>
      <c r="AH805" s="3"/>
      <c r="AI805" s="3"/>
      <c r="AJ805" s="2">
        <f t="shared" si="92"/>
        <v>0</v>
      </c>
      <c r="AK805" s="2">
        <f t="shared" si="90"/>
        <v>0</v>
      </c>
      <c r="AL805" s="2">
        <f t="shared" si="89"/>
        <v>0</v>
      </c>
      <c r="AM805" s="88"/>
      <c r="AN805" s="157" t="s">
        <v>774</v>
      </c>
    </row>
    <row r="806" spans="2:40" ht="23.15" customHeight="1" thickBot="1">
      <c r="B806" s="87"/>
      <c r="C806" s="2" t="s">
        <v>292</v>
      </c>
      <c r="D806" s="15" t="s">
        <v>20</v>
      </c>
      <c r="E806" s="20" t="s">
        <v>33</v>
      </c>
      <c r="F806" s="20" t="s">
        <v>44</v>
      </c>
      <c r="G806" s="11">
        <v>3</v>
      </c>
      <c r="H806" s="11">
        <v>4</v>
      </c>
      <c r="I806" s="41" t="s">
        <v>294</v>
      </c>
      <c r="J806" s="41" t="s">
        <v>294</v>
      </c>
      <c r="K806" s="19">
        <v>16950.95</v>
      </c>
      <c r="L806" s="41">
        <v>0</v>
      </c>
      <c r="M806" s="43" t="s">
        <v>294</v>
      </c>
      <c r="N806" s="41">
        <v>0</v>
      </c>
      <c r="O806" s="41" t="s">
        <v>294</v>
      </c>
      <c r="P806" s="41">
        <v>0</v>
      </c>
      <c r="Q806" s="43">
        <v>0</v>
      </c>
      <c r="R806" s="43">
        <v>0</v>
      </c>
      <c r="S806" s="43">
        <v>0</v>
      </c>
      <c r="T806" s="43">
        <v>0</v>
      </c>
      <c r="U806" s="19"/>
      <c r="V806" s="13">
        <f t="shared" si="91"/>
        <v>16950.95</v>
      </c>
      <c r="W806" s="13"/>
      <c r="X806" s="13"/>
      <c r="Y806" s="13"/>
      <c r="Z806" s="13"/>
      <c r="AA806" s="22">
        <v>45809</v>
      </c>
      <c r="AB806" s="22" cm="1">
        <f t="array" ref="AB8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06" s="4"/>
      <c r="AD806" s="4"/>
      <c r="AE806" s="2"/>
      <c r="AF806" s="3"/>
      <c r="AG806" s="3"/>
      <c r="AH806" s="3"/>
      <c r="AI806" s="3"/>
      <c r="AJ806" s="2">
        <f t="shared" si="92"/>
        <v>0</v>
      </c>
      <c r="AK806" s="2">
        <f t="shared" si="90"/>
        <v>0</v>
      </c>
      <c r="AL806" s="2">
        <f t="shared" si="89"/>
        <v>0</v>
      </c>
      <c r="AM806" s="88"/>
      <c r="AN806" s="157" t="s">
        <v>774</v>
      </c>
    </row>
    <row r="807" spans="2:40" ht="23.15" customHeight="1" thickBot="1">
      <c r="B807" s="87">
        <v>45880</v>
      </c>
      <c r="C807" s="2" t="s">
        <v>295</v>
      </c>
      <c r="D807" s="15" t="s">
        <v>20</v>
      </c>
      <c r="E807" s="20" t="s">
        <v>26</v>
      </c>
      <c r="F807" s="20" t="s">
        <v>70</v>
      </c>
      <c r="G807" s="11">
        <v>4</v>
      </c>
      <c r="H807" s="33">
        <v>4</v>
      </c>
      <c r="I807" s="18" t="s">
        <v>294</v>
      </c>
      <c r="J807" s="18" t="s">
        <v>294</v>
      </c>
      <c r="K807" s="19">
        <v>21416.86</v>
      </c>
      <c r="L807" s="41">
        <v>0</v>
      </c>
      <c r="M807" s="41" t="s">
        <v>294</v>
      </c>
      <c r="N807" s="41">
        <v>0</v>
      </c>
      <c r="O807" s="41" t="s">
        <v>294</v>
      </c>
      <c r="P807" s="41" t="s">
        <v>293</v>
      </c>
      <c r="Q807" s="41">
        <v>0</v>
      </c>
      <c r="R807" s="41">
        <v>0</v>
      </c>
      <c r="S807" s="41">
        <v>0</v>
      </c>
      <c r="T807" s="41">
        <v>0</v>
      </c>
      <c r="U807" s="19"/>
      <c r="V807" s="13">
        <f t="shared" si="91"/>
        <v>21416.86</v>
      </c>
      <c r="W807" s="13"/>
      <c r="X807" s="13"/>
      <c r="Y807" s="13"/>
      <c r="Z807" s="13"/>
      <c r="AA807" s="22">
        <v>45839</v>
      </c>
      <c r="AB807" s="22" cm="1">
        <f t="array" ref="AB8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07" s="4"/>
      <c r="AD807" s="4"/>
      <c r="AE807" s="2"/>
      <c r="AF807" s="3"/>
      <c r="AG807" s="3"/>
      <c r="AH807" s="3"/>
      <c r="AI807" s="3"/>
      <c r="AJ807" s="2">
        <f t="shared" si="92"/>
        <v>0</v>
      </c>
      <c r="AK807" s="2">
        <f t="shared" ref="AK807:AK835" si="93">AC807-AD807</f>
        <v>0</v>
      </c>
      <c r="AL807" s="2">
        <f t="shared" si="89"/>
        <v>0</v>
      </c>
      <c r="AM807" s="88"/>
      <c r="AN807" s="157" t="s">
        <v>774</v>
      </c>
    </row>
    <row r="808" spans="2:40" ht="23.15" customHeight="1" thickBot="1">
      <c r="B808" s="87"/>
      <c r="C808" s="2" t="s">
        <v>292</v>
      </c>
      <c r="D808" s="15" t="s">
        <v>20</v>
      </c>
      <c r="E808" s="20" t="s">
        <v>28</v>
      </c>
      <c r="F808" s="20" t="s">
        <v>37</v>
      </c>
      <c r="G808" s="11">
        <v>12</v>
      </c>
      <c r="H808" s="11">
        <v>12</v>
      </c>
      <c r="I808" s="18" t="s">
        <v>294</v>
      </c>
      <c r="J808" s="18" t="s">
        <v>294</v>
      </c>
      <c r="K808" s="19">
        <v>76946.511608279514</v>
      </c>
      <c r="L808" s="41" t="s">
        <v>294</v>
      </c>
      <c r="M808" s="18" t="s">
        <v>294</v>
      </c>
      <c r="N808" s="41" t="s">
        <v>294</v>
      </c>
      <c r="O808" s="41" t="s">
        <v>294</v>
      </c>
      <c r="P808" s="41">
        <v>0</v>
      </c>
      <c r="Q808" s="43">
        <v>0</v>
      </c>
      <c r="R808" s="43">
        <v>0</v>
      </c>
      <c r="S808" s="43">
        <v>0</v>
      </c>
      <c r="T808" s="43">
        <v>0</v>
      </c>
      <c r="U808" s="19"/>
      <c r="V808" s="13">
        <f t="shared" si="91"/>
        <v>76946.511608279514</v>
      </c>
      <c r="W808" s="13"/>
      <c r="X808" s="13"/>
      <c r="Y808" s="13"/>
      <c r="Z808" s="13"/>
      <c r="AA808" s="22">
        <v>45901</v>
      </c>
      <c r="AB808" s="22" cm="1">
        <f t="array" ref="AB8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08" s="4"/>
      <c r="AD808" s="4"/>
      <c r="AE808" s="2"/>
      <c r="AF808" s="3"/>
      <c r="AG808" s="3"/>
      <c r="AH808" s="3"/>
      <c r="AI808" s="3"/>
      <c r="AJ808" s="2">
        <f t="shared" si="92"/>
        <v>0</v>
      </c>
      <c r="AK808" s="2">
        <f t="shared" si="93"/>
        <v>0</v>
      </c>
      <c r="AL808" s="2">
        <f t="shared" ref="AL808:AL871" si="94">K808-V808</f>
        <v>0</v>
      </c>
      <c r="AM808" s="88"/>
      <c r="AN808" s="157" t="s">
        <v>774</v>
      </c>
    </row>
    <row r="809" spans="2:40" ht="23.15" customHeight="1" thickBot="1">
      <c r="B809" s="87">
        <v>45666</v>
      </c>
      <c r="C809" s="2" t="s">
        <v>295</v>
      </c>
      <c r="D809" s="15" t="s">
        <v>20</v>
      </c>
      <c r="E809" s="20" t="s">
        <v>26</v>
      </c>
      <c r="F809" s="20" t="s">
        <v>70</v>
      </c>
      <c r="G809" s="11">
        <v>4</v>
      </c>
      <c r="H809" s="11">
        <v>4</v>
      </c>
      <c r="I809" s="18">
        <v>0</v>
      </c>
      <c r="J809" s="18">
        <v>0</v>
      </c>
      <c r="K809" s="19">
        <v>21416.86</v>
      </c>
      <c r="L809" s="41">
        <v>0</v>
      </c>
      <c r="M809" s="41">
        <v>0</v>
      </c>
      <c r="N809" s="41">
        <v>0</v>
      </c>
      <c r="O809" s="41">
        <v>0</v>
      </c>
      <c r="P809" s="41">
        <v>0</v>
      </c>
      <c r="Q809" s="43">
        <v>0</v>
      </c>
      <c r="R809" s="43">
        <v>0</v>
      </c>
      <c r="S809" s="43">
        <v>0</v>
      </c>
      <c r="T809" s="43">
        <v>0</v>
      </c>
      <c r="U809" s="19"/>
      <c r="V809" s="13">
        <f t="shared" si="91"/>
        <v>21416.86</v>
      </c>
      <c r="W809" s="13"/>
      <c r="X809" s="13"/>
      <c r="Y809" s="13"/>
      <c r="Z809" s="13"/>
      <c r="AA809" s="22">
        <v>45658</v>
      </c>
      <c r="AB809" s="22" cm="1">
        <f t="array" ref="AB8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09" s="4"/>
      <c r="AD809" s="4"/>
      <c r="AE809" s="2"/>
      <c r="AF809" s="3"/>
      <c r="AG809" s="3"/>
      <c r="AH809" s="3"/>
      <c r="AI809" s="3"/>
      <c r="AJ809" s="2">
        <f t="shared" si="92"/>
        <v>0</v>
      </c>
      <c r="AK809" s="2">
        <f t="shared" si="93"/>
        <v>0</v>
      </c>
      <c r="AL809" s="2">
        <f t="shared" si="94"/>
        <v>0</v>
      </c>
      <c r="AM809" s="88"/>
      <c r="AN809" s="157" t="s">
        <v>774</v>
      </c>
    </row>
    <row r="810" spans="2:40" ht="23.15" customHeight="1" thickBot="1">
      <c r="B810" s="87"/>
      <c r="C810" s="2" t="s">
        <v>292</v>
      </c>
      <c r="D810" s="15" t="s">
        <v>20</v>
      </c>
      <c r="E810" s="20" t="s">
        <v>26</v>
      </c>
      <c r="F810" s="20" t="s">
        <v>70</v>
      </c>
      <c r="G810" s="11">
        <v>4</v>
      </c>
      <c r="H810" s="11">
        <v>4</v>
      </c>
      <c r="I810" s="18" t="s">
        <v>294</v>
      </c>
      <c r="J810" s="18" t="s">
        <v>294</v>
      </c>
      <c r="K810" s="19">
        <v>21416.86</v>
      </c>
      <c r="L810" s="41">
        <v>0</v>
      </c>
      <c r="M810" s="43" t="s">
        <v>294</v>
      </c>
      <c r="N810" s="41">
        <v>0</v>
      </c>
      <c r="O810" s="41" t="s">
        <v>294</v>
      </c>
      <c r="P810" s="41">
        <v>0</v>
      </c>
      <c r="Q810" s="43">
        <v>0</v>
      </c>
      <c r="R810" s="43">
        <v>0</v>
      </c>
      <c r="S810" s="43">
        <v>0</v>
      </c>
      <c r="T810" s="43">
        <v>0</v>
      </c>
      <c r="U810" s="19"/>
      <c r="V810" s="13">
        <f t="shared" si="91"/>
        <v>21416.86</v>
      </c>
      <c r="W810" s="13"/>
      <c r="X810" s="13"/>
      <c r="Y810" s="13"/>
      <c r="Z810" s="13"/>
      <c r="AA810" s="22">
        <v>45689</v>
      </c>
      <c r="AB810" s="22" cm="1">
        <f t="array" ref="AB8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10" s="4"/>
      <c r="AD810" s="4"/>
      <c r="AE810" s="2"/>
      <c r="AF810" s="3"/>
      <c r="AG810" s="3"/>
      <c r="AH810" s="3"/>
      <c r="AI810" s="3"/>
      <c r="AJ810" s="2">
        <f t="shared" si="92"/>
        <v>0</v>
      </c>
      <c r="AK810" s="2">
        <f t="shared" si="93"/>
        <v>0</v>
      </c>
      <c r="AL810" s="2">
        <f t="shared" si="94"/>
        <v>0</v>
      </c>
      <c r="AM810" s="88"/>
      <c r="AN810" s="157" t="s">
        <v>774</v>
      </c>
    </row>
    <row r="811" spans="2:40" ht="23.15" customHeight="1" thickBot="1">
      <c r="B811" s="87"/>
      <c r="C811" s="2" t="s">
        <v>292</v>
      </c>
      <c r="D811" s="15" t="s">
        <v>20</v>
      </c>
      <c r="E811" s="20" t="s">
        <v>26</v>
      </c>
      <c r="F811" s="20" t="s">
        <v>70</v>
      </c>
      <c r="G811" s="11">
        <v>4</v>
      </c>
      <c r="H811" s="11">
        <v>4</v>
      </c>
      <c r="I811" s="18" t="s">
        <v>294</v>
      </c>
      <c r="J811" s="18" t="s">
        <v>294</v>
      </c>
      <c r="K811" s="19">
        <v>21416.86</v>
      </c>
      <c r="L811" s="41">
        <v>0</v>
      </c>
      <c r="M811" s="43" t="s">
        <v>294</v>
      </c>
      <c r="N811" s="41">
        <v>0</v>
      </c>
      <c r="O811" s="41" t="s">
        <v>294</v>
      </c>
      <c r="P811" s="41">
        <v>0</v>
      </c>
      <c r="Q811" s="43">
        <v>0</v>
      </c>
      <c r="R811" s="43">
        <v>0</v>
      </c>
      <c r="S811" s="43">
        <v>0</v>
      </c>
      <c r="T811" s="43">
        <v>0</v>
      </c>
      <c r="U811" s="19"/>
      <c r="V811" s="13">
        <f t="shared" si="91"/>
        <v>21416.86</v>
      </c>
      <c r="W811" s="13"/>
      <c r="X811" s="13"/>
      <c r="Y811" s="13"/>
      <c r="Z811" s="13"/>
      <c r="AA811" s="22">
        <v>45717</v>
      </c>
      <c r="AB811" s="22" cm="1">
        <f t="array" ref="AB8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11" s="4"/>
      <c r="AD811" s="4"/>
      <c r="AE811" s="2"/>
      <c r="AF811" s="3"/>
      <c r="AG811" s="3"/>
      <c r="AH811" s="3"/>
      <c r="AI811" s="3"/>
      <c r="AJ811" s="2">
        <f t="shared" si="92"/>
        <v>0</v>
      </c>
      <c r="AK811" s="2">
        <f t="shared" si="93"/>
        <v>0</v>
      </c>
      <c r="AL811" s="2">
        <f t="shared" si="94"/>
        <v>0</v>
      </c>
      <c r="AM811" s="88"/>
      <c r="AN811" s="157" t="s">
        <v>774</v>
      </c>
    </row>
    <row r="812" spans="2:40" ht="23.15" customHeight="1" thickBot="1">
      <c r="B812" s="87"/>
      <c r="C812" s="2" t="s">
        <v>292</v>
      </c>
      <c r="D812" s="15" t="s">
        <v>20</v>
      </c>
      <c r="E812" s="20" t="s">
        <v>26</v>
      </c>
      <c r="F812" s="20" t="s">
        <v>70</v>
      </c>
      <c r="G812" s="11">
        <v>4</v>
      </c>
      <c r="H812" s="11">
        <v>4</v>
      </c>
      <c r="I812" s="18">
        <v>0</v>
      </c>
      <c r="J812" s="18">
        <v>0</v>
      </c>
      <c r="K812" s="19">
        <v>21416.86</v>
      </c>
      <c r="L812" s="41">
        <v>0</v>
      </c>
      <c r="M812" s="43">
        <v>0</v>
      </c>
      <c r="N812" s="41">
        <v>0</v>
      </c>
      <c r="O812" s="41">
        <v>0</v>
      </c>
      <c r="P812" s="41">
        <v>0</v>
      </c>
      <c r="Q812" s="43">
        <v>0</v>
      </c>
      <c r="R812" s="43">
        <v>0</v>
      </c>
      <c r="S812" s="43">
        <v>0</v>
      </c>
      <c r="T812" s="43">
        <v>0</v>
      </c>
      <c r="U812" s="19"/>
      <c r="V812" s="13">
        <f t="shared" si="91"/>
        <v>21416.86</v>
      </c>
      <c r="W812" s="13"/>
      <c r="X812" s="13"/>
      <c r="Y812" s="13"/>
      <c r="Z812" s="13"/>
      <c r="AA812" s="22">
        <v>45748</v>
      </c>
      <c r="AB812" s="22" cm="1">
        <f t="array" ref="AB8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12" s="4"/>
      <c r="AD812" s="4"/>
      <c r="AE812" s="2"/>
      <c r="AF812" s="3"/>
      <c r="AG812" s="3"/>
      <c r="AH812" s="3"/>
      <c r="AI812" s="3"/>
      <c r="AJ812" s="2">
        <f t="shared" si="92"/>
        <v>0</v>
      </c>
      <c r="AK812" s="2">
        <f t="shared" si="93"/>
        <v>0</v>
      </c>
      <c r="AL812" s="2">
        <f t="shared" si="94"/>
        <v>0</v>
      </c>
      <c r="AM812" s="88"/>
      <c r="AN812" s="157" t="s">
        <v>774</v>
      </c>
    </row>
    <row r="813" spans="2:40" ht="23.15" customHeight="1" thickBot="1">
      <c r="B813" s="87"/>
      <c r="C813" s="2" t="s">
        <v>292</v>
      </c>
      <c r="D813" s="15" t="s">
        <v>20</v>
      </c>
      <c r="E813" s="20" t="s">
        <v>26</v>
      </c>
      <c r="F813" s="20" t="s">
        <v>70</v>
      </c>
      <c r="G813" s="11">
        <v>4</v>
      </c>
      <c r="H813" s="11">
        <v>4</v>
      </c>
      <c r="I813" s="18">
        <v>0</v>
      </c>
      <c r="J813" s="41">
        <v>0</v>
      </c>
      <c r="K813" s="19">
        <v>21416.86</v>
      </c>
      <c r="L813" s="41">
        <v>0</v>
      </c>
      <c r="M813" s="43">
        <v>0</v>
      </c>
      <c r="N813" s="41">
        <v>0</v>
      </c>
      <c r="O813" s="41">
        <v>0</v>
      </c>
      <c r="P813" s="41">
        <v>0</v>
      </c>
      <c r="Q813" s="43">
        <v>0</v>
      </c>
      <c r="R813" s="43">
        <v>0</v>
      </c>
      <c r="S813" s="43">
        <v>0</v>
      </c>
      <c r="T813" s="43">
        <v>0</v>
      </c>
      <c r="U813" s="19"/>
      <c r="V813" s="13">
        <f t="shared" si="91"/>
        <v>21416.86</v>
      </c>
      <c r="W813" s="13"/>
      <c r="X813" s="13"/>
      <c r="Y813" s="13"/>
      <c r="Z813" s="13"/>
      <c r="AA813" s="22">
        <v>45778</v>
      </c>
      <c r="AB813" s="22" cm="1">
        <f t="array" ref="AB8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13" s="4"/>
      <c r="AD813" s="4"/>
      <c r="AE813" s="2"/>
      <c r="AF813" s="3"/>
      <c r="AG813" s="3"/>
      <c r="AH813" s="3"/>
      <c r="AI813" s="3"/>
      <c r="AJ813" s="2">
        <f t="shared" si="92"/>
        <v>0</v>
      </c>
      <c r="AK813" s="2">
        <f t="shared" si="93"/>
        <v>0</v>
      </c>
      <c r="AL813" s="2">
        <f t="shared" si="94"/>
        <v>0</v>
      </c>
      <c r="AM813" s="88"/>
      <c r="AN813" s="157" t="s">
        <v>774</v>
      </c>
    </row>
    <row r="814" spans="2:40" ht="23.15" customHeight="1" thickBot="1">
      <c r="B814" s="87"/>
      <c r="C814" s="2" t="s">
        <v>292</v>
      </c>
      <c r="D814" s="15" t="s">
        <v>20</v>
      </c>
      <c r="E814" s="20" t="s">
        <v>26</v>
      </c>
      <c r="F814" s="20" t="s">
        <v>70</v>
      </c>
      <c r="G814" s="11">
        <v>4</v>
      </c>
      <c r="H814" s="11">
        <v>4</v>
      </c>
      <c r="I814" s="41" t="s">
        <v>294</v>
      </c>
      <c r="J814" s="18" t="s">
        <v>294</v>
      </c>
      <c r="K814" s="19">
        <v>21416.86</v>
      </c>
      <c r="L814" s="41">
        <v>0</v>
      </c>
      <c r="M814" s="41" t="s">
        <v>294</v>
      </c>
      <c r="N814" s="41">
        <v>0</v>
      </c>
      <c r="O814" s="41" t="s">
        <v>294</v>
      </c>
      <c r="P814" s="41">
        <v>0</v>
      </c>
      <c r="Q814" s="43">
        <v>0</v>
      </c>
      <c r="R814" s="43">
        <v>0</v>
      </c>
      <c r="S814" s="43">
        <v>0</v>
      </c>
      <c r="T814" s="43">
        <v>0</v>
      </c>
      <c r="U814" s="19"/>
      <c r="V814" s="13">
        <f t="shared" si="91"/>
        <v>21416.86</v>
      </c>
      <c r="W814" s="13"/>
      <c r="X814" s="13"/>
      <c r="Y814" s="13"/>
      <c r="Z814" s="13"/>
      <c r="AA814" s="22">
        <v>45809</v>
      </c>
      <c r="AB814" s="22" cm="1">
        <f t="array" ref="AB8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14" s="4"/>
      <c r="AD814" s="4"/>
      <c r="AE814" s="2"/>
      <c r="AF814" s="3"/>
      <c r="AG814" s="3"/>
      <c r="AH814" s="3"/>
      <c r="AI814" s="3"/>
      <c r="AJ814" s="2">
        <f t="shared" si="92"/>
        <v>0</v>
      </c>
      <c r="AK814" s="2">
        <f t="shared" si="93"/>
        <v>0</v>
      </c>
      <c r="AL814" s="2">
        <f t="shared" si="94"/>
        <v>0</v>
      </c>
      <c r="AM814" s="88"/>
      <c r="AN814" s="157" t="s">
        <v>774</v>
      </c>
    </row>
    <row r="815" spans="2:40" ht="23.15" customHeight="1" thickBot="1">
      <c r="B815" s="87">
        <v>45889</v>
      </c>
      <c r="C815" s="2" t="s">
        <v>295</v>
      </c>
      <c r="D815" s="15" t="s">
        <v>20</v>
      </c>
      <c r="E815" s="29" t="s">
        <v>29</v>
      </c>
      <c r="F815" s="20" t="s">
        <v>38</v>
      </c>
      <c r="G815" s="11">
        <v>13</v>
      </c>
      <c r="H815" s="33">
        <v>10</v>
      </c>
      <c r="I815" s="18">
        <v>0</v>
      </c>
      <c r="J815" s="18">
        <v>0</v>
      </c>
      <c r="K815" s="19">
        <v>38870.649669843246</v>
      </c>
      <c r="L815" s="41">
        <v>0</v>
      </c>
      <c r="M815" s="41">
        <v>0</v>
      </c>
      <c r="N815" s="41">
        <v>0</v>
      </c>
      <c r="O815" s="41">
        <v>0</v>
      </c>
      <c r="P815" s="41">
        <v>0</v>
      </c>
      <c r="Q815" s="43">
        <v>0</v>
      </c>
      <c r="R815" s="43">
        <v>0</v>
      </c>
      <c r="S815" s="43">
        <v>0</v>
      </c>
      <c r="T815" s="43">
        <v>0</v>
      </c>
      <c r="U815" s="19" t="s">
        <v>295</v>
      </c>
      <c r="V815" s="13">
        <f t="shared" si="91"/>
        <v>38870.649669843246</v>
      </c>
      <c r="W815" s="13"/>
      <c r="X815" s="13"/>
      <c r="Y815" s="13"/>
      <c r="Z815" s="13"/>
      <c r="AA815" s="22">
        <v>45839</v>
      </c>
      <c r="AB815" s="22" cm="1">
        <f t="array" ref="AB8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15" s="4"/>
      <c r="AD815" s="12"/>
      <c r="AE815" s="2"/>
      <c r="AF815" s="3"/>
      <c r="AG815" s="3"/>
      <c r="AH815" s="3"/>
      <c r="AI815" s="3"/>
      <c r="AJ815" s="2">
        <f t="shared" si="92"/>
        <v>0</v>
      </c>
      <c r="AK815" s="2">
        <f t="shared" si="93"/>
        <v>0</v>
      </c>
      <c r="AL815" s="2">
        <f t="shared" si="94"/>
        <v>0</v>
      </c>
      <c r="AM815" s="88"/>
      <c r="AN815" s="157" t="s">
        <v>774</v>
      </c>
    </row>
    <row r="816" spans="2:40" ht="23.15" customHeight="1" thickBot="1">
      <c r="B816" s="87">
        <v>45695</v>
      </c>
      <c r="C816" s="26" t="s">
        <v>295</v>
      </c>
      <c r="D816" s="15" t="s">
        <v>20</v>
      </c>
      <c r="E816" s="32" t="s">
        <v>29</v>
      </c>
      <c r="F816" s="20" t="s">
        <v>38</v>
      </c>
      <c r="G816" s="11">
        <v>13</v>
      </c>
      <c r="H816" s="11">
        <v>10</v>
      </c>
      <c r="I816" s="18">
        <v>0</v>
      </c>
      <c r="J816" s="18">
        <v>0</v>
      </c>
      <c r="K816" s="19">
        <v>38786.980000000003</v>
      </c>
      <c r="L816" s="41">
        <v>0</v>
      </c>
      <c r="M816" s="41">
        <v>0</v>
      </c>
      <c r="N816" s="41">
        <v>0</v>
      </c>
      <c r="O816" s="41">
        <v>0</v>
      </c>
      <c r="P816" s="41">
        <v>0</v>
      </c>
      <c r="Q816" s="43">
        <v>0</v>
      </c>
      <c r="R816" s="43">
        <v>0</v>
      </c>
      <c r="S816" s="43">
        <v>0</v>
      </c>
      <c r="T816" s="43">
        <v>0</v>
      </c>
      <c r="U816" s="19" t="s">
        <v>295</v>
      </c>
      <c r="V816" s="13">
        <f t="shared" si="91"/>
        <v>38786.980000000003</v>
      </c>
      <c r="W816" s="13"/>
      <c r="X816" s="13"/>
      <c r="Y816" s="13"/>
      <c r="Z816" s="13"/>
      <c r="AA816" s="22">
        <v>45658</v>
      </c>
      <c r="AB816" s="22" cm="1">
        <f t="array" ref="AB8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16" s="27">
        <v>1347.81</v>
      </c>
      <c r="AD816" s="34">
        <v>1275.2737815390287</v>
      </c>
      <c r="AE816" s="28"/>
      <c r="AF816" s="3"/>
      <c r="AG816" s="3"/>
      <c r="AH816" s="3"/>
      <c r="AI816" s="3"/>
      <c r="AJ816" s="2">
        <f t="shared" si="92"/>
        <v>0</v>
      </c>
      <c r="AK816" s="2">
        <f t="shared" si="93"/>
        <v>72.536218460971213</v>
      </c>
      <c r="AL816" s="2">
        <f t="shared" si="94"/>
        <v>0</v>
      </c>
      <c r="AM816" s="88"/>
      <c r="AN816" s="157" t="s">
        <v>774</v>
      </c>
    </row>
    <row r="817" spans="2:40" ht="23.15" customHeight="1" thickBot="1">
      <c r="B817" s="87">
        <v>45723</v>
      </c>
      <c r="C817" s="2" t="s">
        <v>295</v>
      </c>
      <c r="D817" s="15" t="s">
        <v>20</v>
      </c>
      <c r="E817" s="20" t="s">
        <v>29</v>
      </c>
      <c r="F817" s="20" t="s">
        <v>38</v>
      </c>
      <c r="G817" s="11">
        <v>13</v>
      </c>
      <c r="H817" s="11">
        <v>10</v>
      </c>
      <c r="I817" s="18">
        <v>0</v>
      </c>
      <c r="J817" s="18">
        <v>0</v>
      </c>
      <c r="K817" s="19">
        <v>38786.980000000003</v>
      </c>
      <c r="L817" s="41">
        <v>0</v>
      </c>
      <c r="M817" s="41">
        <v>0</v>
      </c>
      <c r="N817" s="41">
        <v>0</v>
      </c>
      <c r="O817" s="41">
        <v>0</v>
      </c>
      <c r="P817" s="41">
        <v>0</v>
      </c>
      <c r="Q817" s="43">
        <v>0</v>
      </c>
      <c r="R817" s="43">
        <v>0</v>
      </c>
      <c r="S817" s="43">
        <v>0</v>
      </c>
      <c r="T817" s="43">
        <v>0</v>
      </c>
      <c r="U817" s="19" t="s">
        <v>295</v>
      </c>
      <c r="V817" s="13">
        <f t="shared" si="91"/>
        <v>38786.980000000003</v>
      </c>
      <c r="W817" s="13"/>
      <c r="X817" s="13"/>
      <c r="Y817" s="13"/>
      <c r="Z817" s="13"/>
      <c r="AA817" s="22">
        <v>45689</v>
      </c>
      <c r="AB817" s="22" cm="1">
        <f t="array" ref="AB8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17" s="13"/>
      <c r="AD817" s="13"/>
      <c r="AE817" s="2"/>
      <c r="AF817" s="3"/>
      <c r="AG817" s="3"/>
      <c r="AH817" s="3"/>
      <c r="AI817" s="3"/>
      <c r="AJ817" s="2">
        <f t="shared" si="92"/>
        <v>0</v>
      </c>
      <c r="AK817" s="2">
        <f t="shared" si="93"/>
        <v>0</v>
      </c>
      <c r="AL817" s="2">
        <f t="shared" si="94"/>
        <v>0</v>
      </c>
      <c r="AM817" s="88"/>
      <c r="AN817" s="157" t="s">
        <v>774</v>
      </c>
    </row>
    <row r="818" spans="2:40" ht="23.15" customHeight="1" thickBot="1">
      <c r="B818" s="87">
        <v>45748</v>
      </c>
      <c r="C818" s="2" t="s">
        <v>295</v>
      </c>
      <c r="D818" s="15" t="s">
        <v>20</v>
      </c>
      <c r="E818" s="20" t="s">
        <v>29</v>
      </c>
      <c r="F818" s="20" t="s">
        <v>38</v>
      </c>
      <c r="G818" s="11">
        <v>13</v>
      </c>
      <c r="H818" s="33">
        <v>10</v>
      </c>
      <c r="I818" s="18">
        <v>0</v>
      </c>
      <c r="J818" s="18">
        <v>0</v>
      </c>
      <c r="K818" s="19">
        <v>38786.980000000003</v>
      </c>
      <c r="L818" s="41">
        <v>0</v>
      </c>
      <c r="M818" s="43">
        <v>0</v>
      </c>
      <c r="N818" s="41">
        <v>0</v>
      </c>
      <c r="O818" s="41">
        <v>0</v>
      </c>
      <c r="P818" s="41">
        <v>0</v>
      </c>
      <c r="Q818" s="43">
        <v>0</v>
      </c>
      <c r="R818" s="43">
        <v>0</v>
      </c>
      <c r="S818" s="43">
        <v>0</v>
      </c>
      <c r="T818" s="43">
        <v>0</v>
      </c>
      <c r="U818" s="19" t="s">
        <v>295</v>
      </c>
      <c r="V818" s="13">
        <f t="shared" si="91"/>
        <v>38786.980000000003</v>
      </c>
      <c r="W818" s="13"/>
      <c r="X818" s="13"/>
      <c r="Y818" s="13"/>
      <c r="Z818" s="13"/>
      <c r="AA818" s="22">
        <v>45717</v>
      </c>
      <c r="AB818" s="22" cm="1">
        <f t="array" ref="AB8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18" s="4">
        <v>479.8</v>
      </c>
      <c r="AD818" s="4">
        <v>479.8</v>
      </c>
      <c r="AE818" s="2"/>
      <c r="AF818" s="3"/>
      <c r="AG818" s="3"/>
      <c r="AH818" s="3"/>
      <c r="AI818" s="3"/>
      <c r="AJ818" s="2">
        <f t="shared" si="92"/>
        <v>0</v>
      </c>
      <c r="AK818" s="2">
        <f t="shared" si="93"/>
        <v>0</v>
      </c>
      <c r="AL818" s="2">
        <f t="shared" si="94"/>
        <v>0</v>
      </c>
      <c r="AM818" s="88"/>
      <c r="AN818" s="157" t="s">
        <v>774</v>
      </c>
    </row>
    <row r="819" spans="2:40" ht="23.15" customHeight="1" thickBot="1">
      <c r="B819" s="87">
        <v>45784</v>
      </c>
      <c r="C819" s="2" t="s">
        <v>295</v>
      </c>
      <c r="D819" s="15" t="s">
        <v>20</v>
      </c>
      <c r="E819" s="20" t="s">
        <v>29</v>
      </c>
      <c r="F819" s="20" t="s">
        <v>38</v>
      </c>
      <c r="G819" s="11">
        <v>13</v>
      </c>
      <c r="H819" s="33">
        <v>10</v>
      </c>
      <c r="I819" s="18">
        <v>0</v>
      </c>
      <c r="J819" s="18">
        <v>0</v>
      </c>
      <c r="K819" s="19">
        <v>38786.980000000003</v>
      </c>
      <c r="L819" s="41">
        <v>0</v>
      </c>
      <c r="M819" s="43">
        <v>0</v>
      </c>
      <c r="N819" s="41">
        <v>0</v>
      </c>
      <c r="O819" s="41">
        <v>0</v>
      </c>
      <c r="P819" s="41">
        <v>0</v>
      </c>
      <c r="Q819" s="43">
        <v>0</v>
      </c>
      <c r="R819" s="43">
        <v>0</v>
      </c>
      <c r="S819" s="43">
        <v>0</v>
      </c>
      <c r="T819" s="43">
        <v>0</v>
      </c>
      <c r="U819" s="19" t="s">
        <v>295</v>
      </c>
      <c r="V819" s="13">
        <f t="shared" si="91"/>
        <v>38786.980000000003</v>
      </c>
      <c r="W819" s="13"/>
      <c r="X819" s="13"/>
      <c r="Y819" s="13"/>
      <c r="Z819" s="13"/>
      <c r="AA819" s="22">
        <v>45748</v>
      </c>
      <c r="AB819" s="22" cm="1">
        <f t="array" ref="AB8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19" s="4">
        <v>1513.62</v>
      </c>
      <c r="AD819" s="4">
        <v>1422.3489538469898</v>
      </c>
      <c r="AE819" s="2"/>
      <c r="AF819" s="3"/>
      <c r="AG819" s="3"/>
      <c r="AH819" s="3"/>
      <c r="AI819" s="3"/>
      <c r="AJ819" s="2">
        <f t="shared" si="92"/>
        <v>0</v>
      </c>
      <c r="AK819" s="2">
        <f t="shared" si="93"/>
        <v>91.271046153010047</v>
      </c>
      <c r="AL819" s="2">
        <f t="shared" si="94"/>
        <v>0</v>
      </c>
      <c r="AM819" s="88"/>
      <c r="AN819" s="157" t="s">
        <v>774</v>
      </c>
    </row>
    <row r="820" spans="2:40" ht="23.15" customHeight="1" thickBot="1">
      <c r="B820" s="87">
        <v>45817</v>
      </c>
      <c r="C820" s="2" t="s">
        <v>295</v>
      </c>
      <c r="D820" s="15" t="s">
        <v>20</v>
      </c>
      <c r="E820" s="20" t="s">
        <v>29</v>
      </c>
      <c r="F820" s="20" t="s">
        <v>38</v>
      </c>
      <c r="G820" s="11">
        <v>13</v>
      </c>
      <c r="H820" s="33">
        <v>10</v>
      </c>
      <c r="I820" s="18">
        <v>0</v>
      </c>
      <c r="J820" s="18">
        <v>0</v>
      </c>
      <c r="K820" s="19">
        <v>38786.980000000003</v>
      </c>
      <c r="L820" s="41">
        <v>0</v>
      </c>
      <c r="M820" s="41">
        <v>0</v>
      </c>
      <c r="N820" s="41">
        <v>0</v>
      </c>
      <c r="O820" s="41">
        <v>0</v>
      </c>
      <c r="P820" s="41">
        <v>0</v>
      </c>
      <c r="Q820" s="43">
        <v>0</v>
      </c>
      <c r="R820" s="43">
        <v>0</v>
      </c>
      <c r="S820" s="43">
        <v>0</v>
      </c>
      <c r="T820" s="43">
        <v>0</v>
      </c>
      <c r="U820" s="19" t="s">
        <v>295</v>
      </c>
      <c r="V820" s="13">
        <f t="shared" si="91"/>
        <v>38786.980000000003</v>
      </c>
      <c r="W820" s="13"/>
      <c r="X820" s="13"/>
      <c r="Y820" s="13"/>
      <c r="Z820" s="13"/>
      <c r="AA820" s="22">
        <v>45778</v>
      </c>
      <c r="AB820" s="22" cm="1">
        <f t="array" ref="AB8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20" s="4">
        <v>1126.6099999999999</v>
      </c>
      <c r="AD820" s="4">
        <v>1067.02</v>
      </c>
      <c r="AE820" s="2"/>
      <c r="AF820" s="3"/>
      <c r="AG820" s="3"/>
      <c r="AH820" s="3"/>
      <c r="AI820" s="3"/>
      <c r="AJ820" s="2">
        <f t="shared" si="92"/>
        <v>0</v>
      </c>
      <c r="AK820" s="2">
        <f t="shared" si="93"/>
        <v>59.589999999999918</v>
      </c>
      <c r="AL820" s="2">
        <f t="shared" si="94"/>
        <v>0</v>
      </c>
      <c r="AM820" s="88"/>
      <c r="AN820" s="157" t="s">
        <v>774</v>
      </c>
    </row>
    <row r="821" spans="2:40" ht="23.15" customHeight="1" thickBot="1">
      <c r="B821" s="87">
        <v>45847</v>
      </c>
      <c r="C821" s="2" t="s">
        <v>295</v>
      </c>
      <c r="D821" s="15" t="s">
        <v>20</v>
      </c>
      <c r="E821" s="20" t="s">
        <v>29</v>
      </c>
      <c r="F821" s="20" t="s">
        <v>38</v>
      </c>
      <c r="G821" s="11">
        <v>13</v>
      </c>
      <c r="H821" s="33">
        <v>10</v>
      </c>
      <c r="I821" s="18">
        <v>0</v>
      </c>
      <c r="J821" s="18">
        <v>0</v>
      </c>
      <c r="K821" s="19">
        <v>38870.649669843246</v>
      </c>
      <c r="L821" s="41">
        <v>0</v>
      </c>
      <c r="M821" s="41">
        <v>0</v>
      </c>
      <c r="N821" s="41">
        <v>0</v>
      </c>
      <c r="O821" s="41">
        <v>0</v>
      </c>
      <c r="P821" s="41">
        <v>0</v>
      </c>
      <c r="Q821" s="41">
        <v>0</v>
      </c>
      <c r="R821" s="41">
        <v>0</v>
      </c>
      <c r="S821" s="41">
        <v>0</v>
      </c>
      <c r="T821" s="41">
        <v>0</v>
      </c>
      <c r="U821" s="19" t="s">
        <v>295</v>
      </c>
      <c r="V821" s="13">
        <f t="shared" si="91"/>
        <v>38870.649669843246</v>
      </c>
      <c r="W821" s="13"/>
      <c r="X821" s="13"/>
      <c r="Y821" s="13"/>
      <c r="Z821" s="13"/>
      <c r="AA821" s="22">
        <v>45809</v>
      </c>
      <c r="AB821" s="22" cm="1">
        <f t="array" ref="AB8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21" s="4">
        <v>2280.46</v>
      </c>
      <c r="AD821" s="4">
        <v>2228.0894972918459</v>
      </c>
      <c r="AE821" s="2"/>
      <c r="AF821" s="3"/>
      <c r="AG821" s="3"/>
      <c r="AH821" s="3"/>
      <c r="AI821" s="3"/>
      <c r="AJ821" s="2">
        <f t="shared" si="92"/>
        <v>0</v>
      </c>
      <c r="AK821" s="2">
        <f t="shared" si="93"/>
        <v>52.370502708154163</v>
      </c>
      <c r="AL821" s="2">
        <f t="shared" si="94"/>
        <v>0</v>
      </c>
      <c r="AM821" s="88"/>
      <c r="AN821" s="157" t="s">
        <v>774</v>
      </c>
    </row>
    <row r="822" spans="2:40" ht="23.15" customHeight="1" thickBot="1">
      <c r="B822" s="87">
        <v>45870</v>
      </c>
      <c r="C822" s="2" t="s">
        <v>295</v>
      </c>
      <c r="D822" s="15" t="s">
        <v>20</v>
      </c>
      <c r="E822" s="20" t="s">
        <v>28</v>
      </c>
      <c r="F822" s="20" t="s">
        <v>37</v>
      </c>
      <c r="G822" s="11">
        <v>12</v>
      </c>
      <c r="H822" s="33">
        <v>12</v>
      </c>
      <c r="I822" s="18">
        <v>0</v>
      </c>
      <c r="J822" s="18">
        <v>0</v>
      </c>
      <c r="K822" s="19">
        <v>72737.55</v>
      </c>
      <c r="L822" s="41">
        <v>0</v>
      </c>
      <c r="M822" s="41">
        <v>0</v>
      </c>
      <c r="N822" s="41">
        <v>0</v>
      </c>
      <c r="O822" s="41">
        <v>0</v>
      </c>
      <c r="P822" s="41">
        <v>0</v>
      </c>
      <c r="Q822" s="43">
        <v>0</v>
      </c>
      <c r="R822" s="43">
        <v>0</v>
      </c>
      <c r="S822" s="43">
        <v>0</v>
      </c>
      <c r="T822" s="43">
        <v>0</v>
      </c>
      <c r="U822" s="19" t="s">
        <v>292</v>
      </c>
      <c r="V822" s="13">
        <f t="shared" si="91"/>
        <v>72737.55</v>
      </c>
      <c r="W822" s="13"/>
      <c r="X822" s="13"/>
      <c r="Y822" s="13"/>
      <c r="Z822" s="13"/>
      <c r="AA822" s="22">
        <v>45839</v>
      </c>
      <c r="AB822" s="22" cm="1">
        <f t="array" ref="AB8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22" s="4"/>
      <c r="AD822" s="4"/>
      <c r="AE822" s="2"/>
      <c r="AF822" s="3"/>
      <c r="AG822" s="3"/>
      <c r="AH822" s="3"/>
      <c r="AI822" s="3"/>
      <c r="AJ822" s="2">
        <f t="shared" si="92"/>
        <v>0</v>
      </c>
      <c r="AK822" s="2">
        <f t="shared" si="93"/>
        <v>0</v>
      </c>
      <c r="AL822" s="2">
        <f t="shared" si="94"/>
        <v>0</v>
      </c>
      <c r="AM822" s="88"/>
      <c r="AN822" s="157" t="s">
        <v>774</v>
      </c>
    </row>
    <row r="823" spans="2:40" ht="23.15" customHeight="1" thickBot="1">
      <c r="B823" s="87"/>
      <c r="C823" s="2"/>
      <c r="D823" s="15" t="s">
        <v>20</v>
      </c>
      <c r="E823" s="20" t="s">
        <v>28</v>
      </c>
      <c r="F823" s="20" t="s">
        <v>37</v>
      </c>
      <c r="G823" s="11">
        <v>12</v>
      </c>
      <c r="H823" s="33"/>
      <c r="I823" s="18" t="s">
        <v>294</v>
      </c>
      <c r="J823" s="18" t="s">
        <v>294</v>
      </c>
      <c r="K823" s="19">
        <v>76946.511608279514</v>
      </c>
      <c r="L823" s="41"/>
      <c r="M823" s="41" t="s">
        <v>294</v>
      </c>
      <c r="N823" s="41"/>
      <c r="O823" s="41" t="s">
        <v>294</v>
      </c>
      <c r="P823" s="41" t="s">
        <v>301</v>
      </c>
      <c r="Q823" s="43"/>
      <c r="R823" s="43"/>
      <c r="S823" s="43"/>
      <c r="T823" s="43"/>
      <c r="U823" s="19"/>
      <c r="V823" s="13">
        <f t="shared" si="91"/>
        <v>76946.511608279514</v>
      </c>
      <c r="W823" s="13"/>
      <c r="X823" s="13"/>
      <c r="Y823" s="13"/>
      <c r="Z823" s="13"/>
      <c r="AA823" s="22">
        <v>45931</v>
      </c>
      <c r="AB823" s="22" cm="1">
        <f t="array" ref="AB8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23" s="4"/>
      <c r="AD823" s="4"/>
      <c r="AE823" s="2"/>
      <c r="AF823" s="3"/>
      <c r="AG823" s="3"/>
      <c r="AH823" s="3"/>
      <c r="AI823" s="3"/>
      <c r="AJ823" s="2">
        <f t="shared" si="92"/>
        <v>0</v>
      </c>
      <c r="AK823" s="2">
        <f t="shared" si="93"/>
        <v>0</v>
      </c>
      <c r="AL823" s="2">
        <f t="shared" si="94"/>
        <v>0</v>
      </c>
      <c r="AM823" s="88"/>
      <c r="AN823" s="157" t="s">
        <v>774</v>
      </c>
    </row>
    <row r="824" spans="2:40" ht="23.15" customHeight="1" thickBot="1">
      <c r="B824" s="87">
        <v>45666</v>
      </c>
      <c r="C824" s="2" t="s">
        <v>295</v>
      </c>
      <c r="D824" s="15" t="s">
        <v>20</v>
      </c>
      <c r="E824" s="20" t="s">
        <v>35</v>
      </c>
      <c r="F824" s="20" t="s">
        <v>40</v>
      </c>
      <c r="G824" s="11">
        <v>12</v>
      </c>
      <c r="H824" s="11">
        <v>12</v>
      </c>
      <c r="I824" s="18">
        <v>0</v>
      </c>
      <c r="J824" s="18">
        <v>0</v>
      </c>
      <c r="K824" s="19">
        <v>67538.308846225031</v>
      </c>
      <c r="L824" s="41">
        <v>0</v>
      </c>
      <c r="M824" s="41">
        <v>0</v>
      </c>
      <c r="N824" s="41">
        <v>0</v>
      </c>
      <c r="O824" s="41">
        <v>0</v>
      </c>
      <c r="P824" s="41">
        <v>0</v>
      </c>
      <c r="Q824" s="43">
        <v>0</v>
      </c>
      <c r="R824" s="43">
        <v>0</v>
      </c>
      <c r="S824" s="43">
        <v>0</v>
      </c>
      <c r="T824" s="43">
        <v>0</v>
      </c>
      <c r="U824" s="19" t="s">
        <v>295</v>
      </c>
      <c r="V824" s="13">
        <f t="shared" si="91"/>
        <v>67538.308846225031</v>
      </c>
      <c r="W824" s="13"/>
      <c r="X824" s="13"/>
      <c r="Y824" s="13"/>
      <c r="Z824" s="13"/>
      <c r="AA824" s="22">
        <v>45658</v>
      </c>
      <c r="AB824" s="22" cm="1">
        <f t="array" ref="AB8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24" s="4"/>
      <c r="AD824" s="4"/>
      <c r="AE824" s="2"/>
      <c r="AF824" s="3"/>
      <c r="AG824" s="3"/>
      <c r="AH824" s="3"/>
      <c r="AI824" s="3"/>
      <c r="AJ824" s="2">
        <f t="shared" si="92"/>
        <v>0</v>
      </c>
      <c r="AK824" s="2">
        <f t="shared" si="93"/>
        <v>0</v>
      </c>
      <c r="AL824" s="2">
        <f t="shared" si="94"/>
        <v>0</v>
      </c>
      <c r="AM824" s="88"/>
      <c r="AN824" s="157" t="s">
        <v>774</v>
      </c>
    </row>
    <row r="825" spans="2:40" ht="23.15" customHeight="1" thickBot="1">
      <c r="B825" s="87">
        <v>45694</v>
      </c>
      <c r="C825" s="2" t="s">
        <v>295</v>
      </c>
      <c r="D825" s="15" t="s">
        <v>20</v>
      </c>
      <c r="E825" s="20" t="s">
        <v>28</v>
      </c>
      <c r="F825" s="20" t="s">
        <v>37</v>
      </c>
      <c r="G825" s="11">
        <v>12</v>
      </c>
      <c r="H825" s="11">
        <v>12</v>
      </c>
      <c r="I825" s="18">
        <v>0</v>
      </c>
      <c r="J825" s="18">
        <v>0</v>
      </c>
      <c r="K825" s="19">
        <v>72737.55</v>
      </c>
      <c r="L825" s="41">
        <v>0</v>
      </c>
      <c r="M825" s="41">
        <v>0</v>
      </c>
      <c r="N825" s="41">
        <v>0</v>
      </c>
      <c r="O825" s="41">
        <v>0</v>
      </c>
      <c r="P825" s="41">
        <v>0</v>
      </c>
      <c r="Q825" s="43">
        <v>0</v>
      </c>
      <c r="R825" s="43">
        <v>0</v>
      </c>
      <c r="S825" s="43">
        <v>0</v>
      </c>
      <c r="T825" s="43">
        <v>0</v>
      </c>
      <c r="U825" s="19"/>
      <c r="V825" s="13">
        <f t="shared" si="91"/>
        <v>72737.55</v>
      </c>
      <c r="W825" s="13"/>
      <c r="X825" s="13"/>
      <c r="Y825" s="13"/>
      <c r="Z825" s="13"/>
      <c r="AA825" s="22">
        <v>45658</v>
      </c>
      <c r="AB825" s="22" cm="1">
        <f t="array" ref="AB8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25" s="4"/>
      <c r="AD825" s="4"/>
      <c r="AE825" s="2"/>
      <c r="AF825" s="3"/>
      <c r="AG825" s="3"/>
      <c r="AH825" s="3"/>
      <c r="AI825" s="3"/>
      <c r="AJ825" s="2">
        <f t="shared" si="92"/>
        <v>0</v>
      </c>
      <c r="AK825" s="2">
        <f t="shared" si="93"/>
        <v>0</v>
      </c>
      <c r="AL825" s="2">
        <f t="shared" si="94"/>
        <v>0</v>
      </c>
      <c r="AM825" s="88"/>
      <c r="AN825" s="157" t="s">
        <v>774</v>
      </c>
    </row>
    <row r="826" spans="2:40" ht="23.15" customHeight="1" thickBot="1">
      <c r="B826" s="87">
        <v>45715</v>
      </c>
      <c r="C826" s="2" t="s">
        <v>295</v>
      </c>
      <c r="D826" s="15" t="s">
        <v>20</v>
      </c>
      <c r="E826" s="20" t="s">
        <v>28</v>
      </c>
      <c r="F826" s="20" t="s">
        <v>37</v>
      </c>
      <c r="G826" s="11">
        <v>12</v>
      </c>
      <c r="H826" s="11">
        <v>12</v>
      </c>
      <c r="I826" s="18">
        <v>0</v>
      </c>
      <c r="J826" s="18">
        <v>0</v>
      </c>
      <c r="K826" s="19">
        <v>72737.55</v>
      </c>
      <c r="L826" s="41">
        <v>0</v>
      </c>
      <c r="M826" s="41">
        <v>0</v>
      </c>
      <c r="N826" s="41">
        <v>0</v>
      </c>
      <c r="O826" s="41">
        <v>0</v>
      </c>
      <c r="P826" s="41">
        <v>0</v>
      </c>
      <c r="Q826" s="41">
        <v>0</v>
      </c>
      <c r="R826" s="41">
        <v>0</v>
      </c>
      <c r="S826" s="41">
        <v>0</v>
      </c>
      <c r="T826" s="41">
        <v>0</v>
      </c>
      <c r="U826" s="19"/>
      <c r="V826" s="13">
        <f t="shared" si="91"/>
        <v>72737.55</v>
      </c>
      <c r="W826" s="13"/>
      <c r="X826" s="13"/>
      <c r="Y826" s="13"/>
      <c r="Z826" s="13"/>
      <c r="AA826" s="22">
        <v>45689</v>
      </c>
      <c r="AB826" s="22" cm="1">
        <f t="array" ref="AB8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26" s="4"/>
      <c r="AD826" s="4"/>
      <c r="AE826" s="2"/>
      <c r="AF826" s="3"/>
      <c r="AG826" s="3"/>
      <c r="AH826" s="3"/>
      <c r="AI826" s="3"/>
      <c r="AJ826" s="2">
        <f t="shared" si="92"/>
        <v>0</v>
      </c>
      <c r="AK826" s="2">
        <f t="shared" si="93"/>
        <v>0</v>
      </c>
      <c r="AL826" s="2">
        <f t="shared" si="94"/>
        <v>0</v>
      </c>
      <c r="AM826" s="88"/>
      <c r="AN826" s="157" t="s">
        <v>774</v>
      </c>
    </row>
    <row r="827" spans="2:40" ht="23.15" customHeight="1" thickBot="1">
      <c r="B827" s="87"/>
      <c r="C827" s="2" t="s">
        <v>292</v>
      </c>
      <c r="D827" s="15" t="s">
        <v>20</v>
      </c>
      <c r="E827" s="20" t="s">
        <v>28</v>
      </c>
      <c r="F827" s="20" t="s">
        <v>37</v>
      </c>
      <c r="G827" s="11">
        <v>12</v>
      </c>
      <c r="H827" s="11">
        <v>12</v>
      </c>
      <c r="I827" s="18" t="s">
        <v>294</v>
      </c>
      <c r="J827" s="18" t="s">
        <v>294</v>
      </c>
      <c r="K827" s="19">
        <v>72737.55</v>
      </c>
      <c r="L827" s="41">
        <v>0</v>
      </c>
      <c r="M827" s="41" t="s">
        <v>294</v>
      </c>
      <c r="N827" s="41">
        <v>0</v>
      </c>
      <c r="O827" s="41" t="s">
        <v>294</v>
      </c>
      <c r="P827" s="41">
        <v>0</v>
      </c>
      <c r="Q827" s="43">
        <v>0</v>
      </c>
      <c r="R827" s="43">
        <v>0</v>
      </c>
      <c r="S827" s="43">
        <v>0</v>
      </c>
      <c r="T827" s="43">
        <v>0</v>
      </c>
      <c r="U827" s="19"/>
      <c r="V827" s="13">
        <f t="shared" si="91"/>
        <v>72737.55</v>
      </c>
      <c r="W827" s="13"/>
      <c r="X827" s="13"/>
      <c r="Y827" s="13"/>
      <c r="Z827" s="13"/>
      <c r="AA827" s="22">
        <v>45717</v>
      </c>
      <c r="AB827" s="22" cm="1">
        <f t="array" ref="AB8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27" s="4"/>
      <c r="AD827" s="4"/>
      <c r="AE827" s="2"/>
      <c r="AF827" s="3"/>
      <c r="AG827" s="3"/>
      <c r="AH827" s="3"/>
      <c r="AI827" s="3"/>
      <c r="AJ827" s="2">
        <f t="shared" si="92"/>
        <v>0</v>
      </c>
      <c r="AK827" s="2">
        <f t="shared" si="93"/>
        <v>0</v>
      </c>
      <c r="AL827" s="2">
        <f t="shared" si="94"/>
        <v>0</v>
      </c>
      <c r="AM827" s="88"/>
      <c r="AN827" s="157" t="s">
        <v>774</v>
      </c>
    </row>
    <row r="828" spans="2:40" ht="23.15" customHeight="1" thickBot="1">
      <c r="B828" s="87">
        <v>45779</v>
      </c>
      <c r="C828" s="2" t="s">
        <v>295</v>
      </c>
      <c r="D828" s="15" t="s">
        <v>20</v>
      </c>
      <c r="E828" s="20" t="s">
        <v>28</v>
      </c>
      <c r="F828" s="20" t="s">
        <v>37</v>
      </c>
      <c r="G828" s="11">
        <v>12</v>
      </c>
      <c r="H828" s="11">
        <v>12</v>
      </c>
      <c r="I828" s="18">
        <v>0</v>
      </c>
      <c r="J828" s="18">
        <v>0</v>
      </c>
      <c r="K828" s="19">
        <v>72737.55</v>
      </c>
      <c r="L828" s="41">
        <v>0</v>
      </c>
      <c r="M828" s="41">
        <v>0</v>
      </c>
      <c r="N828" s="41">
        <v>0</v>
      </c>
      <c r="O828" s="41">
        <v>0</v>
      </c>
      <c r="P828" s="41">
        <v>0</v>
      </c>
      <c r="Q828" s="43">
        <v>0</v>
      </c>
      <c r="R828" s="43">
        <v>0</v>
      </c>
      <c r="S828" s="43">
        <v>0</v>
      </c>
      <c r="T828" s="43">
        <v>0</v>
      </c>
      <c r="U828" s="19"/>
      <c r="V828" s="13">
        <f t="shared" si="91"/>
        <v>72737.55</v>
      </c>
      <c r="W828" s="13"/>
      <c r="X828" s="13"/>
      <c r="Y828" s="13"/>
      <c r="Z828" s="13"/>
      <c r="AA828" s="22">
        <v>45748</v>
      </c>
      <c r="AB828" s="22" cm="1">
        <f t="array" ref="AB8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28" s="4"/>
      <c r="AD828" s="4"/>
      <c r="AE828" s="2"/>
      <c r="AF828" s="3"/>
      <c r="AG828" s="3"/>
      <c r="AH828" s="3"/>
      <c r="AI828" s="3"/>
      <c r="AJ828" s="2">
        <f t="shared" si="92"/>
        <v>0</v>
      </c>
      <c r="AK828" s="2">
        <f t="shared" si="93"/>
        <v>0</v>
      </c>
      <c r="AL828" s="2">
        <f t="shared" si="94"/>
        <v>0</v>
      </c>
      <c r="AM828" s="88"/>
      <c r="AN828" s="157" t="s">
        <v>774</v>
      </c>
    </row>
    <row r="829" spans="2:40" ht="23.15" customHeight="1" thickBot="1">
      <c r="B829" s="87"/>
      <c r="C829" s="2" t="s">
        <v>292</v>
      </c>
      <c r="D829" s="15" t="s">
        <v>20</v>
      </c>
      <c r="E829" s="20" t="s">
        <v>28</v>
      </c>
      <c r="F829" s="20" t="s">
        <v>37</v>
      </c>
      <c r="G829" s="11">
        <v>12</v>
      </c>
      <c r="H829" s="11">
        <v>12</v>
      </c>
      <c r="I829" s="18" t="s">
        <v>294</v>
      </c>
      <c r="J829" s="18" t="s">
        <v>294</v>
      </c>
      <c r="K829" s="19">
        <v>72737.55</v>
      </c>
      <c r="L829" s="41">
        <v>0</v>
      </c>
      <c r="M829" s="41" t="s">
        <v>294</v>
      </c>
      <c r="N829" s="41">
        <v>0</v>
      </c>
      <c r="O829" s="41" t="s">
        <v>294</v>
      </c>
      <c r="P829" s="41">
        <v>0</v>
      </c>
      <c r="Q829" s="43">
        <v>0</v>
      </c>
      <c r="R829" s="43">
        <v>0</v>
      </c>
      <c r="S829" s="43">
        <v>0</v>
      </c>
      <c r="T829" s="43">
        <v>0</v>
      </c>
      <c r="U829" s="19"/>
      <c r="V829" s="13">
        <f t="shared" si="91"/>
        <v>72737.55</v>
      </c>
      <c r="W829" s="13"/>
      <c r="X829" s="13"/>
      <c r="Y829" s="13"/>
      <c r="Z829" s="13"/>
      <c r="AA829" s="22">
        <v>45778</v>
      </c>
      <c r="AB829" s="22" cm="1">
        <f t="array" ref="AB8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29" s="4"/>
      <c r="AD829" s="4"/>
      <c r="AE829" s="2"/>
      <c r="AF829" s="3"/>
      <c r="AG829" s="3"/>
      <c r="AH829" s="3"/>
      <c r="AI829" s="3"/>
      <c r="AJ829" s="2">
        <f t="shared" si="92"/>
        <v>0</v>
      </c>
      <c r="AK829" s="2">
        <f t="shared" si="93"/>
        <v>0</v>
      </c>
      <c r="AL829" s="2">
        <f t="shared" si="94"/>
        <v>0</v>
      </c>
      <c r="AM829" s="88"/>
      <c r="AN829" s="157" t="s">
        <v>774</v>
      </c>
    </row>
    <row r="830" spans="2:40" ht="23.15" customHeight="1" thickBot="1">
      <c r="B830" s="87">
        <v>45842</v>
      </c>
      <c r="C830" s="2" t="s">
        <v>295</v>
      </c>
      <c r="D830" s="15" t="s">
        <v>20</v>
      </c>
      <c r="E830" s="20" t="s">
        <v>28</v>
      </c>
      <c r="F830" s="20" t="s">
        <v>37</v>
      </c>
      <c r="G830" s="11">
        <v>12</v>
      </c>
      <c r="H830" s="33">
        <v>12</v>
      </c>
      <c r="I830" s="18">
        <v>0</v>
      </c>
      <c r="J830" s="18">
        <v>0</v>
      </c>
      <c r="K830" s="19">
        <v>72737.55</v>
      </c>
      <c r="L830" s="41">
        <v>0</v>
      </c>
      <c r="M830" s="41">
        <v>0</v>
      </c>
      <c r="N830" s="41">
        <v>0</v>
      </c>
      <c r="O830" s="41">
        <v>0</v>
      </c>
      <c r="P830" s="41">
        <v>0</v>
      </c>
      <c r="Q830" s="43">
        <v>0</v>
      </c>
      <c r="R830" s="43">
        <v>0</v>
      </c>
      <c r="S830" s="43">
        <v>0</v>
      </c>
      <c r="T830" s="43">
        <v>0</v>
      </c>
      <c r="U830" s="19" t="s">
        <v>295</v>
      </c>
      <c r="V830" s="13">
        <f t="shared" si="91"/>
        <v>72737.55</v>
      </c>
      <c r="W830" s="13"/>
      <c r="X830" s="13"/>
      <c r="Y830" s="13"/>
      <c r="Z830" s="13"/>
      <c r="AA830" s="22">
        <v>45809</v>
      </c>
      <c r="AB830" s="22" cm="1">
        <f t="array" ref="AB8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30" s="4"/>
      <c r="AD830" s="4"/>
      <c r="AE830" s="2"/>
      <c r="AF830" s="3"/>
      <c r="AG830" s="3"/>
      <c r="AH830" s="3"/>
      <c r="AI830" s="3"/>
      <c r="AJ830" s="2">
        <f t="shared" si="92"/>
        <v>0</v>
      </c>
      <c r="AK830" s="2">
        <f t="shared" si="93"/>
        <v>0</v>
      </c>
      <c r="AL830" s="2">
        <f t="shared" si="94"/>
        <v>0</v>
      </c>
      <c r="AM830" s="88"/>
      <c r="AN830" s="157" t="s">
        <v>774</v>
      </c>
    </row>
    <row r="831" spans="2:40" ht="23.15" customHeight="1" thickBot="1">
      <c r="B831" s="87">
        <v>45875</v>
      </c>
      <c r="C831" s="2" t="s">
        <v>295</v>
      </c>
      <c r="D831" s="15" t="s">
        <v>20</v>
      </c>
      <c r="E831" s="20" t="s">
        <v>35</v>
      </c>
      <c r="F831" s="20" t="s">
        <v>40</v>
      </c>
      <c r="G831" s="11">
        <v>12</v>
      </c>
      <c r="H831" s="11">
        <v>14</v>
      </c>
      <c r="I831" s="18">
        <v>0</v>
      </c>
      <c r="J831" s="18">
        <v>0</v>
      </c>
      <c r="K831" s="19">
        <v>84130</v>
      </c>
      <c r="L831" s="41">
        <v>0</v>
      </c>
      <c r="M831" s="41">
        <v>0</v>
      </c>
      <c r="N831" s="41">
        <v>0</v>
      </c>
      <c r="O831" s="41">
        <v>0</v>
      </c>
      <c r="P831" s="41">
        <v>0</v>
      </c>
      <c r="Q831" s="43">
        <v>0</v>
      </c>
      <c r="R831" s="43">
        <v>0</v>
      </c>
      <c r="S831" s="43">
        <v>0</v>
      </c>
      <c r="T831" s="43">
        <v>0</v>
      </c>
      <c r="U831" s="19" t="s">
        <v>295</v>
      </c>
      <c r="V831" s="13">
        <f t="shared" si="91"/>
        <v>84130</v>
      </c>
      <c r="W831" s="13"/>
      <c r="X831" s="13"/>
      <c r="Y831" s="13"/>
      <c r="Z831" s="13"/>
      <c r="AA831" s="22">
        <v>45839</v>
      </c>
      <c r="AB831" s="22" cm="1">
        <f t="array" ref="AB8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31" s="4"/>
      <c r="AD831" s="4"/>
      <c r="AE831" s="2"/>
      <c r="AF831" s="3"/>
      <c r="AG831" s="3"/>
      <c r="AH831" s="3"/>
      <c r="AI831" s="3"/>
      <c r="AJ831" s="2">
        <f t="shared" si="92"/>
        <v>0</v>
      </c>
      <c r="AK831" s="2">
        <f t="shared" si="93"/>
        <v>0</v>
      </c>
      <c r="AL831" s="2">
        <f t="shared" si="94"/>
        <v>0</v>
      </c>
      <c r="AM831" s="88"/>
      <c r="AN831" s="157" t="s">
        <v>774</v>
      </c>
    </row>
    <row r="832" spans="2:40" ht="23.15" customHeight="1" thickBot="1">
      <c r="B832" s="87"/>
      <c r="C832" s="2" t="s">
        <v>292</v>
      </c>
      <c r="D832" s="15" t="s">
        <v>20</v>
      </c>
      <c r="E832" s="20" t="s">
        <v>29</v>
      </c>
      <c r="F832" s="20" t="s">
        <v>38</v>
      </c>
      <c r="G832" s="11">
        <v>13</v>
      </c>
      <c r="H832" s="33">
        <v>10</v>
      </c>
      <c r="I832" s="18">
        <v>0</v>
      </c>
      <c r="J832" s="18">
        <v>0</v>
      </c>
      <c r="K832" s="19">
        <v>40622.751531074253</v>
      </c>
      <c r="L832" s="41">
        <v>0</v>
      </c>
      <c r="M832" s="41">
        <v>0</v>
      </c>
      <c r="N832" s="41">
        <v>0</v>
      </c>
      <c r="O832" s="41">
        <v>0</v>
      </c>
      <c r="P832" s="41">
        <v>0</v>
      </c>
      <c r="Q832" s="43">
        <v>0</v>
      </c>
      <c r="R832" s="43">
        <v>0</v>
      </c>
      <c r="S832" s="43">
        <v>0</v>
      </c>
      <c r="T832" s="43">
        <v>0</v>
      </c>
      <c r="U832" s="19" t="s">
        <v>295</v>
      </c>
      <c r="V832" s="13">
        <f t="shared" si="91"/>
        <v>40622.751531074253</v>
      </c>
      <c r="W832" s="13"/>
      <c r="X832" s="13"/>
      <c r="Y832" s="13"/>
      <c r="Z832" s="13"/>
      <c r="AA832" s="22">
        <v>45870</v>
      </c>
      <c r="AB832" s="22" cm="1">
        <f t="array" ref="AB8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32" s="4">
        <v>727.17860000000007</v>
      </c>
      <c r="AD832" s="4">
        <v>726.26</v>
      </c>
      <c r="AE832" s="4"/>
      <c r="AF832" s="3"/>
      <c r="AG832" s="3"/>
      <c r="AH832" s="3"/>
      <c r="AI832" s="3"/>
      <c r="AJ832" s="2">
        <f t="shared" si="92"/>
        <v>0</v>
      </c>
      <c r="AK832" s="2">
        <f t="shared" si="93"/>
        <v>0.91860000000008313</v>
      </c>
      <c r="AL832" s="2">
        <f t="shared" si="94"/>
        <v>0</v>
      </c>
      <c r="AM832" s="88"/>
      <c r="AN832" s="157" t="s">
        <v>774</v>
      </c>
    </row>
    <row r="833" spans="2:40" ht="23.15" customHeight="1" thickBot="1">
      <c r="B833" s="87">
        <v>45722</v>
      </c>
      <c r="C833" s="2" t="s">
        <v>295</v>
      </c>
      <c r="D833" s="15" t="s">
        <v>20</v>
      </c>
      <c r="E833" s="20" t="s">
        <v>35</v>
      </c>
      <c r="F833" s="20" t="s">
        <v>40</v>
      </c>
      <c r="G833" s="11">
        <v>12</v>
      </c>
      <c r="H833" s="11">
        <v>14</v>
      </c>
      <c r="I833" s="18">
        <v>0</v>
      </c>
      <c r="J833" s="18">
        <v>0</v>
      </c>
      <c r="K833" s="19">
        <v>78582.964918590107</v>
      </c>
      <c r="L833" s="41">
        <v>0</v>
      </c>
      <c r="M833" s="41">
        <v>0</v>
      </c>
      <c r="N833" s="41">
        <v>0</v>
      </c>
      <c r="O833" s="41">
        <v>0</v>
      </c>
      <c r="P833" s="41">
        <v>0</v>
      </c>
      <c r="Q833" s="43">
        <v>0</v>
      </c>
      <c r="R833" s="43">
        <v>0</v>
      </c>
      <c r="S833" s="43">
        <v>0</v>
      </c>
      <c r="T833" s="43">
        <v>0</v>
      </c>
      <c r="U833" s="19" t="s">
        <v>295</v>
      </c>
      <c r="V833" s="13">
        <f t="shared" si="91"/>
        <v>78582.964918590107</v>
      </c>
      <c r="W833" s="13"/>
      <c r="X833" s="13"/>
      <c r="Y833" s="13"/>
      <c r="Z833" s="13"/>
      <c r="AA833" s="22">
        <v>45689</v>
      </c>
      <c r="AB833" s="22" cm="1">
        <f t="array" ref="AB8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33" s="4"/>
      <c r="AD833" s="4"/>
      <c r="AE833" s="2"/>
      <c r="AF833" s="3"/>
      <c r="AG833" s="3"/>
      <c r="AH833" s="3"/>
      <c r="AI833" s="3"/>
      <c r="AJ833" s="2">
        <f t="shared" si="92"/>
        <v>0</v>
      </c>
      <c r="AK833" s="2">
        <f t="shared" si="93"/>
        <v>0</v>
      </c>
      <c r="AL833" s="2">
        <f t="shared" si="94"/>
        <v>0</v>
      </c>
      <c r="AM833" s="88"/>
      <c r="AN833" s="157" t="s">
        <v>774</v>
      </c>
    </row>
    <row r="834" spans="2:40" ht="23.15" customHeight="1" thickBot="1">
      <c r="B834" s="87">
        <v>45748</v>
      </c>
      <c r="C834" s="2" t="s">
        <v>295</v>
      </c>
      <c r="D834" s="15" t="s">
        <v>20</v>
      </c>
      <c r="E834" s="20" t="s">
        <v>35</v>
      </c>
      <c r="F834" s="20" t="s">
        <v>40</v>
      </c>
      <c r="G834" s="11">
        <v>12</v>
      </c>
      <c r="H834" s="11">
        <v>14</v>
      </c>
      <c r="I834" s="18">
        <v>0</v>
      </c>
      <c r="J834" s="18">
        <v>0</v>
      </c>
      <c r="K834" s="19">
        <v>78582.964918590107</v>
      </c>
      <c r="L834" s="41">
        <v>0</v>
      </c>
      <c r="M834" s="41">
        <v>0</v>
      </c>
      <c r="N834" s="41">
        <v>0</v>
      </c>
      <c r="O834" s="41">
        <v>0</v>
      </c>
      <c r="P834" s="41">
        <v>0</v>
      </c>
      <c r="Q834" s="43">
        <v>0</v>
      </c>
      <c r="R834" s="43">
        <v>0</v>
      </c>
      <c r="S834" s="43">
        <v>0</v>
      </c>
      <c r="T834" s="43">
        <v>0</v>
      </c>
      <c r="U834" s="19" t="s">
        <v>295</v>
      </c>
      <c r="V834" s="13">
        <f t="shared" si="91"/>
        <v>78582.964918590107</v>
      </c>
      <c r="W834" s="13"/>
      <c r="X834" s="13"/>
      <c r="Y834" s="13"/>
      <c r="Z834" s="13"/>
      <c r="AA834" s="22">
        <v>45717</v>
      </c>
      <c r="AB834" s="22" cm="1">
        <f t="array" ref="AB8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34" s="4"/>
      <c r="AD834" s="4"/>
      <c r="AE834" s="2"/>
      <c r="AF834" s="3"/>
      <c r="AG834" s="3"/>
      <c r="AH834" s="3"/>
      <c r="AI834" s="3"/>
      <c r="AJ834" s="2">
        <f t="shared" si="92"/>
        <v>0</v>
      </c>
      <c r="AK834" s="2">
        <f t="shared" si="93"/>
        <v>0</v>
      </c>
      <c r="AL834" s="2">
        <f t="shared" si="94"/>
        <v>0</v>
      </c>
      <c r="AM834" s="88"/>
      <c r="AN834" s="157" t="s">
        <v>774</v>
      </c>
    </row>
    <row r="835" spans="2:40" ht="23.15" customHeight="1" thickBot="1">
      <c r="B835" s="87">
        <v>45779</v>
      </c>
      <c r="C835" s="2" t="s">
        <v>295</v>
      </c>
      <c r="D835" s="15" t="s">
        <v>20</v>
      </c>
      <c r="E835" s="20" t="s">
        <v>35</v>
      </c>
      <c r="F835" s="20" t="s">
        <v>40</v>
      </c>
      <c r="G835" s="11">
        <v>12</v>
      </c>
      <c r="H835" s="33">
        <v>14</v>
      </c>
      <c r="I835" s="18">
        <v>0</v>
      </c>
      <c r="J835" s="18">
        <v>0</v>
      </c>
      <c r="K835" s="19">
        <v>78582.964918590107</v>
      </c>
      <c r="L835" s="41">
        <v>0</v>
      </c>
      <c r="M835" s="41">
        <v>0</v>
      </c>
      <c r="N835" s="41">
        <v>0</v>
      </c>
      <c r="O835" s="41">
        <v>0</v>
      </c>
      <c r="P835" s="41">
        <v>0</v>
      </c>
      <c r="Q835" s="43">
        <v>0</v>
      </c>
      <c r="R835" s="43">
        <v>0</v>
      </c>
      <c r="S835" s="43">
        <v>0</v>
      </c>
      <c r="T835" s="43">
        <v>0</v>
      </c>
      <c r="U835" s="19" t="s">
        <v>295</v>
      </c>
      <c r="V835" s="13">
        <f t="shared" si="91"/>
        <v>78582.964918590107</v>
      </c>
      <c r="W835" s="13"/>
      <c r="X835" s="13"/>
      <c r="Y835" s="13"/>
      <c r="Z835" s="13"/>
      <c r="AA835" s="22">
        <v>45748</v>
      </c>
      <c r="AB835" s="22" cm="1">
        <f t="array" ref="AB8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35" s="4"/>
      <c r="AD835" s="4"/>
      <c r="AE835" s="2"/>
      <c r="AF835" s="3"/>
      <c r="AG835" s="3"/>
      <c r="AH835" s="3"/>
      <c r="AI835" s="3"/>
      <c r="AJ835" s="2">
        <f t="shared" si="92"/>
        <v>0</v>
      </c>
      <c r="AK835" s="2">
        <f t="shared" si="93"/>
        <v>0</v>
      </c>
      <c r="AL835" s="2">
        <f t="shared" si="94"/>
        <v>0</v>
      </c>
      <c r="AM835" s="88"/>
      <c r="AN835" s="157" t="s">
        <v>774</v>
      </c>
    </row>
    <row r="836" spans="2:40" ht="23.15" customHeight="1" thickBot="1">
      <c r="B836" s="87">
        <v>45880</v>
      </c>
      <c r="C836" s="2" t="s">
        <v>295</v>
      </c>
      <c r="D836" s="15" t="s">
        <v>20</v>
      </c>
      <c r="E836" s="20" t="s">
        <v>25</v>
      </c>
      <c r="F836" s="20" t="s">
        <v>40</v>
      </c>
      <c r="G836" s="11">
        <v>29</v>
      </c>
      <c r="H836" s="33">
        <v>15</v>
      </c>
      <c r="I836" s="18">
        <v>0</v>
      </c>
      <c r="J836" s="18">
        <v>104</v>
      </c>
      <c r="K836" s="19">
        <v>127346.83951569998</v>
      </c>
      <c r="L836" s="41">
        <v>0</v>
      </c>
      <c r="M836" s="41">
        <v>0</v>
      </c>
      <c r="N836" s="41">
        <v>0</v>
      </c>
      <c r="O836" s="41">
        <v>-3238.82</v>
      </c>
      <c r="P836" s="13">
        <v>-1485.71</v>
      </c>
      <c r="Q836" s="43">
        <v>0</v>
      </c>
      <c r="R836" s="43">
        <v>0</v>
      </c>
      <c r="S836" s="43">
        <v>0</v>
      </c>
      <c r="T836" s="43">
        <v>0</v>
      </c>
      <c r="U836" s="19" t="s">
        <v>295</v>
      </c>
      <c r="V836" s="13">
        <f t="shared" si="91"/>
        <v>122622.30951569996</v>
      </c>
      <c r="W836" s="13"/>
      <c r="X836" s="13"/>
      <c r="Y836" s="13"/>
      <c r="Z836" s="13"/>
      <c r="AA836" s="22">
        <v>45839</v>
      </c>
      <c r="AB836" s="22" cm="1">
        <f t="array" ref="AB8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36" s="4"/>
      <c r="AD836" s="4"/>
      <c r="AE836" s="2"/>
      <c r="AF836" s="3"/>
      <c r="AG836" s="3"/>
      <c r="AH836" s="3"/>
      <c r="AI836" s="3"/>
      <c r="AJ836" s="2">
        <f t="shared" si="92"/>
        <v>0</v>
      </c>
      <c r="AK836" s="2">
        <f>AC919-AD919</f>
        <v>0</v>
      </c>
      <c r="AL836" s="2">
        <f t="shared" si="94"/>
        <v>4724.5300000000134</v>
      </c>
      <c r="AM836" s="88"/>
      <c r="AN836" s="157" t="s">
        <v>774</v>
      </c>
    </row>
    <row r="837" spans="2:40" ht="23.15" customHeight="1" thickBot="1">
      <c r="B837" s="87"/>
      <c r="C837" s="2" t="s">
        <v>292</v>
      </c>
      <c r="D837" s="15" t="s">
        <v>20</v>
      </c>
      <c r="E837" s="20" t="s">
        <v>29</v>
      </c>
      <c r="F837" s="20" t="s">
        <v>38</v>
      </c>
      <c r="G837" s="11">
        <v>13</v>
      </c>
      <c r="H837" s="11"/>
      <c r="I837" s="18" t="s">
        <v>294</v>
      </c>
      <c r="J837" s="18" t="s">
        <v>294</v>
      </c>
      <c r="K837" s="19">
        <v>40622.751531074253</v>
      </c>
      <c r="L837" s="41" t="s">
        <v>294</v>
      </c>
      <c r="M837" s="18" t="s">
        <v>294</v>
      </c>
      <c r="N837" s="41" t="s">
        <v>294</v>
      </c>
      <c r="O837" s="41" t="s">
        <v>294</v>
      </c>
      <c r="P837" s="41" t="s">
        <v>293</v>
      </c>
      <c r="Q837" s="43">
        <v>0</v>
      </c>
      <c r="R837" s="43">
        <v>0</v>
      </c>
      <c r="S837" s="43">
        <v>0</v>
      </c>
      <c r="T837" s="43">
        <v>0</v>
      </c>
      <c r="U837" s="19"/>
      <c r="V837" s="13">
        <f t="shared" si="91"/>
        <v>40622.751531074253</v>
      </c>
      <c r="W837" s="13"/>
      <c r="X837" s="13"/>
      <c r="Y837" s="13"/>
      <c r="Z837" s="13"/>
      <c r="AA837" s="22">
        <v>45901</v>
      </c>
      <c r="AB837" s="22" cm="1">
        <f t="array" ref="AB8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37" s="4"/>
      <c r="AD837" s="4">
        <f>1070.22-448.85</f>
        <v>621.37</v>
      </c>
      <c r="AE837" s="2"/>
      <c r="AF837" s="3"/>
      <c r="AG837" s="3"/>
      <c r="AH837" s="3"/>
      <c r="AI837" s="3"/>
      <c r="AJ837" s="2">
        <f t="shared" si="92"/>
        <v>0</v>
      </c>
      <c r="AK837" s="2">
        <f t="shared" ref="AK837:AK877" si="95">AC837-AD837</f>
        <v>-621.37</v>
      </c>
      <c r="AL837" s="2">
        <f t="shared" si="94"/>
        <v>0</v>
      </c>
      <c r="AM837" s="88"/>
      <c r="AN837" s="157" t="s">
        <v>774</v>
      </c>
    </row>
    <row r="838" spans="2:40" ht="23.15" customHeight="1" thickBot="1">
      <c r="B838" s="87">
        <v>45812</v>
      </c>
      <c r="C838" s="2" t="s">
        <v>295</v>
      </c>
      <c r="D838" s="15" t="s">
        <v>20</v>
      </c>
      <c r="E838" s="20" t="s">
        <v>35</v>
      </c>
      <c r="F838" s="20" t="s">
        <v>40</v>
      </c>
      <c r="G838" s="11">
        <v>12</v>
      </c>
      <c r="H838" s="11">
        <v>14</v>
      </c>
      <c r="I838" s="18">
        <v>0</v>
      </c>
      <c r="J838" s="18">
        <v>0</v>
      </c>
      <c r="K838" s="19">
        <v>84130.1395624219</v>
      </c>
      <c r="L838" s="41">
        <v>0</v>
      </c>
      <c r="M838" s="41">
        <v>0</v>
      </c>
      <c r="N838" s="41">
        <v>0</v>
      </c>
      <c r="O838" s="41">
        <v>0</v>
      </c>
      <c r="P838" s="41">
        <v>0</v>
      </c>
      <c r="Q838" s="43">
        <v>0</v>
      </c>
      <c r="R838" s="43">
        <v>0</v>
      </c>
      <c r="S838" s="43">
        <v>0</v>
      </c>
      <c r="T838" s="43">
        <v>0</v>
      </c>
      <c r="U838" s="19"/>
      <c r="V838" s="13">
        <f t="shared" si="91"/>
        <v>84130.1395624219</v>
      </c>
      <c r="W838" s="13"/>
      <c r="X838" s="13"/>
      <c r="Y838" s="13">
        <v>11094.35</v>
      </c>
      <c r="Z838" s="13" t="s">
        <v>302</v>
      </c>
      <c r="AA838" s="22">
        <v>45778</v>
      </c>
      <c r="AB838" s="22" cm="1">
        <f t="array" ref="AB8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38" s="4"/>
      <c r="AD838" s="4"/>
      <c r="AE838" s="2"/>
      <c r="AF838" s="3"/>
      <c r="AG838" s="3"/>
      <c r="AH838" s="3"/>
      <c r="AI838" s="3"/>
      <c r="AJ838" s="2">
        <f t="shared" si="92"/>
        <v>0</v>
      </c>
      <c r="AK838" s="2">
        <f t="shared" si="95"/>
        <v>0</v>
      </c>
      <c r="AL838" s="2">
        <f t="shared" si="94"/>
        <v>0</v>
      </c>
      <c r="AM838" s="88"/>
      <c r="AN838" s="157" t="s">
        <v>774</v>
      </c>
    </row>
    <row r="839" spans="2:40" ht="23.15" customHeight="1" thickBot="1">
      <c r="B839" s="87">
        <v>45842</v>
      </c>
      <c r="C839" s="2" t="s">
        <v>295</v>
      </c>
      <c r="D839" s="15" t="s">
        <v>20</v>
      </c>
      <c r="E839" s="20" t="s">
        <v>35</v>
      </c>
      <c r="F839" s="20" t="s">
        <v>40</v>
      </c>
      <c r="G839" s="11">
        <v>12</v>
      </c>
      <c r="H839" s="11">
        <v>14</v>
      </c>
      <c r="I839" s="18">
        <v>0</v>
      </c>
      <c r="J839" s="18">
        <v>0</v>
      </c>
      <c r="K839" s="19">
        <v>84130.1395624219</v>
      </c>
      <c r="L839" s="41">
        <v>0</v>
      </c>
      <c r="M839" s="41">
        <v>0</v>
      </c>
      <c r="N839" s="41">
        <v>0</v>
      </c>
      <c r="O839" s="41">
        <v>0</v>
      </c>
      <c r="P839" s="41">
        <v>0</v>
      </c>
      <c r="Q839" s="41">
        <v>0</v>
      </c>
      <c r="R839" s="41">
        <v>0</v>
      </c>
      <c r="S839" s="41">
        <v>0</v>
      </c>
      <c r="T839" s="41">
        <v>0</v>
      </c>
      <c r="U839" s="19" t="s">
        <v>295</v>
      </c>
      <c r="V839" s="13">
        <f t="shared" si="91"/>
        <v>84130.1395624219</v>
      </c>
      <c r="W839" s="13"/>
      <c r="X839" s="13"/>
      <c r="Y839" s="13"/>
      <c r="Z839" s="13"/>
      <c r="AA839" s="22">
        <v>45809</v>
      </c>
      <c r="AB839" s="22" cm="1">
        <f t="array" ref="AB8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39" s="4"/>
      <c r="AD839" s="4"/>
      <c r="AE839" s="2"/>
      <c r="AF839" s="3"/>
      <c r="AG839" s="3"/>
      <c r="AH839" s="3"/>
      <c r="AI839" s="3"/>
      <c r="AJ839" s="2">
        <f t="shared" si="92"/>
        <v>0</v>
      </c>
      <c r="AK839" s="2">
        <f t="shared" si="95"/>
        <v>0</v>
      </c>
      <c r="AL839" s="2">
        <f t="shared" si="94"/>
        <v>0</v>
      </c>
      <c r="AM839" s="88"/>
      <c r="AN839" s="157" t="s">
        <v>774</v>
      </c>
    </row>
    <row r="840" spans="2:40" ht="23.15" customHeight="1" thickBot="1">
      <c r="B840" s="87">
        <v>45695</v>
      </c>
      <c r="C840" s="2" t="s">
        <v>295</v>
      </c>
      <c r="D840" s="15" t="s">
        <v>20</v>
      </c>
      <c r="E840" s="20" t="s">
        <v>32</v>
      </c>
      <c r="F840" s="20" t="s">
        <v>39</v>
      </c>
      <c r="G840" s="11">
        <v>17</v>
      </c>
      <c r="H840" s="33">
        <v>17</v>
      </c>
      <c r="I840" s="18">
        <v>0</v>
      </c>
      <c r="J840" s="18">
        <v>0</v>
      </c>
      <c r="K840" s="19">
        <v>116393.17</v>
      </c>
      <c r="L840" s="41">
        <v>0</v>
      </c>
      <c r="M840" s="41">
        <v>0</v>
      </c>
      <c r="N840" s="41">
        <v>0</v>
      </c>
      <c r="O840" s="41">
        <v>0</v>
      </c>
      <c r="P840" s="41">
        <v>0</v>
      </c>
      <c r="Q840" s="43">
        <v>0</v>
      </c>
      <c r="R840" s="43">
        <v>0</v>
      </c>
      <c r="S840" s="43">
        <v>0</v>
      </c>
      <c r="T840" s="43">
        <v>0</v>
      </c>
      <c r="U840" s="19"/>
      <c r="V840" s="13">
        <f t="shared" si="91"/>
        <v>116393.17</v>
      </c>
      <c r="W840" s="13"/>
      <c r="X840" s="13"/>
      <c r="Y840" s="13"/>
      <c r="Z840" s="13"/>
      <c r="AA840" s="22">
        <v>45658</v>
      </c>
      <c r="AB840" s="22" cm="1">
        <f t="array" ref="AB8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840" s="4"/>
      <c r="AD840" s="4"/>
      <c r="AE840" s="2"/>
      <c r="AF840" s="3"/>
      <c r="AG840" s="3"/>
      <c r="AH840" s="3"/>
      <c r="AI840" s="3"/>
      <c r="AJ840" s="2">
        <f t="shared" si="92"/>
        <v>0</v>
      </c>
      <c r="AK840" s="2">
        <f t="shared" si="95"/>
        <v>0</v>
      </c>
      <c r="AL840" s="2">
        <f t="shared" si="94"/>
        <v>0</v>
      </c>
      <c r="AM840" s="88"/>
      <c r="AN840" s="157" t="s">
        <v>774</v>
      </c>
    </row>
    <row r="841" spans="2:40" ht="23.15" customHeight="1" thickBot="1">
      <c r="B841" s="87"/>
      <c r="C841" s="2" t="s">
        <v>295</v>
      </c>
      <c r="D841" s="15" t="s">
        <v>20</v>
      </c>
      <c r="E841" s="20" t="s">
        <v>25</v>
      </c>
      <c r="F841" s="20" t="s">
        <v>40</v>
      </c>
      <c r="G841" s="11">
        <v>29</v>
      </c>
      <c r="H841" s="11">
        <v>15</v>
      </c>
      <c r="I841" s="18">
        <v>0</v>
      </c>
      <c r="J841" s="18">
        <v>14.283333333333333</v>
      </c>
      <c r="K841" s="19">
        <v>121193.32543482826</v>
      </c>
      <c r="L841" s="41">
        <v>0</v>
      </c>
      <c r="M841" s="41">
        <v>0</v>
      </c>
      <c r="N841" s="41">
        <v>-432.19</v>
      </c>
      <c r="O841" s="41">
        <v>-432.19</v>
      </c>
      <c r="P841" s="41">
        <v>0</v>
      </c>
      <c r="Q841" s="43">
        <v>0</v>
      </c>
      <c r="R841" s="43">
        <v>0</v>
      </c>
      <c r="S841" s="43">
        <v>0</v>
      </c>
      <c r="T841" s="43">
        <v>0</v>
      </c>
      <c r="U841" s="19" t="s">
        <v>292</v>
      </c>
      <c r="V841" s="13">
        <f t="shared" si="91"/>
        <v>120761.13543482826</v>
      </c>
      <c r="W841" s="13"/>
      <c r="X841" s="13"/>
      <c r="Y841" s="13"/>
      <c r="Z841" s="13"/>
      <c r="AA841" s="22">
        <v>45658</v>
      </c>
      <c r="AB841" s="22" cm="1">
        <f t="array" ref="AB8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41" s="4"/>
      <c r="AD841" s="4"/>
      <c r="AE841" s="2"/>
      <c r="AF841" s="3"/>
      <c r="AG841" s="3"/>
      <c r="AH841" s="3"/>
      <c r="AI841" s="3"/>
      <c r="AJ841" s="2">
        <f t="shared" si="92"/>
        <v>0</v>
      </c>
      <c r="AK841" s="2">
        <f t="shared" si="95"/>
        <v>0</v>
      </c>
      <c r="AL841" s="2">
        <f t="shared" si="94"/>
        <v>432.19000000000233</v>
      </c>
      <c r="AM841" s="88"/>
      <c r="AN841" s="157" t="s">
        <v>774</v>
      </c>
    </row>
    <row r="842" spans="2:40" ht="23.15" customHeight="1" thickBot="1">
      <c r="B842" s="87">
        <v>45727</v>
      </c>
      <c r="C842" s="2" t="s">
        <v>295</v>
      </c>
      <c r="D842" s="15" t="s">
        <v>20</v>
      </c>
      <c r="E842" s="20" t="s">
        <v>25</v>
      </c>
      <c r="F842" s="20" t="s">
        <v>40</v>
      </c>
      <c r="G842" s="11">
        <v>29</v>
      </c>
      <c r="H842" s="11">
        <v>15</v>
      </c>
      <c r="I842" s="18">
        <v>0</v>
      </c>
      <c r="J842" s="18">
        <v>0</v>
      </c>
      <c r="K842" s="19">
        <v>121193.32543482826</v>
      </c>
      <c r="L842" s="41">
        <v>0</v>
      </c>
      <c r="M842" s="41">
        <v>0</v>
      </c>
      <c r="N842" s="41">
        <v>0</v>
      </c>
      <c r="O842" s="41">
        <v>0</v>
      </c>
      <c r="P842" s="41">
        <v>0</v>
      </c>
      <c r="Q842" s="43">
        <v>0</v>
      </c>
      <c r="R842" s="43">
        <v>0</v>
      </c>
      <c r="S842" s="43">
        <v>0</v>
      </c>
      <c r="T842" s="43">
        <v>0</v>
      </c>
      <c r="U842" s="19" t="s">
        <v>295</v>
      </c>
      <c r="V842" s="13">
        <f t="shared" si="91"/>
        <v>121193.32543482826</v>
      </c>
      <c r="W842" s="13"/>
      <c r="X842" s="13"/>
      <c r="Y842" s="13"/>
      <c r="Z842" s="13"/>
      <c r="AA842" s="22">
        <v>45689</v>
      </c>
      <c r="AB842" s="22" cm="1">
        <f t="array" ref="AB8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42" s="4">
        <v>1043.99</v>
      </c>
      <c r="AD842" s="4">
        <v>1043.99</v>
      </c>
      <c r="AE842" s="2"/>
      <c r="AF842" s="3"/>
      <c r="AG842" s="3"/>
      <c r="AH842" s="3"/>
      <c r="AI842" s="3"/>
      <c r="AJ842" s="2">
        <f t="shared" si="92"/>
        <v>0</v>
      </c>
      <c r="AK842" s="2">
        <f t="shared" si="95"/>
        <v>0</v>
      </c>
      <c r="AL842" s="2">
        <f t="shared" si="94"/>
        <v>0</v>
      </c>
      <c r="AM842" s="88"/>
      <c r="AN842" s="157" t="s">
        <v>774</v>
      </c>
    </row>
    <row r="843" spans="2:40" ht="23.15" customHeight="1" thickBot="1">
      <c r="B843" s="87">
        <v>45758</v>
      </c>
      <c r="C843" s="2" t="s">
        <v>295</v>
      </c>
      <c r="D843" s="15" t="s">
        <v>20</v>
      </c>
      <c r="E843" s="20" t="s">
        <v>25</v>
      </c>
      <c r="F843" s="20" t="s">
        <v>40</v>
      </c>
      <c r="G843" s="11">
        <v>29</v>
      </c>
      <c r="H843" s="11">
        <v>15</v>
      </c>
      <c r="I843" s="18">
        <v>0</v>
      </c>
      <c r="J843" s="18">
        <v>4.97</v>
      </c>
      <c r="K843" s="19">
        <v>121193.32543482826</v>
      </c>
      <c r="L843" s="41">
        <v>0</v>
      </c>
      <c r="M843" s="41">
        <v>0</v>
      </c>
      <c r="N843" s="41">
        <v>-423.44</v>
      </c>
      <c r="O843" s="41">
        <v>-423.44</v>
      </c>
      <c r="P843" s="41">
        <v>0</v>
      </c>
      <c r="Q843" s="43">
        <v>0</v>
      </c>
      <c r="R843" s="43">
        <v>0</v>
      </c>
      <c r="S843" s="43">
        <v>0</v>
      </c>
      <c r="T843" s="43">
        <v>0</v>
      </c>
      <c r="U843" s="19" t="s">
        <v>292</v>
      </c>
      <c r="V843" s="13">
        <f t="shared" si="91"/>
        <v>120769.88543482826</v>
      </c>
      <c r="W843" s="13"/>
      <c r="X843" s="13"/>
      <c r="Y843" s="13"/>
      <c r="Z843" s="13"/>
      <c r="AA843" s="22">
        <v>45717</v>
      </c>
      <c r="AB843" s="22" cm="1">
        <f t="array" ref="AB8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43" s="4">
        <v>2154.23</v>
      </c>
      <c r="AD843" s="4">
        <v>2154.23</v>
      </c>
      <c r="AE843" s="2"/>
      <c r="AF843" s="3"/>
      <c r="AG843" s="3"/>
      <c r="AH843" s="3"/>
      <c r="AI843" s="3"/>
      <c r="AJ843" s="2">
        <f t="shared" si="92"/>
        <v>0</v>
      </c>
      <c r="AK843" s="2">
        <f t="shared" si="95"/>
        <v>0</v>
      </c>
      <c r="AL843" s="2">
        <f t="shared" si="94"/>
        <v>423.44000000000233</v>
      </c>
      <c r="AM843" s="88"/>
      <c r="AN843" s="157" t="s">
        <v>774</v>
      </c>
    </row>
    <row r="844" spans="2:40" ht="23.15" customHeight="1" thickBot="1">
      <c r="B844" s="87">
        <v>45784</v>
      </c>
      <c r="C844" s="2" t="s">
        <v>295</v>
      </c>
      <c r="D844" s="15" t="s">
        <v>20</v>
      </c>
      <c r="E844" s="20" t="s">
        <v>25</v>
      </c>
      <c r="F844" s="20" t="s">
        <v>40</v>
      </c>
      <c r="G844" s="11">
        <v>29</v>
      </c>
      <c r="H844" s="11">
        <v>15</v>
      </c>
      <c r="I844" s="18">
        <v>0</v>
      </c>
      <c r="J844" s="18">
        <f>1.95+0.22</f>
        <v>2.17</v>
      </c>
      <c r="K844" s="19">
        <v>121193.32543482826</v>
      </c>
      <c r="L844" s="41">
        <v>0</v>
      </c>
      <c r="M844" s="41">
        <v>0</v>
      </c>
      <c r="N844" s="41">
        <v>-58</v>
      </c>
      <c r="O844" s="41">
        <v>-58</v>
      </c>
      <c r="P844" s="41">
        <v>0</v>
      </c>
      <c r="Q844" s="43">
        <v>0</v>
      </c>
      <c r="R844" s="43">
        <v>0</v>
      </c>
      <c r="S844" s="43">
        <v>0</v>
      </c>
      <c r="T844" s="43">
        <v>0</v>
      </c>
      <c r="U844" s="19" t="s">
        <v>295</v>
      </c>
      <c r="V844" s="13">
        <f t="shared" si="91"/>
        <v>121135.32543482826</v>
      </c>
      <c r="W844" s="13"/>
      <c r="X844" s="13"/>
      <c r="Y844" s="13"/>
      <c r="Z844" s="13"/>
      <c r="AA844" s="22">
        <v>45748</v>
      </c>
      <c r="AB844" s="22" cm="1">
        <f t="array" ref="AB8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44" s="4">
        <v>980.61</v>
      </c>
      <c r="AD844" s="4">
        <v>980.61</v>
      </c>
      <c r="AE844" s="2"/>
      <c r="AF844" s="3"/>
      <c r="AG844" s="3"/>
      <c r="AH844" s="3"/>
      <c r="AI844" s="3"/>
      <c r="AJ844" s="2">
        <f t="shared" si="92"/>
        <v>0</v>
      </c>
      <c r="AK844" s="2">
        <f t="shared" si="95"/>
        <v>0</v>
      </c>
      <c r="AL844" s="2">
        <f t="shared" si="94"/>
        <v>58</v>
      </c>
      <c r="AM844" s="88"/>
      <c r="AN844" s="157" t="s">
        <v>774</v>
      </c>
    </row>
    <row r="845" spans="2:40" ht="23.15" customHeight="1" thickBot="1">
      <c r="B845" s="87">
        <v>45818</v>
      </c>
      <c r="C845" s="2" t="s">
        <v>295</v>
      </c>
      <c r="D845" s="15" t="s">
        <v>20</v>
      </c>
      <c r="E845" s="20" t="s">
        <v>25</v>
      </c>
      <c r="F845" s="20" t="s">
        <v>40</v>
      </c>
      <c r="G845" s="11">
        <v>29</v>
      </c>
      <c r="H845" s="11">
        <v>15</v>
      </c>
      <c r="I845" s="18">
        <v>0</v>
      </c>
      <c r="J845" s="18">
        <f>5+45/60</f>
        <v>5.75</v>
      </c>
      <c r="K845" s="19">
        <v>121193.32543482826</v>
      </c>
      <c r="L845" s="41">
        <v>0</v>
      </c>
      <c r="M845" s="41">
        <v>0</v>
      </c>
      <c r="N845" s="41">
        <f>-158.16</f>
        <v>-158.16</v>
      </c>
      <c r="O845" s="41">
        <f>-158.16</f>
        <v>-158.16</v>
      </c>
      <c r="P845" s="41">
        <f>-201.99</f>
        <v>-201.99</v>
      </c>
      <c r="Q845" s="41">
        <v>0</v>
      </c>
      <c r="R845" s="41">
        <v>0</v>
      </c>
      <c r="S845" s="41">
        <v>0</v>
      </c>
      <c r="T845" s="41">
        <v>0</v>
      </c>
      <c r="U845" s="19" t="s">
        <v>295</v>
      </c>
      <c r="V845" s="13">
        <f t="shared" si="91"/>
        <v>120833.17543482826</v>
      </c>
      <c r="W845" s="13"/>
      <c r="X845" s="13"/>
      <c r="Y845" s="13"/>
      <c r="Z845" s="13"/>
      <c r="AA845" s="22">
        <v>45778</v>
      </c>
      <c r="AB845" s="22" cm="1">
        <f t="array" ref="AB8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45" s="4">
        <v>448.54</v>
      </c>
      <c r="AD845" s="4">
        <f>448.54</f>
        <v>448.54</v>
      </c>
      <c r="AE845" s="2"/>
      <c r="AF845" s="3"/>
      <c r="AG845" s="3"/>
      <c r="AH845" s="3"/>
      <c r="AI845" s="3"/>
      <c r="AJ845" s="2">
        <f t="shared" si="92"/>
        <v>0</v>
      </c>
      <c r="AK845" s="2">
        <f t="shared" si="95"/>
        <v>0</v>
      </c>
      <c r="AL845" s="2">
        <f t="shared" si="94"/>
        <v>360.15000000000873</v>
      </c>
      <c r="AM845" s="88"/>
      <c r="AN845" s="157" t="s">
        <v>774</v>
      </c>
    </row>
    <row r="846" spans="2:40" ht="23.15" customHeight="1" thickBot="1">
      <c r="B846" s="87"/>
      <c r="C846" s="2" t="s">
        <v>295</v>
      </c>
      <c r="D846" s="15" t="s">
        <v>20</v>
      </c>
      <c r="E846" s="20" t="s">
        <v>32</v>
      </c>
      <c r="F846" s="20" t="s">
        <v>39</v>
      </c>
      <c r="G846" s="11">
        <v>17</v>
      </c>
      <c r="H846" s="11">
        <v>17</v>
      </c>
      <c r="I846" s="18">
        <v>0</v>
      </c>
      <c r="J846" s="18">
        <v>0</v>
      </c>
      <c r="K846" s="19">
        <v>122584.65314060339</v>
      </c>
      <c r="L846" s="41">
        <v>0</v>
      </c>
      <c r="M846" s="41">
        <v>0</v>
      </c>
      <c r="N846" s="41">
        <v>0</v>
      </c>
      <c r="O846" s="41">
        <v>0</v>
      </c>
      <c r="P846" s="41">
        <v>0</v>
      </c>
      <c r="Q846" s="41">
        <v>0</v>
      </c>
      <c r="R846" s="41">
        <v>0</v>
      </c>
      <c r="S846" s="41">
        <v>0</v>
      </c>
      <c r="T846" s="41">
        <v>0</v>
      </c>
      <c r="U846" s="19"/>
      <c r="V846" s="13">
        <f t="shared" si="91"/>
        <v>122584.65314060339</v>
      </c>
      <c r="W846" s="13"/>
      <c r="X846" s="13"/>
      <c r="Y846" s="13"/>
      <c r="Z846" s="13"/>
      <c r="AA846" s="22">
        <v>45689</v>
      </c>
      <c r="AB846" s="22" cm="1">
        <f t="array" ref="AB8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46" s="4"/>
      <c r="AD846" s="4"/>
      <c r="AE846" s="2"/>
      <c r="AF846" s="3"/>
      <c r="AG846" s="3"/>
      <c r="AH846" s="3"/>
      <c r="AI846" s="3"/>
      <c r="AJ846" s="2">
        <f t="shared" si="92"/>
        <v>0</v>
      </c>
      <c r="AK846" s="2">
        <f t="shared" si="95"/>
        <v>0</v>
      </c>
      <c r="AL846" s="2">
        <f t="shared" si="94"/>
        <v>0</v>
      </c>
      <c r="AM846" s="88"/>
      <c r="AN846" s="157" t="s">
        <v>774</v>
      </c>
    </row>
    <row r="847" spans="2:40" ht="23.15" customHeight="1" thickBot="1">
      <c r="B847" s="87"/>
      <c r="C847" s="2" t="s">
        <v>292</v>
      </c>
      <c r="D847" s="15" t="s">
        <v>20</v>
      </c>
      <c r="E847" s="20" t="s">
        <v>32</v>
      </c>
      <c r="F847" s="20" t="s">
        <v>39</v>
      </c>
      <c r="G847" s="11">
        <v>17</v>
      </c>
      <c r="H847" s="11">
        <v>17</v>
      </c>
      <c r="I847" s="18" t="s">
        <v>294</v>
      </c>
      <c r="J847" s="18" t="s">
        <v>294</v>
      </c>
      <c r="K847" s="19">
        <v>122584.65314060339</v>
      </c>
      <c r="L847" s="41">
        <v>0</v>
      </c>
      <c r="M847" s="41" t="s">
        <v>294</v>
      </c>
      <c r="N847" s="41">
        <v>0</v>
      </c>
      <c r="O847" s="41" t="s">
        <v>294</v>
      </c>
      <c r="P847" s="41">
        <v>0</v>
      </c>
      <c r="Q847" s="43">
        <v>0</v>
      </c>
      <c r="R847" s="43">
        <v>0</v>
      </c>
      <c r="S847" s="43">
        <v>0</v>
      </c>
      <c r="T847" s="43">
        <v>0</v>
      </c>
      <c r="U847" s="19"/>
      <c r="V847" s="13">
        <f t="shared" si="91"/>
        <v>122584.65314060339</v>
      </c>
      <c r="W847" s="13"/>
      <c r="X847" s="13"/>
      <c r="Y847" s="13"/>
      <c r="Z847" s="13"/>
      <c r="AA847" s="22">
        <v>45717</v>
      </c>
      <c r="AB847" s="22" cm="1">
        <f t="array" ref="AB8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47" s="4"/>
      <c r="AD847" s="4"/>
      <c r="AE847" s="2"/>
      <c r="AF847" s="3"/>
      <c r="AG847" s="3"/>
      <c r="AH847" s="3"/>
      <c r="AI847" s="3"/>
      <c r="AJ847" s="2">
        <f t="shared" si="92"/>
        <v>0</v>
      </c>
      <c r="AK847" s="2">
        <f t="shared" si="95"/>
        <v>0</v>
      </c>
      <c r="AL847" s="2">
        <f t="shared" si="94"/>
        <v>0</v>
      </c>
      <c r="AM847" s="88"/>
      <c r="AN847" s="157" t="s">
        <v>774</v>
      </c>
    </row>
    <row r="848" spans="2:40" ht="23.15" customHeight="1" thickBot="1">
      <c r="B848" s="87">
        <v>45779</v>
      </c>
      <c r="C848" s="2" t="s">
        <v>295</v>
      </c>
      <c r="D848" s="15" t="s">
        <v>20</v>
      </c>
      <c r="E848" s="20" t="s">
        <v>32</v>
      </c>
      <c r="F848" s="20" t="s">
        <v>39</v>
      </c>
      <c r="G848" s="11">
        <v>17</v>
      </c>
      <c r="H848" s="11">
        <v>17</v>
      </c>
      <c r="I848" s="18" t="s">
        <v>294</v>
      </c>
      <c r="J848" s="18" t="s">
        <v>294</v>
      </c>
      <c r="K848" s="19">
        <f>122584.653140603/30*20+(134349.03*10)/30</f>
        <v>126506.11209373534</v>
      </c>
      <c r="L848" s="41">
        <v>0</v>
      </c>
      <c r="M848" s="41" t="s">
        <v>294</v>
      </c>
      <c r="N848" s="41">
        <v>0</v>
      </c>
      <c r="O848" s="41" t="s">
        <v>294</v>
      </c>
      <c r="P848" s="41">
        <v>0</v>
      </c>
      <c r="Q848" s="43">
        <v>0</v>
      </c>
      <c r="R848" s="43">
        <v>0</v>
      </c>
      <c r="S848" s="43">
        <v>0</v>
      </c>
      <c r="T848" s="43">
        <v>0</v>
      </c>
      <c r="U848" s="19"/>
      <c r="V848" s="13">
        <f t="shared" si="91"/>
        <v>126506.11209373534</v>
      </c>
      <c r="W848" s="13"/>
      <c r="X848" s="13"/>
      <c r="Y848" s="13"/>
      <c r="Z848" s="13"/>
      <c r="AA848" s="22">
        <v>45748</v>
      </c>
      <c r="AB848" s="22" cm="1">
        <f t="array" ref="AB8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48" s="4"/>
      <c r="AD848" s="4"/>
      <c r="AE848" s="2"/>
      <c r="AF848" s="3"/>
      <c r="AG848" s="3"/>
      <c r="AH848" s="3"/>
      <c r="AI848" s="3"/>
      <c r="AJ848" s="2">
        <f t="shared" si="92"/>
        <v>0</v>
      </c>
      <c r="AK848" s="2">
        <f t="shared" si="95"/>
        <v>0</v>
      </c>
      <c r="AL848" s="2">
        <f t="shared" si="94"/>
        <v>0</v>
      </c>
      <c r="AM848" s="88"/>
      <c r="AN848" s="157" t="s">
        <v>774</v>
      </c>
    </row>
    <row r="849" spans="2:40" ht="23.15" customHeight="1" thickBot="1">
      <c r="B849" s="87">
        <v>45845</v>
      </c>
      <c r="C849" s="2" t="s">
        <v>295</v>
      </c>
      <c r="D849" s="15" t="s">
        <v>20</v>
      </c>
      <c r="E849" s="20" t="s">
        <v>25</v>
      </c>
      <c r="F849" s="20" t="s">
        <v>40</v>
      </c>
      <c r="G849" s="11">
        <v>29</v>
      </c>
      <c r="H849" s="11">
        <v>15</v>
      </c>
      <c r="I849" s="18">
        <v>0</v>
      </c>
      <c r="J849" s="18">
        <v>9.2833333333333314</v>
      </c>
      <c r="K849" s="19">
        <v>127346.83951569998</v>
      </c>
      <c r="L849" s="41">
        <v>0</v>
      </c>
      <c r="M849" s="41">
        <v>0</v>
      </c>
      <c r="N849" s="41">
        <f>-321.21</f>
        <v>-321.20999999999998</v>
      </c>
      <c r="O849" s="41">
        <f>-326.04</f>
        <v>-326.04000000000002</v>
      </c>
      <c r="P849" s="41">
        <f>-212.24</f>
        <v>-212.24</v>
      </c>
      <c r="Q849" s="43">
        <v>0</v>
      </c>
      <c r="R849" s="43">
        <v>0</v>
      </c>
      <c r="S849" s="43">
        <v>0</v>
      </c>
      <c r="T849" s="43">
        <v>0</v>
      </c>
      <c r="U849" s="19" t="s">
        <v>295</v>
      </c>
      <c r="V849" s="13">
        <f t="shared" si="91"/>
        <v>126808.55951569998</v>
      </c>
      <c r="W849" s="13"/>
      <c r="X849" s="13"/>
      <c r="Y849" s="13">
        <v>16269.902752230359</v>
      </c>
      <c r="Z849" s="13" t="s">
        <v>302</v>
      </c>
      <c r="AA849" s="22">
        <v>45809</v>
      </c>
      <c r="AB849" s="22" cm="1">
        <f t="array" ref="AB8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49" s="4">
        <v>162.70828801254197</v>
      </c>
      <c r="AD849" s="4">
        <v>162.70828801254197</v>
      </c>
      <c r="AE849" s="2"/>
      <c r="AF849" s="3"/>
      <c r="AG849" s="3"/>
      <c r="AH849" s="3"/>
      <c r="AI849" s="3"/>
      <c r="AJ849" s="2">
        <f t="shared" si="92"/>
        <v>0</v>
      </c>
      <c r="AK849" s="2">
        <f t="shared" si="95"/>
        <v>0</v>
      </c>
      <c r="AL849" s="2">
        <f t="shared" si="94"/>
        <v>538.27999999999884</v>
      </c>
      <c r="AM849" s="88"/>
      <c r="AN849" s="157" t="s">
        <v>774</v>
      </c>
    </row>
    <row r="850" spans="2:40" ht="23.15" customHeight="1" thickBot="1">
      <c r="B850" s="87">
        <v>45845</v>
      </c>
      <c r="C850" s="2" t="s">
        <v>295</v>
      </c>
      <c r="D850" s="15" t="s">
        <v>20</v>
      </c>
      <c r="E850" s="20" t="s">
        <v>32</v>
      </c>
      <c r="F850" s="20" t="s">
        <v>39</v>
      </c>
      <c r="G850" s="11">
        <v>17</v>
      </c>
      <c r="H850" s="11">
        <v>19</v>
      </c>
      <c r="I850" s="18">
        <v>0</v>
      </c>
      <c r="J850" s="18">
        <v>0</v>
      </c>
      <c r="K850" s="19">
        <v>134349.03</v>
      </c>
      <c r="L850" s="41">
        <v>0</v>
      </c>
      <c r="M850" s="41">
        <v>0</v>
      </c>
      <c r="N850" s="41">
        <v>0</v>
      </c>
      <c r="O850" s="41">
        <v>0</v>
      </c>
      <c r="P850" s="41">
        <v>0</v>
      </c>
      <c r="Q850" s="43">
        <v>0</v>
      </c>
      <c r="R850" s="43">
        <v>0</v>
      </c>
      <c r="S850" s="43">
        <v>0</v>
      </c>
      <c r="T850" s="43">
        <v>0</v>
      </c>
      <c r="U850" s="19" t="s">
        <v>295</v>
      </c>
      <c r="V850" s="13">
        <f t="shared" si="91"/>
        <v>134349.03</v>
      </c>
      <c r="W850" s="13"/>
      <c r="X850" s="13"/>
      <c r="Y850" s="13"/>
      <c r="Z850" s="13"/>
      <c r="AA850" s="22">
        <v>45839</v>
      </c>
      <c r="AB850" s="22" cm="1">
        <f t="array" ref="AB8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50" s="4"/>
      <c r="AD850" s="4"/>
      <c r="AE850" s="2"/>
      <c r="AF850" s="3"/>
      <c r="AG850" s="3"/>
      <c r="AH850" s="3"/>
      <c r="AI850" s="3"/>
      <c r="AJ850" s="2">
        <f t="shared" si="92"/>
        <v>0</v>
      </c>
      <c r="AK850" s="2">
        <f t="shared" si="95"/>
        <v>0</v>
      </c>
      <c r="AL850" s="2">
        <f t="shared" si="94"/>
        <v>0</v>
      </c>
      <c r="AM850" s="88"/>
      <c r="AN850" s="157" t="s">
        <v>774</v>
      </c>
    </row>
    <row r="851" spans="2:40" ht="23.15" customHeight="1" thickBot="1">
      <c r="B851" s="87"/>
      <c r="C851" s="2"/>
      <c r="D851" s="15" t="s">
        <v>20</v>
      </c>
      <c r="E851" s="20" t="s">
        <v>29</v>
      </c>
      <c r="F851" s="20" t="s">
        <v>38</v>
      </c>
      <c r="G851" s="11">
        <v>13</v>
      </c>
      <c r="H851" s="11"/>
      <c r="I851" s="18" t="s">
        <v>294</v>
      </c>
      <c r="J851" s="18" t="s">
        <v>294</v>
      </c>
      <c r="K851" s="19">
        <v>40622.751531074253</v>
      </c>
      <c r="L851" s="41"/>
      <c r="M851" s="41" t="s">
        <v>294</v>
      </c>
      <c r="N851" s="41"/>
      <c r="O851" s="41" t="s">
        <v>294</v>
      </c>
      <c r="P851" s="41" t="s">
        <v>293</v>
      </c>
      <c r="Q851" s="41"/>
      <c r="R851" s="41"/>
      <c r="S851" s="41"/>
      <c r="T851" s="41"/>
      <c r="U851" s="19"/>
      <c r="V851" s="13">
        <f t="shared" si="91"/>
        <v>40622.751531074253</v>
      </c>
      <c r="W851" s="13"/>
      <c r="X851" s="13"/>
      <c r="Y851" s="13"/>
      <c r="Z851" s="13"/>
      <c r="AA851" s="22">
        <v>45931</v>
      </c>
      <c r="AB851" s="22" cm="1">
        <f t="array" ref="AB8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51" s="4"/>
      <c r="AD851" s="4"/>
      <c r="AE851" s="2"/>
      <c r="AF851" s="3"/>
      <c r="AG851" s="3"/>
      <c r="AH851" s="3"/>
      <c r="AI851" s="3"/>
      <c r="AJ851" s="2">
        <f t="shared" si="92"/>
        <v>0</v>
      </c>
      <c r="AK851" s="2">
        <f t="shared" si="95"/>
        <v>0</v>
      </c>
      <c r="AL851" s="2">
        <f t="shared" si="94"/>
        <v>0</v>
      </c>
      <c r="AM851" s="88"/>
      <c r="AN851" s="157" t="s">
        <v>774</v>
      </c>
    </row>
    <row r="852" spans="2:40" ht="23.15" customHeight="1" thickBot="1">
      <c r="B852" s="87">
        <v>45699</v>
      </c>
      <c r="C852" s="2" t="s">
        <v>295</v>
      </c>
      <c r="D852" s="15" t="s">
        <v>20</v>
      </c>
      <c r="E852" s="20" t="s">
        <v>31</v>
      </c>
      <c r="F852" s="20" t="s">
        <v>39</v>
      </c>
      <c r="G852" s="11">
        <v>28</v>
      </c>
      <c r="H852" s="11">
        <v>28</v>
      </c>
      <c r="I852" s="18">
        <v>0</v>
      </c>
      <c r="J852" s="18">
        <v>0</v>
      </c>
      <c r="K852" s="19">
        <v>129054.49642615822</v>
      </c>
      <c r="L852" s="41">
        <v>0</v>
      </c>
      <c r="M852" s="41">
        <v>0</v>
      </c>
      <c r="N852" s="41">
        <v>0</v>
      </c>
      <c r="O852" s="41">
        <v>0</v>
      </c>
      <c r="P852" s="41">
        <v>0</v>
      </c>
      <c r="Q852" s="43">
        <v>0</v>
      </c>
      <c r="R852" s="41">
        <v>0</v>
      </c>
      <c r="S852" s="43">
        <v>0</v>
      </c>
      <c r="T852" s="43">
        <v>0</v>
      </c>
      <c r="U852" s="19"/>
      <c r="V852" s="13">
        <f t="shared" si="91"/>
        <v>129054.49642615822</v>
      </c>
      <c r="W852" s="13"/>
      <c r="X852" s="13"/>
      <c r="Y852" s="13"/>
      <c r="Z852" s="13"/>
      <c r="AA852" s="22">
        <v>45658</v>
      </c>
      <c r="AB852" s="22" cm="1">
        <f t="array" ref="AB8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852" s="4"/>
      <c r="AD852" s="4"/>
      <c r="AE852" s="2"/>
      <c r="AF852" s="3"/>
      <c r="AG852" s="3"/>
      <c r="AH852" s="3"/>
      <c r="AI852" s="3"/>
      <c r="AJ852" s="2">
        <f t="shared" si="92"/>
        <v>0</v>
      </c>
      <c r="AK852" s="2">
        <f t="shared" si="95"/>
        <v>0</v>
      </c>
      <c r="AL852" s="2">
        <f t="shared" si="94"/>
        <v>0</v>
      </c>
      <c r="AM852" s="88"/>
      <c r="AN852" s="157" t="s">
        <v>774</v>
      </c>
    </row>
    <row r="853" spans="2:40" ht="23.15" customHeight="1" thickBot="1">
      <c r="B853" s="87"/>
      <c r="C853" s="2" t="s">
        <v>295</v>
      </c>
      <c r="D853" s="15" t="s">
        <v>20</v>
      </c>
      <c r="E853" s="20" t="s">
        <v>31</v>
      </c>
      <c r="F853" s="20" t="s">
        <v>39</v>
      </c>
      <c r="G853" s="11">
        <v>28</v>
      </c>
      <c r="H853" s="11">
        <v>28</v>
      </c>
      <c r="I853" s="18">
        <v>0</v>
      </c>
      <c r="J853" s="18">
        <v>0</v>
      </c>
      <c r="K853" s="19">
        <v>129054.49642615822</v>
      </c>
      <c r="L853" s="41">
        <v>0</v>
      </c>
      <c r="M853" s="41">
        <v>0</v>
      </c>
      <c r="N853" s="41">
        <v>0</v>
      </c>
      <c r="O853" s="41">
        <v>0</v>
      </c>
      <c r="P853" s="41">
        <v>0</v>
      </c>
      <c r="Q853" s="43">
        <v>0</v>
      </c>
      <c r="R853" s="41">
        <v>0</v>
      </c>
      <c r="S853" s="43">
        <v>0</v>
      </c>
      <c r="T853" s="43">
        <v>0</v>
      </c>
      <c r="U853" s="19"/>
      <c r="V853" s="13">
        <f t="shared" si="91"/>
        <v>129054.49642615822</v>
      </c>
      <c r="W853" s="13"/>
      <c r="X853" s="13"/>
      <c r="Y853" s="13"/>
      <c r="Z853" s="13"/>
      <c r="AA853" s="22">
        <v>45689</v>
      </c>
      <c r="AB853" s="22" cm="1">
        <f t="array" ref="AB8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53" s="4"/>
      <c r="AD853" s="4"/>
      <c r="AE853" s="2"/>
      <c r="AF853" s="3"/>
      <c r="AG853" s="3"/>
      <c r="AH853" s="3"/>
      <c r="AI853" s="3"/>
      <c r="AJ853" s="2">
        <f t="shared" si="92"/>
        <v>0</v>
      </c>
      <c r="AK853" s="2">
        <f t="shared" si="95"/>
        <v>0</v>
      </c>
      <c r="AL853" s="2">
        <f t="shared" si="94"/>
        <v>0</v>
      </c>
      <c r="AM853" s="88"/>
      <c r="AN853" s="157" t="s">
        <v>774</v>
      </c>
    </row>
    <row r="854" spans="2:40" ht="23.15" customHeight="1" thickBot="1">
      <c r="B854" s="87"/>
      <c r="C854" s="2" t="s">
        <v>292</v>
      </c>
      <c r="D854" s="15" t="s">
        <v>20</v>
      </c>
      <c r="E854" s="20" t="s">
        <v>31</v>
      </c>
      <c r="F854" s="20" t="s">
        <v>39</v>
      </c>
      <c r="G854" s="11">
        <v>28</v>
      </c>
      <c r="H854" s="11">
        <v>28</v>
      </c>
      <c r="I854" s="18" t="s">
        <v>294</v>
      </c>
      <c r="J854" s="18" t="s">
        <v>294</v>
      </c>
      <c r="K854" s="19">
        <v>129054.49642615822</v>
      </c>
      <c r="L854" s="41">
        <v>0</v>
      </c>
      <c r="M854" s="41" t="s">
        <v>294</v>
      </c>
      <c r="N854" s="41">
        <v>0</v>
      </c>
      <c r="O854" s="41" t="s">
        <v>294</v>
      </c>
      <c r="P854" s="41">
        <v>0</v>
      </c>
      <c r="Q854" s="43">
        <v>0</v>
      </c>
      <c r="R854" s="41">
        <v>0</v>
      </c>
      <c r="S854" s="43">
        <v>0</v>
      </c>
      <c r="T854" s="43">
        <v>0</v>
      </c>
      <c r="U854" s="19"/>
      <c r="V854" s="13">
        <f t="shared" si="91"/>
        <v>129054.49642615822</v>
      </c>
      <c r="W854" s="13"/>
      <c r="X854" s="13"/>
      <c r="Y854" s="13"/>
      <c r="Z854" s="13"/>
      <c r="AA854" s="22">
        <v>45717</v>
      </c>
      <c r="AB854" s="22" cm="1">
        <f t="array" ref="AB8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54" s="4"/>
      <c r="AD854" s="4"/>
      <c r="AE854" s="2"/>
      <c r="AF854" s="3"/>
      <c r="AG854" s="3"/>
      <c r="AH854" s="3"/>
      <c r="AI854" s="3"/>
      <c r="AJ854" s="2">
        <f t="shared" si="92"/>
        <v>0</v>
      </c>
      <c r="AK854" s="2">
        <f t="shared" si="95"/>
        <v>0</v>
      </c>
      <c r="AL854" s="2">
        <f t="shared" si="94"/>
        <v>0</v>
      </c>
      <c r="AM854" s="88"/>
      <c r="AN854" s="157" t="s">
        <v>774</v>
      </c>
    </row>
    <row r="855" spans="2:40" ht="23.15" customHeight="1" thickBot="1">
      <c r="B855" s="87">
        <v>45779</v>
      </c>
      <c r="C855" s="2" t="s">
        <v>295</v>
      </c>
      <c r="D855" s="15" t="s">
        <v>20</v>
      </c>
      <c r="E855" s="20" t="s">
        <v>31</v>
      </c>
      <c r="F855" s="20" t="s">
        <v>39</v>
      </c>
      <c r="G855" s="11">
        <v>28</v>
      </c>
      <c r="H855" s="11">
        <v>28</v>
      </c>
      <c r="I855" s="18" t="s">
        <v>294</v>
      </c>
      <c r="J855" s="18" t="s">
        <v>294</v>
      </c>
      <c r="K855" s="19">
        <v>129054.49642615822</v>
      </c>
      <c r="L855" s="41">
        <v>0</v>
      </c>
      <c r="M855" s="41" t="s">
        <v>294</v>
      </c>
      <c r="N855" s="41">
        <v>0</v>
      </c>
      <c r="O855" s="41" t="s">
        <v>294</v>
      </c>
      <c r="P855" s="41">
        <v>0</v>
      </c>
      <c r="Q855" s="43">
        <v>0</v>
      </c>
      <c r="R855" s="41">
        <v>0</v>
      </c>
      <c r="S855" s="43">
        <v>0</v>
      </c>
      <c r="T855" s="43">
        <v>0</v>
      </c>
      <c r="U855" s="19"/>
      <c r="V855" s="13">
        <f t="shared" si="91"/>
        <v>129054.49642615822</v>
      </c>
      <c r="W855" s="13"/>
      <c r="X855" s="13"/>
      <c r="Y855" s="13"/>
      <c r="Z855" s="13"/>
      <c r="AA855" s="22">
        <v>45748</v>
      </c>
      <c r="AB855" s="22" cm="1">
        <f t="array" ref="AB8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55" s="4"/>
      <c r="AD855" s="4"/>
      <c r="AE855" s="2"/>
      <c r="AF855" s="3"/>
      <c r="AG855" s="3"/>
      <c r="AH855" s="3"/>
      <c r="AI855" s="3"/>
      <c r="AJ855" s="2">
        <f t="shared" si="92"/>
        <v>0</v>
      </c>
      <c r="AK855" s="2">
        <f t="shared" si="95"/>
        <v>0</v>
      </c>
      <c r="AL855" s="2">
        <f t="shared" si="94"/>
        <v>0</v>
      </c>
      <c r="AM855" s="88"/>
      <c r="AN855" s="157" t="s">
        <v>774</v>
      </c>
    </row>
    <row r="856" spans="2:40" ht="23.15" customHeight="1" thickBot="1">
      <c r="B856" s="87">
        <v>45889</v>
      </c>
      <c r="C856" s="2" t="s">
        <v>295</v>
      </c>
      <c r="D856" s="15" t="s">
        <v>20</v>
      </c>
      <c r="E856" s="20" t="s">
        <v>32</v>
      </c>
      <c r="F856" s="20" t="s">
        <v>39</v>
      </c>
      <c r="G856" s="11">
        <v>17</v>
      </c>
      <c r="H856" s="11">
        <v>19</v>
      </c>
      <c r="I856" s="18">
        <v>0</v>
      </c>
      <c r="J856" s="18">
        <v>0</v>
      </c>
      <c r="K856" s="19">
        <v>134349.03</v>
      </c>
      <c r="L856" s="41">
        <v>0</v>
      </c>
      <c r="M856" s="41">
        <v>0</v>
      </c>
      <c r="N856" s="41">
        <v>0</v>
      </c>
      <c r="O856" s="41">
        <v>0</v>
      </c>
      <c r="P856" s="41">
        <v>0</v>
      </c>
      <c r="Q856" s="43">
        <v>0</v>
      </c>
      <c r="R856" s="41">
        <v>0</v>
      </c>
      <c r="S856" s="43">
        <v>0</v>
      </c>
      <c r="T856" s="43">
        <v>0</v>
      </c>
      <c r="U856" s="19" t="s">
        <v>295</v>
      </c>
      <c r="V856" s="13">
        <f t="shared" ref="V856:V919" si="96">IFERROR((K856+M856+R856+S856+T856+O856)+IF(U856="Sim",P856+Q856,0),(K856+R856+S856+T856)+IF(U856="Sim",P856+Q856,0))</f>
        <v>134349.03</v>
      </c>
      <c r="W856" s="13"/>
      <c r="X856" s="13"/>
      <c r="Y856" s="13"/>
      <c r="Z856" s="13"/>
      <c r="AA856" s="22">
        <v>45809</v>
      </c>
      <c r="AB856" s="22" cm="1">
        <f t="array" ref="AB8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56" s="4"/>
      <c r="AD856" s="4"/>
      <c r="AE856" s="2"/>
      <c r="AF856" s="3"/>
      <c r="AG856" s="3"/>
      <c r="AH856" s="3"/>
      <c r="AI856" s="3"/>
      <c r="AJ856" s="2">
        <f t="shared" si="92"/>
        <v>0</v>
      </c>
      <c r="AK856" s="2">
        <f t="shared" si="95"/>
        <v>0</v>
      </c>
      <c r="AL856" s="2">
        <f t="shared" si="94"/>
        <v>0</v>
      </c>
      <c r="AM856" s="88"/>
      <c r="AN856" s="157" t="s">
        <v>774</v>
      </c>
    </row>
    <row r="857" spans="2:40" ht="23.15" customHeight="1" thickBot="1">
      <c r="B857" s="87">
        <v>45845</v>
      </c>
      <c r="C857" s="2" t="s">
        <v>295</v>
      </c>
      <c r="D857" s="15" t="s">
        <v>20</v>
      </c>
      <c r="E857" s="20" t="s">
        <v>31</v>
      </c>
      <c r="F857" s="20" t="s">
        <v>39</v>
      </c>
      <c r="G857" s="11">
        <v>28</v>
      </c>
      <c r="H857" s="11">
        <v>28</v>
      </c>
      <c r="I857" s="18">
        <v>0</v>
      </c>
      <c r="J857" s="18">
        <v>0</v>
      </c>
      <c r="K857" s="19">
        <v>138608.31</v>
      </c>
      <c r="L857" s="41">
        <v>0</v>
      </c>
      <c r="M857" s="41">
        <v>0</v>
      </c>
      <c r="N857" s="41">
        <v>0</v>
      </c>
      <c r="O857" s="41">
        <v>0</v>
      </c>
      <c r="P857" s="41">
        <v>0</v>
      </c>
      <c r="Q857" s="43">
        <v>0</v>
      </c>
      <c r="R857" s="41">
        <v>0</v>
      </c>
      <c r="S857" s="43">
        <v>0</v>
      </c>
      <c r="T857" s="43">
        <v>0</v>
      </c>
      <c r="U857" s="19" t="s">
        <v>295</v>
      </c>
      <c r="V857" s="13">
        <f t="shared" si="96"/>
        <v>138608.31</v>
      </c>
      <c r="W857" s="13"/>
      <c r="X857" s="13"/>
      <c r="Y857" s="13"/>
      <c r="Z857" s="13"/>
      <c r="AA857" s="22">
        <v>45839</v>
      </c>
      <c r="AB857" s="22" cm="1">
        <f t="array" ref="AB8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57" s="4"/>
      <c r="AD857" s="4"/>
      <c r="AE857" s="2"/>
      <c r="AF857" s="3"/>
      <c r="AG857" s="3"/>
      <c r="AH857" s="3"/>
      <c r="AI857" s="3"/>
      <c r="AJ857" s="2">
        <f t="shared" si="92"/>
        <v>0</v>
      </c>
      <c r="AK857" s="2">
        <f t="shared" si="95"/>
        <v>0</v>
      </c>
      <c r="AL857" s="2">
        <f t="shared" si="94"/>
        <v>0</v>
      </c>
      <c r="AM857" s="88"/>
      <c r="AN857" s="157" t="s">
        <v>774</v>
      </c>
    </row>
    <row r="858" spans="2:40" ht="23.15" customHeight="1" thickBot="1">
      <c r="B858" s="87"/>
      <c r="C858" s="2" t="s">
        <v>292</v>
      </c>
      <c r="D858" s="15" t="s">
        <v>20</v>
      </c>
      <c r="E858" s="20" t="s">
        <v>158</v>
      </c>
      <c r="F858" s="20" t="s">
        <v>38</v>
      </c>
      <c r="G858" s="11">
        <v>1</v>
      </c>
      <c r="H858" s="11">
        <v>1</v>
      </c>
      <c r="I858" s="18">
        <v>0</v>
      </c>
      <c r="J858" s="18">
        <v>0</v>
      </c>
      <c r="K858" s="19">
        <v>3607</v>
      </c>
      <c r="L858" s="41">
        <v>0</v>
      </c>
      <c r="M858" s="41">
        <v>0</v>
      </c>
      <c r="N858" s="41">
        <v>0</v>
      </c>
      <c r="O858" s="41">
        <v>0</v>
      </c>
      <c r="P858" s="41">
        <v>0</v>
      </c>
      <c r="Q858" s="43">
        <v>0</v>
      </c>
      <c r="R858" s="41">
        <v>0</v>
      </c>
      <c r="S858" s="43">
        <v>0</v>
      </c>
      <c r="T858" s="43">
        <v>0</v>
      </c>
      <c r="U858" s="19" t="s">
        <v>295</v>
      </c>
      <c r="V858" s="13">
        <f t="shared" si="96"/>
        <v>3607</v>
      </c>
      <c r="W858" s="13"/>
      <c r="X858" s="13"/>
      <c r="Y858" s="13"/>
      <c r="Z858" s="13"/>
      <c r="AA858" s="22">
        <v>45870</v>
      </c>
      <c r="AB858" s="22" cm="1">
        <f t="array" ref="AB8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58" s="4"/>
      <c r="AD858" s="4"/>
      <c r="AE858" s="2"/>
      <c r="AF858" s="3"/>
      <c r="AG858" s="3"/>
      <c r="AH858" s="3"/>
      <c r="AI858" s="3"/>
      <c r="AJ858" s="2">
        <f t="shared" ref="AJ858:AJ921" si="97">IFERROR(L858-M858,0)</f>
        <v>0</v>
      </c>
      <c r="AK858" s="2">
        <f t="shared" si="95"/>
        <v>0</v>
      </c>
      <c r="AL858" s="2">
        <f t="shared" si="94"/>
        <v>0</v>
      </c>
      <c r="AM858" s="88"/>
      <c r="AN858" s="157" t="s">
        <v>774</v>
      </c>
    </row>
    <row r="859" spans="2:40" ht="23.15" customHeight="1" thickBot="1">
      <c r="B859" s="87"/>
      <c r="C859" s="2" t="s">
        <v>292</v>
      </c>
      <c r="D859" s="15" t="s">
        <v>20</v>
      </c>
      <c r="E859" s="20" t="s">
        <v>158</v>
      </c>
      <c r="F859" s="20" t="s">
        <v>38</v>
      </c>
      <c r="G859" s="11">
        <v>1</v>
      </c>
      <c r="H859" s="11"/>
      <c r="I859" s="18" t="s">
        <v>294</v>
      </c>
      <c r="J859" s="18" t="s">
        <v>294</v>
      </c>
      <c r="K859" s="19">
        <v>3607</v>
      </c>
      <c r="L859" s="41" t="s">
        <v>294</v>
      </c>
      <c r="M859" s="18" t="s">
        <v>294</v>
      </c>
      <c r="N859" s="41" t="s">
        <v>294</v>
      </c>
      <c r="O859" s="41" t="s">
        <v>294</v>
      </c>
      <c r="P859" s="41" t="s">
        <v>293</v>
      </c>
      <c r="Q859" s="43">
        <v>0</v>
      </c>
      <c r="R859" s="41">
        <v>0</v>
      </c>
      <c r="S859" s="43">
        <v>0</v>
      </c>
      <c r="T859" s="43">
        <v>0</v>
      </c>
      <c r="U859" s="19"/>
      <c r="V859" s="13">
        <f t="shared" si="96"/>
        <v>3607</v>
      </c>
      <c r="W859" s="13"/>
      <c r="X859" s="13"/>
      <c r="Y859" s="13"/>
      <c r="Z859" s="13"/>
      <c r="AA859" s="22">
        <v>45901</v>
      </c>
      <c r="AB859" s="22" cm="1">
        <f t="array" ref="AB8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59" s="4"/>
      <c r="AD859" s="4"/>
      <c r="AE859" s="2"/>
      <c r="AF859" s="3"/>
      <c r="AG859" s="3"/>
      <c r="AH859" s="3"/>
      <c r="AI859" s="3"/>
      <c r="AJ859" s="2">
        <f t="shared" si="97"/>
        <v>0</v>
      </c>
      <c r="AK859" s="2">
        <f t="shared" si="95"/>
        <v>0</v>
      </c>
      <c r="AL859" s="2">
        <f t="shared" si="94"/>
        <v>0</v>
      </c>
      <c r="AM859" s="88"/>
      <c r="AN859" s="157" t="s">
        <v>774</v>
      </c>
    </row>
    <row r="860" spans="2:40" ht="23.15" customHeight="1" thickBot="1">
      <c r="B860" s="87">
        <v>45782</v>
      </c>
      <c r="C860" s="2" t="s">
        <v>295</v>
      </c>
      <c r="D860" s="15" t="s">
        <v>20</v>
      </c>
      <c r="E860" s="20" t="s">
        <v>32</v>
      </c>
      <c r="F860" s="20" t="s">
        <v>39</v>
      </c>
      <c r="G860" s="11">
        <v>17</v>
      </c>
      <c r="H860" s="11">
        <v>19</v>
      </c>
      <c r="I860" s="18">
        <v>0</v>
      </c>
      <c r="J860" s="18">
        <v>0</v>
      </c>
      <c r="K860" s="19">
        <f>134349.03+3921.46</f>
        <v>138270.49</v>
      </c>
      <c r="L860" s="41">
        <v>0</v>
      </c>
      <c r="M860" s="41">
        <v>0</v>
      </c>
      <c r="N860" s="41">
        <v>0</v>
      </c>
      <c r="O860" s="41">
        <v>0</v>
      </c>
      <c r="P860" s="41">
        <v>0</v>
      </c>
      <c r="Q860" s="43">
        <v>0</v>
      </c>
      <c r="R860" s="41">
        <v>0</v>
      </c>
      <c r="S860" s="43">
        <v>0</v>
      </c>
      <c r="T860" s="43">
        <v>0</v>
      </c>
      <c r="U860" s="19"/>
      <c r="V860" s="13">
        <f t="shared" si="96"/>
        <v>138270.49</v>
      </c>
      <c r="W860" s="13"/>
      <c r="X860" s="13"/>
      <c r="Y860" s="13"/>
      <c r="Z860" s="13"/>
      <c r="AA860" s="22">
        <v>45778</v>
      </c>
      <c r="AB860" s="22" cm="1">
        <f t="array" ref="AB8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60" s="4">
        <v>5223.24</v>
      </c>
      <c r="AD860" s="4">
        <v>5615.431758500883</v>
      </c>
      <c r="AE860" s="2"/>
      <c r="AF860" s="3"/>
      <c r="AG860" s="3"/>
      <c r="AH860" s="3"/>
      <c r="AI860" s="3"/>
      <c r="AJ860" s="2">
        <f t="shared" si="97"/>
        <v>0</v>
      </c>
      <c r="AK860" s="2">
        <f t="shared" si="95"/>
        <v>-392.19175850088322</v>
      </c>
      <c r="AL860" s="2">
        <f t="shared" si="94"/>
        <v>0</v>
      </c>
      <c r="AM860" s="88"/>
      <c r="AN860" s="157" t="s">
        <v>774</v>
      </c>
    </row>
    <row r="861" spans="2:40" ht="23.15" customHeight="1" thickBot="1">
      <c r="B861" s="87">
        <v>45782</v>
      </c>
      <c r="C861" s="2" t="s">
        <v>295</v>
      </c>
      <c r="D861" s="15" t="s">
        <v>20</v>
      </c>
      <c r="E861" s="20" t="s">
        <v>31</v>
      </c>
      <c r="F861" s="20" t="s">
        <v>39</v>
      </c>
      <c r="G861" s="11">
        <v>28</v>
      </c>
      <c r="H861" s="11">
        <v>28</v>
      </c>
      <c r="I861" s="18">
        <v>0</v>
      </c>
      <c r="J861" s="18">
        <v>0</v>
      </c>
      <c r="K861" s="19">
        <v>138608.31</v>
      </c>
      <c r="L861" s="41">
        <v>0</v>
      </c>
      <c r="M861" s="43">
        <v>0</v>
      </c>
      <c r="N861" s="41">
        <v>0</v>
      </c>
      <c r="O861" s="41">
        <v>0</v>
      </c>
      <c r="P861" s="41">
        <v>0</v>
      </c>
      <c r="Q861" s="43">
        <v>0</v>
      </c>
      <c r="R861" s="41">
        <v>0</v>
      </c>
      <c r="S861" s="43">
        <v>0</v>
      </c>
      <c r="T861" s="43">
        <v>0</v>
      </c>
      <c r="U861" s="19"/>
      <c r="V861" s="13">
        <f t="shared" si="96"/>
        <v>138608.31</v>
      </c>
      <c r="W861" s="13"/>
      <c r="X861" s="13"/>
      <c r="Y861" s="13">
        <v>19107.628444757138</v>
      </c>
      <c r="Z861" s="13" t="s">
        <v>310</v>
      </c>
      <c r="AA861" s="22">
        <v>45778</v>
      </c>
      <c r="AB861" s="22" cm="1">
        <f t="array" ref="AB8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61" s="4">
        <v>9330.2000000000007</v>
      </c>
      <c r="AD861" s="4">
        <v>8421.1218851003887</v>
      </c>
      <c r="AE861" s="2"/>
      <c r="AF861" s="3"/>
      <c r="AG861" s="3"/>
      <c r="AH861" s="3"/>
      <c r="AI861" s="3"/>
      <c r="AJ861" s="2">
        <f t="shared" si="97"/>
        <v>0</v>
      </c>
      <c r="AK861" s="2">
        <f t="shared" si="95"/>
        <v>909.07811489961205</v>
      </c>
      <c r="AL861" s="2">
        <f t="shared" si="94"/>
        <v>0</v>
      </c>
      <c r="AM861" s="88"/>
      <c r="AN861" s="157" t="s">
        <v>774</v>
      </c>
    </row>
    <row r="862" spans="2:40" ht="23.15" customHeight="1" thickBot="1">
      <c r="B862" s="87">
        <v>45889</v>
      </c>
      <c r="C862" s="2" t="s">
        <v>295</v>
      </c>
      <c r="D862" s="15" t="s">
        <v>20</v>
      </c>
      <c r="E862" s="20" t="s">
        <v>31</v>
      </c>
      <c r="F862" s="20" t="s">
        <v>39</v>
      </c>
      <c r="G862" s="11">
        <v>28</v>
      </c>
      <c r="H862" s="11">
        <v>28</v>
      </c>
      <c r="I862" s="18">
        <v>0</v>
      </c>
      <c r="J862" s="18">
        <v>0</v>
      </c>
      <c r="K862" s="19">
        <v>138608.31</v>
      </c>
      <c r="L862" s="41">
        <v>0</v>
      </c>
      <c r="M862" s="41">
        <v>0</v>
      </c>
      <c r="N862" s="41">
        <v>0</v>
      </c>
      <c r="O862" s="41">
        <v>0</v>
      </c>
      <c r="P862" s="41">
        <v>0</v>
      </c>
      <c r="Q862" s="43">
        <v>0</v>
      </c>
      <c r="R862" s="41">
        <v>0</v>
      </c>
      <c r="S862" s="43">
        <v>0</v>
      </c>
      <c r="T862" s="43">
        <v>0</v>
      </c>
      <c r="U862" s="19" t="s">
        <v>295</v>
      </c>
      <c r="V862" s="13">
        <f t="shared" si="96"/>
        <v>138608.31</v>
      </c>
      <c r="W862" s="13"/>
      <c r="X862" s="13"/>
      <c r="Y862" s="13"/>
      <c r="Z862" s="13"/>
      <c r="AA862" s="22">
        <v>45809</v>
      </c>
      <c r="AB862" s="22" cm="1">
        <f t="array" ref="AB8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62" s="4"/>
      <c r="AD862" s="4"/>
      <c r="AE862" s="2"/>
      <c r="AF862" s="3"/>
      <c r="AG862" s="3"/>
      <c r="AH862" s="3"/>
      <c r="AI862" s="3"/>
      <c r="AJ862" s="2">
        <f t="shared" si="97"/>
        <v>0</v>
      </c>
      <c r="AK862" s="2">
        <f t="shared" si="95"/>
        <v>0</v>
      </c>
      <c r="AL862" s="2">
        <f t="shared" si="94"/>
        <v>0</v>
      </c>
      <c r="AM862" s="88"/>
      <c r="AN862" s="157" t="s">
        <v>774</v>
      </c>
    </row>
    <row r="863" spans="2:40" ht="23.15" customHeight="1" thickBot="1">
      <c r="B863" s="87">
        <v>45875</v>
      </c>
      <c r="C863" s="2" t="s">
        <v>295</v>
      </c>
      <c r="D863" s="15" t="s">
        <v>20</v>
      </c>
      <c r="E863" s="29" t="s">
        <v>30</v>
      </c>
      <c r="F863" s="20" t="s">
        <v>40</v>
      </c>
      <c r="G863" s="11">
        <v>70</v>
      </c>
      <c r="H863" s="25">
        <v>79</v>
      </c>
      <c r="I863" s="18">
        <v>0</v>
      </c>
      <c r="J863" s="18">
        <v>0</v>
      </c>
      <c r="K863" s="19">
        <v>441236.93741557532</v>
      </c>
      <c r="L863" s="41">
        <v>0</v>
      </c>
      <c r="M863" s="41">
        <v>0</v>
      </c>
      <c r="N863" s="41">
        <v>0</v>
      </c>
      <c r="O863" s="41">
        <v>0</v>
      </c>
      <c r="P863" s="41">
        <v>0</v>
      </c>
      <c r="Q863" s="43">
        <v>0</v>
      </c>
      <c r="R863" s="41">
        <v>0</v>
      </c>
      <c r="S863" s="43">
        <v>0</v>
      </c>
      <c r="T863" s="43">
        <v>0</v>
      </c>
      <c r="U863" s="19" t="s">
        <v>295</v>
      </c>
      <c r="V863" s="13">
        <f t="shared" si="96"/>
        <v>441236.93741557532</v>
      </c>
      <c r="W863" s="30"/>
      <c r="X863" s="30"/>
      <c r="Y863" s="13"/>
      <c r="Z863" s="13"/>
      <c r="AA863" s="31">
        <v>45839</v>
      </c>
      <c r="AB863" s="22" cm="1">
        <f t="array" ref="AB8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63" s="4"/>
      <c r="AD863" s="12"/>
      <c r="AE863" s="2"/>
      <c r="AF863" s="3"/>
      <c r="AG863" s="3"/>
      <c r="AH863" s="3"/>
      <c r="AI863" s="3"/>
      <c r="AJ863" s="2">
        <f t="shared" si="97"/>
        <v>0</v>
      </c>
      <c r="AK863" s="2">
        <f t="shared" si="95"/>
        <v>0</v>
      </c>
      <c r="AL863" s="2">
        <f t="shared" si="94"/>
        <v>0</v>
      </c>
      <c r="AM863" s="88"/>
      <c r="AN863" s="157" t="s">
        <v>774</v>
      </c>
    </row>
    <row r="864" spans="2:40" ht="23.15" customHeight="1" thickBot="1">
      <c r="B864" s="87"/>
      <c r="C864" s="26"/>
      <c r="D864" s="15" t="s">
        <v>20</v>
      </c>
      <c r="E864" s="32" t="s">
        <v>158</v>
      </c>
      <c r="F864" s="32" t="s">
        <v>38</v>
      </c>
      <c r="G864" s="11">
        <v>1</v>
      </c>
      <c r="H864" s="33"/>
      <c r="I864" s="18" t="s">
        <v>294</v>
      </c>
      <c r="J864" s="18" t="s">
        <v>294</v>
      </c>
      <c r="K864" s="19">
        <v>3607</v>
      </c>
      <c r="L864" s="41"/>
      <c r="M864" s="41" t="s">
        <v>294</v>
      </c>
      <c r="N864" s="41"/>
      <c r="O864" s="41" t="s">
        <v>294</v>
      </c>
      <c r="P864" s="41" t="s">
        <v>293</v>
      </c>
      <c r="Q864" s="43"/>
      <c r="R864" s="41"/>
      <c r="S864" s="43"/>
      <c r="T864" s="43"/>
      <c r="U864" s="19"/>
      <c r="V864" s="13">
        <f t="shared" si="96"/>
        <v>3607</v>
      </c>
      <c r="W864" s="9"/>
      <c r="X864" s="9"/>
      <c r="Y864" s="13"/>
      <c r="Z864" s="13"/>
      <c r="AA864" s="35">
        <v>45931</v>
      </c>
      <c r="AB864" s="22" cm="1">
        <f t="array" ref="AB8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64" s="27"/>
      <c r="AD864" s="34"/>
      <c r="AE864" s="28"/>
      <c r="AF864" s="3"/>
      <c r="AG864" s="3"/>
      <c r="AH864" s="3"/>
      <c r="AI864" s="3"/>
      <c r="AJ864" s="2">
        <f t="shared" si="97"/>
        <v>0</v>
      </c>
      <c r="AK864" s="2">
        <f t="shared" si="95"/>
        <v>0</v>
      </c>
      <c r="AL864" s="2">
        <f t="shared" si="94"/>
        <v>0</v>
      </c>
      <c r="AM864" s="88"/>
      <c r="AN864" s="157" t="s">
        <v>774</v>
      </c>
    </row>
    <row r="865" spans="2:40" ht="23.15" customHeight="1" thickBot="1">
      <c r="B865" s="87">
        <v>45903</v>
      </c>
      <c r="C865" s="2" t="s">
        <v>299</v>
      </c>
      <c r="D865" s="15" t="s">
        <v>20</v>
      </c>
      <c r="E865" s="17" t="s">
        <v>33</v>
      </c>
      <c r="F865" s="17" t="s">
        <v>44</v>
      </c>
      <c r="G865" s="11">
        <v>3</v>
      </c>
      <c r="H865" s="33">
        <v>4</v>
      </c>
      <c r="I865" s="18">
        <v>0</v>
      </c>
      <c r="J865" s="18">
        <v>0</v>
      </c>
      <c r="K865" s="19">
        <v>16950.95</v>
      </c>
      <c r="L865" s="41">
        <v>0</v>
      </c>
      <c r="M865" s="41">
        <v>0</v>
      </c>
      <c r="N865" s="41">
        <v>0</v>
      </c>
      <c r="O865" s="41">
        <v>0</v>
      </c>
      <c r="P865" s="41">
        <v>0</v>
      </c>
      <c r="Q865" s="43">
        <v>0</v>
      </c>
      <c r="R865" s="41">
        <v>0</v>
      </c>
      <c r="S865" s="43">
        <v>0</v>
      </c>
      <c r="T865" s="43">
        <v>0</v>
      </c>
      <c r="U865" s="19" t="s">
        <v>295</v>
      </c>
      <c r="V865" s="13">
        <f t="shared" si="96"/>
        <v>16950.95</v>
      </c>
      <c r="W865" s="13"/>
      <c r="X865" s="13"/>
      <c r="Y865" s="13"/>
      <c r="Z865" s="13"/>
      <c r="AA865" s="22">
        <v>45870</v>
      </c>
      <c r="AB865" s="22" cm="1">
        <f t="array" ref="AB8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65" s="4"/>
      <c r="AD865" s="13"/>
      <c r="AE865" s="2"/>
      <c r="AF865" s="3"/>
      <c r="AG865" s="3"/>
      <c r="AH865" s="3"/>
      <c r="AI865" s="3"/>
      <c r="AJ865" s="2">
        <f t="shared" si="97"/>
        <v>0</v>
      </c>
      <c r="AK865" s="2">
        <f t="shared" si="95"/>
        <v>0</v>
      </c>
      <c r="AL865" s="2">
        <f t="shared" si="94"/>
        <v>0</v>
      </c>
      <c r="AM865" s="88"/>
      <c r="AN865" s="157" t="s">
        <v>774</v>
      </c>
    </row>
    <row r="866" spans="2:40" ht="23.15" customHeight="1" thickBot="1">
      <c r="B866" s="87"/>
      <c r="C866" s="2" t="s">
        <v>295</v>
      </c>
      <c r="D866" s="15" t="s">
        <v>20</v>
      </c>
      <c r="E866" s="20" t="s">
        <v>30</v>
      </c>
      <c r="F866" s="20" t="s">
        <v>40</v>
      </c>
      <c r="G866" s="11">
        <v>70</v>
      </c>
      <c r="H866" s="33">
        <v>77</v>
      </c>
      <c r="I866" s="18">
        <v>0</v>
      </c>
      <c r="J866" s="18">
        <v>0</v>
      </c>
      <c r="K866" s="19">
        <v>359912.11</v>
      </c>
      <c r="L866" s="41">
        <v>0</v>
      </c>
      <c r="M866" s="41">
        <v>0</v>
      </c>
      <c r="N866" s="41">
        <v>0</v>
      </c>
      <c r="O866" s="41">
        <v>0</v>
      </c>
      <c r="P866" s="41">
        <v>0</v>
      </c>
      <c r="Q866" s="43">
        <v>0</v>
      </c>
      <c r="R866" s="41">
        <v>0</v>
      </c>
      <c r="S866" s="43">
        <v>0</v>
      </c>
      <c r="T866" s="43">
        <v>0</v>
      </c>
      <c r="U866" s="19" t="s">
        <v>295</v>
      </c>
      <c r="V866" s="13">
        <f t="shared" si="96"/>
        <v>359912.11</v>
      </c>
      <c r="W866" s="13"/>
      <c r="X866" s="13"/>
      <c r="Y866" s="13"/>
      <c r="Z866" s="13"/>
      <c r="AA866" s="22">
        <v>45658</v>
      </c>
      <c r="AB866" s="22" cm="1">
        <f t="array" ref="AB8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66" s="4"/>
      <c r="AD866" s="4"/>
      <c r="AE866" s="2"/>
      <c r="AF866" s="3"/>
      <c r="AG866" s="3"/>
      <c r="AH866" s="3"/>
      <c r="AI866" s="3"/>
      <c r="AJ866" s="2">
        <f t="shared" si="97"/>
        <v>0</v>
      </c>
      <c r="AK866" s="2">
        <f t="shared" si="95"/>
        <v>0</v>
      </c>
      <c r="AL866" s="2">
        <f t="shared" si="94"/>
        <v>0</v>
      </c>
      <c r="AM866" s="88"/>
      <c r="AN866" s="157" t="s">
        <v>774</v>
      </c>
    </row>
    <row r="867" spans="2:40" ht="23.15" customHeight="1" thickBot="1">
      <c r="B867" s="87">
        <v>45722</v>
      </c>
      <c r="C867" s="2" t="s">
        <v>295</v>
      </c>
      <c r="D867" s="15" t="s">
        <v>20</v>
      </c>
      <c r="E867" s="20" t="s">
        <v>30</v>
      </c>
      <c r="F867" s="20" t="s">
        <v>40</v>
      </c>
      <c r="G867" s="11">
        <v>70</v>
      </c>
      <c r="H867" s="33">
        <v>79</v>
      </c>
      <c r="I867" s="18">
        <v>0</v>
      </c>
      <c r="J867" s="18">
        <v>0</v>
      </c>
      <c r="K867" s="19">
        <v>409317.3865767073</v>
      </c>
      <c r="L867" s="41">
        <v>0</v>
      </c>
      <c r="M867" s="41">
        <v>0</v>
      </c>
      <c r="N867" s="41">
        <v>0</v>
      </c>
      <c r="O867" s="41">
        <v>0</v>
      </c>
      <c r="P867" s="41">
        <v>0</v>
      </c>
      <c r="Q867" s="43">
        <v>0</v>
      </c>
      <c r="R867" s="41">
        <v>0</v>
      </c>
      <c r="S867" s="43">
        <v>0</v>
      </c>
      <c r="T867" s="43">
        <v>0</v>
      </c>
      <c r="U867" s="19" t="s">
        <v>295</v>
      </c>
      <c r="V867" s="13">
        <f t="shared" si="96"/>
        <v>409317.3865767073</v>
      </c>
      <c r="W867" s="13"/>
      <c r="X867" s="13"/>
      <c r="Y867" s="13"/>
      <c r="Z867" s="13"/>
      <c r="AA867" s="22">
        <v>45689</v>
      </c>
      <c r="AB867" s="22" cm="1">
        <f t="array" ref="AB8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67" s="4"/>
      <c r="AD867" s="4"/>
      <c r="AE867" s="2"/>
      <c r="AF867" s="3"/>
      <c r="AG867" s="3"/>
      <c r="AH867" s="3"/>
      <c r="AI867" s="3"/>
      <c r="AJ867" s="2">
        <f t="shared" si="97"/>
        <v>0</v>
      </c>
      <c r="AK867" s="2">
        <f t="shared" si="95"/>
        <v>0</v>
      </c>
      <c r="AL867" s="2">
        <f t="shared" si="94"/>
        <v>0</v>
      </c>
      <c r="AM867" s="88"/>
      <c r="AN867" s="157" t="s">
        <v>774</v>
      </c>
    </row>
    <row r="868" spans="2:40" ht="23.15" customHeight="1" thickBot="1">
      <c r="B868" s="87">
        <v>45748</v>
      </c>
      <c r="C868" s="2" t="s">
        <v>295</v>
      </c>
      <c r="D868" s="15" t="s">
        <v>20</v>
      </c>
      <c r="E868" s="20" t="s">
        <v>30</v>
      </c>
      <c r="F868" s="20" t="s">
        <v>40</v>
      </c>
      <c r="G868" s="11">
        <v>70</v>
      </c>
      <c r="H868" s="33">
        <v>79</v>
      </c>
      <c r="I868" s="18">
        <v>0</v>
      </c>
      <c r="J868" s="18">
        <v>0</v>
      </c>
      <c r="K868" s="19">
        <v>409317.3865767073</v>
      </c>
      <c r="L868" s="41">
        <v>0</v>
      </c>
      <c r="M868" s="41">
        <v>0</v>
      </c>
      <c r="N868" s="41">
        <v>0</v>
      </c>
      <c r="O868" s="41">
        <v>0</v>
      </c>
      <c r="P868" s="41">
        <v>0</v>
      </c>
      <c r="Q868" s="43">
        <v>0</v>
      </c>
      <c r="R868" s="41">
        <v>0</v>
      </c>
      <c r="S868" s="43">
        <v>0</v>
      </c>
      <c r="T868" s="43">
        <v>0</v>
      </c>
      <c r="U868" s="19" t="s">
        <v>295</v>
      </c>
      <c r="V868" s="13">
        <f t="shared" si="96"/>
        <v>409317.3865767073</v>
      </c>
      <c r="W868" s="13"/>
      <c r="X868" s="13"/>
      <c r="Y868" s="13"/>
      <c r="Z868" s="13"/>
      <c r="AA868" s="22">
        <v>45717</v>
      </c>
      <c r="AB868" s="22" cm="1">
        <f t="array" ref="AB8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68" s="4"/>
      <c r="AD868" s="4"/>
      <c r="AE868" s="2"/>
      <c r="AF868" s="3"/>
      <c r="AG868" s="3"/>
      <c r="AH868" s="3"/>
      <c r="AI868" s="3"/>
      <c r="AJ868" s="2">
        <f t="shared" si="97"/>
        <v>0</v>
      </c>
      <c r="AK868" s="2">
        <f t="shared" si="95"/>
        <v>0</v>
      </c>
      <c r="AL868" s="2">
        <f t="shared" si="94"/>
        <v>0</v>
      </c>
      <c r="AM868" s="88"/>
      <c r="AN868" s="157" t="s">
        <v>774</v>
      </c>
    </row>
    <row r="869" spans="2:40" ht="23.15" customHeight="1" thickBot="1">
      <c r="B869" s="87">
        <v>45779</v>
      </c>
      <c r="C869" s="2" t="s">
        <v>295</v>
      </c>
      <c r="D869" s="15" t="s">
        <v>20</v>
      </c>
      <c r="E869" s="20" t="s">
        <v>30</v>
      </c>
      <c r="F869" s="20" t="s">
        <v>40</v>
      </c>
      <c r="G869" s="11">
        <v>70</v>
      </c>
      <c r="H869" s="33">
        <v>79</v>
      </c>
      <c r="I869" s="18">
        <v>0</v>
      </c>
      <c r="J869" s="18">
        <v>0</v>
      </c>
      <c r="K869" s="19">
        <v>409317.3865767073</v>
      </c>
      <c r="L869" s="41">
        <v>0</v>
      </c>
      <c r="M869" s="41">
        <v>0</v>
      </c>
      <c r="N869" s="41">
        <v>0</v>
      </c>
      <c r="O869" s="41">
        <v>0</v>
      </c>
      <c r="P869" s="41">
        <v>0</v>
      </c>
      <c r="Q869" s="43">
        <v>0</v>
      </c>
      <c r="R869" s="41">
        <v>0</v>
      </c>
      <c r="S869" s="43">
        <v>0</v>
      </c>
      <c r="T869" s="43">
        <v>0</v>
      </c>
      <c r="U869" s="19" t="s">
        <v>295</v>
      </c>
      <c r="V869" s="13">
        <f t="shared" si="96"/>
        <v>409317.3865767073</v>
      </c>
      <c r="W869" s="13"/>
      <c r="X869" s="13"/>
      <c r="Y869" s="13"/>
      <c r="Z869" s="13"/>
      <c r="AA869" s="22">
        <v>45748</v>
      </c>
      <c r="AB869" s="22" cm="1">
        <f t="array" ref="AB8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69" s="4">
        <v>15193.803061224489</v>
      </c>
      <c r="AD869" s="4">
        <v>11736.998219330821</v>
      </c>
      <c r="AE869" s="2"/>
      <c r="AF869" s="3"/>
      <c r="AG869" s="3"/>
      <c r="AH869" s="3"/>
      <c r="AI869" s="3"/>
      <c r="AJ869" s="2">
        <f t="shared" si="97"/>
        <v>0</v>
      </c>
      <c r="AK869" s="2">
        <f t="shared" si="95"/>
        <v>3456.8048418936687</v>
      </c>
      <c r="AL869" s="2">
        <f t="shared" si="94"/>
        <v>0</v>
      </c>
      <c r="AM869" s="88"/>
      <c r="AN869" s="157" t="s">
        <v>774</v>
      </c>
    </row>
    <row r="870" spans="2:40" ht="23.15" customHeight="1" thickBot="1">
      <c r="B870" s="87">
        <v>45812</v>
      </c>
      <c r="C870" s="2" t="s">
        <v>295</v>
      </c>
      <c r="D870" s="15" t="s">
        <v>20</v>
      </c>
      <c r="E870" s="20" t="s">
        <v>30</v>
      </c>
      <c r="F870" s="20" t="s">
        <v>40</v>
      </c>
      <c r="G870" s="11">
        <v>70</v>
      </c>
      <c r="H870" s="33">
        <v>79</v>
      </c>
      <c r="I870" s="18">
        <v>0</v>
      </c>
      <c r="J870" s="18">
        <v>0</v>
      </c>
      <c r="K870" s="19">
        <v>441236.93741557532</v>
      </c>
      <c r="L870" s="41">
        <v>0</v>
      </c>
      <c r="M870" s="41">
        <v>0</v>
      </c>
      <c r="N870" s="41">
        <v>0</v>
      </c>
      <c r="O870" s="41">
        <v>0</v>
      </c>
      <c r="P870" s="41">
        <v>0</v>
      </c>
      <c r="Q870" s="43">
        <v>0</v>
      </c>
      <c r="R870" s="41">
        <v>0</v>
      </c>
      <c r="S870" s="43">
        <v>0</v>
      </c>
      <c r="T870" s="43">
        <v>0</v>
      </c>
      <c r="U870" s="19" t="s">
        <v>295</v>
      </c>
      <c r="V870" s="13">
        <f t="shared" si="96"/>
        <v>441236.93741557532</v>
      </c>
      <c r="W870" s="13"/>
      <c r="X870" s="13"/>
      <c r="Y870" s="13">
        <v>63839.1</v>
      </c>
      <c r="Z870" s="13" t="s">
        <v>302</v>
      </c>
      <c r="AA870" s="22">
        <v>45778</v>
      </c>
      <c r="AB870" s="22" cm="1">
        <f t="array" ref="AB8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70" s="4"/>
      <c r="AD870" s="4"/>
      <c r="AE870" s="2"/>
      <c r="AF870" s="3"/>
      <c r="AG870" s="3"/>
      <c r="AH870" s="3"/>
      <c r="AI870" s="3"/>
      <c r="AJ870" s="2">
        <f t="shared" si="97"/>
        <v>0</v>
      </c>
      <c r="AK870" s="2">
        <f t="shared" si="95"/>
        <v>0</v>
      </c>
      <c r="AL870" s="2">
        <f t="shared" si="94"/>
        <v>0</v>
      </c>
      <c r="AM870" s="88"/>
      <c r="AN870" s="157" t="s">
        <v>774</v>
      </c>
    </row>
    <row r="871" spans="2:40" ht="23.15" customHeight="1" thickBot="1">
      <c r="B871" s="87">
        <v>45842</v>
      </c>
      <c r="C871" s="2" t="s">
        <v>295</v>
      </c>
      <c r="D871" s="15" t="s">
        <v>20</v>
      </c>
      <c r="E871" s="20" t="s">
        <v>30</v>
      </c>
      <c r="F871" s="20" t="s">
        <v>40</v>
      </c>
      <c r="G871" s="11">
        <v>70</v>
      </c>
      <c r="H871" s="33">
        <v>79</v>
      </c>
      <c r="I871" s="18">
        <v>0</v>
      </c>
      <c r="J871" s="18">
        <v>0</v>
      </c>
      <c r="K871" s="19">
        <v>441236.93741557532</v>
      </c>
      <c r="L871" s="41">
        <v>0</v>
      </c>
      <c r="M871" s="41">
        <v>0</v>
      </c>
      <c r="N871" s="41">
        <v>0</v>
      </c>
      <c r="O871" s="41">
        <v>0</v>
      </c>
      <c r="P871" s="41">
        <v>0</v>
      </c>
      <c r="Q871" s="41">
        <v>0</v>
      </c>
      <c r="R871" s="41">
        <v>0</v>
      </c>
      <c r="S871" s="43">
        <v>0</v>
      </c>
      <c r="T871" s="41">
        <v>0</v>
      </c>
      <c r="U871" s="19" t="s">
        <v>295</v>
      </c>
      <c r="V871" s="13">
        <f t="shared" si="96"/>
        <v>441236.93741557532</v>
      </c>
      <c r="W871" s="13"/>
      <c r="X871" s="13"/>
      <c r="Y871" s="13"/>
      <c r="Z871" s="13"/>
      <c r="AA871" s="22">
        <v>45809</v>
      </c>
      <c r="AB871" s="22" cm="1">
        <f t="array" ref="AB8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71" s="4"/>
      <c r="AD871" s="4"/>
      <c r="AE871" s="2"/>
      <c r="AF871" s="3"/>
      <c r="AG871" s="3"/>
      <c r="AH871" s="3"/>
      <c r="AI871" s="3"/>
      <c r="AJ871" s="2">
        <f t="shared" si="97"/>
        <v>0</v>
      </c>
      <c r="AK871" s="2">
        <f t="shared" si="95"/>
        <v>0</v>
      </c>
      <c r="AL871" s="2">
        <f t="shared" si="94"/>
        <v>0</v>
      </c>
      <c r="AM871" s="88"/>
      <c r="AN871" s="157" t="s">
        <v>774</v>
      </c>
    </row>
    <row r="872" spans="2:40" ht="23.15" customHeight="1" thickBot="1">
      <c r="B872" s="87">
        <v>45880</v>
      </c>
      <c r="C872" s="2" t="s">
        <v>295</v>
      </c>
      <c r="D872" s="15" t="s">
        <v>21</v>
      </c>
      <c r="E872" s="20" t="s">
        <v>30</v>
      </c>
      <c r="F872" s="20" t="s">
        <v>40</v>
      </c>
      <c r="G872" s="11">
        <v>54</v>
      </c>
      <c r="H872" s="11">
        <v>64</v>
      </c>
      <c r="I872" s="18">
        <v>85</v>
      </c>
      <c r="J872" s="18">
        <v>0</v>
      </c>
      <c r="K872" s="19">
        <v>382212.88</v>
      </c>
      <c r="L872" s="41">
        <v>0</v>
      </c>
      <c r="M872" s="41">
        <v>-14299.24</v>
      </c>
      <c r="N872" s="41">
        <v>0</v>
      </c>
      <c r="O872" s="41">
        <v>0</v>
      </c>
      <c r="P872" s="41">
        <v>-4956.8599999999997</v>
      </c>
      <c r="Q872" s="43">
        <v>0</v>
      </c>
      <c r="R872" s="43">
        <v>-1795.89</v>
      </c>
      <c r="S872" s="43">
        <v>0</v>
      </c>
      <c r="T872" s="43">
        <v>0</v>
      </c>
      <c r="U872" s="19" t="s">
        <v>295</v>
      </c>
      <c r="V872" s="13">
        <f t="shared" si="96"/>
        <v>361160.89</v>
      </c>
      <c r="W872" s="13"/>
      <c r="X872" s="13"/>
      <c r="Y872" s="13"/>
      <c r="Z872" s="13"/>
      <c r="AA872" s="22">
        <v>45839</v>
      </c>
      <c r="AB872" s="22" cm="1">
        <f t="array" ref="AB8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72" s="4"/>
      <c r="AD872" s="4"/>
      <c r="AE872" s="2"/>
      <c r="AF872" s="3"/>
      <c r="AG872" s="3"/>
      <c r="AH872" s="3"/>
      <c r="AI872" s="3"/>
      <c r="AJ872" s="2">
        <f t="shared" si="97"/>
        <v>14299.24</v>
      </c>
      <c r="AK872" s="2">
        <f t="shared" si="95"/>
        <v>0</v>
      </c>
      <c r="AL872" s="2">
        <f t="shared" ref="AL872:AL935" si="98">K872-V872</f>
        <v>21051.989999999991</v>
      </c>
      <c r="AM872" s="88"/>
      <c r="AN872" s="157" t="s">
        <v>774</v>
      </c>
    </row>
    <row r="873" spans="2:40" ht="23.15" customHeight="1" thickBot="1">
      <c r="B873" s="87">
        <v>45932</v>
      </c>
      <c r="C873" s="2" t="s">
        <v>295</v>
      </c>
      <c r="D873" s="15" t="s">
        <v>20</v>
      </c>
      <c r="E873" s="20" t="s">
        <v>33</v>
      </c>
      <c r="F873" s="20" t="s">
        <v>44</v>
      </c>
      <c r="G873" s="11">
        <v>3</v>
      </c>
      <c r="H873" s="11">
        <v>4</v>
      </c>
      <c r="I873" s="18">
        <v>0</v>
      </c>
      <c r="J873" s="18">
        <v>0</v>
      </c>
      <c r="K873" s="19">
        <v>16950.95</v>
      </c>
      <c r="L873" s="41">
        <v>0</v>
      </c>
      <c r="M873" s="18">
        <v>0</v>
      </c>
      <c r="N873" s="41">
        <v>0</v>
      </c>
      <c r="O873" s="41">
        <v>0</v>
      </c>
      <c r="P873" s="41">
        <v>0</v>
      </c>
      <c r="Q873" s="43">
        <v>0</v>
      </c>
      <c r="R873" s="43">
        <v>0</v>
      </c>
      <c r="S873" s="43">
        <v>0</v>
      </c>
      <c r="T873" s="43">
        <v>0</v>
      </c>
      <c r="U873" s="19" t="s">
        <v>295</v>
      </c>
      <c r="V873" s="13">
        <f t="shared" si="96"/>
        <v>16950.95</v>
      </c>
      <c r="W873" s="13"/>
      <c r="X873" s="13"/>
      <c r="Y873" s="13"/>
      <c r="Z873" s="13"/>
      <c r="AA873" s="22">
        <v>45901</v>
      </c>
      <c r="AB873" s="22" cm="1">
        <f t="array" ref="AB8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73" s="4"/>
      <c r="AD873" s="4"/>
      <c r="AE873" s="2"/>
      <c r="AF873" s="3"/>
      <c r="AG873" s="3"/>
      <c r="AH873" s="3"/>
      <c r="AI873" s="3"/>
      <c r="AJ873" s="2">
        <f t="shared" si="97"/>
        <v>0</v>
      </c>
      <c r="AK873" s="2">
        <f t="shared" si="95"/>
        <v>0</v>
      </c>
      <c r="AL873" s="2">
        <f t="shared" si="98"/>
        <v>0</v>
      </c>
      <c r="AM873" s="88"/>
      <c r="AN873" s="157" t="s">
        <v>774</v>
      </c>
    </row>
    <row r="874" spans="2:40" ht="23.15" customHeight="1" thickBot="1">
      <c r="B874" s="87"/>
      <c r="C874" s="2"/>
      <c r="D874" s="15" t="s">
        <v>20</v>
      </c>
      <c r="E874" s="20" t="s">
        <v>33</v>
      </c>
      <c r="F874" s="20" t="s">
        <v>44</v>
      </c>
      <c r="G874" s="11">
        <v>3</v>
      </c>
      <c r="H874" s="11"/>
      <c r="I874" s="18" t="s">
        <v>294</v>
      </c>
      <c r="J874" s="18" t="s">
        <v>294</v>
      </c>
      <c r="K874" s="19">
        <v>16950.95</v>
      </c>
      <c r="L874" s="41"/>
      <c r="M874" s="41" t="s">
        <v>294</v>
      </c>
      <c r="N874" s="41"/>
      <c r="O874" s="41" t="s">
        <v>294</v>
      </c>
      <c r="P874" s="41" t="s">
        <v>293</v>
      </c>
      <c r="Q874" s="43"/>
      <c r="R874" s="43"/>
      <c r="S874" s="43"/>
      <c r="T874" s="43"/>
      <c r="U874" s="19"/>
      <c r="V874" s="13">
        <f t="shared" si="96"/>
        <v>16950.95</v>
      </c>
      <c r="W874" s="13"/>
      <c r="X874" s="13"/>
      <c r="Y874" s="13"/>
      <c r="Z874" s="13"/>
      <c r="AA874" s="22">
        <v>45931</v>
      </c>
      <c r="AB874" s="22" cm="1">
        <f t="array" ref="AB8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74" s="4"/>
      <c r="AD874" s="4"/>
      <c r="AE874" s="2"/>
      <c r="AF874" s="3"/>
      <c r="AG874" s="3"/>
      <c r="AH874" s="3"/>
      <c r="AI874" s="3"/>
      <c r="AJ874" s="2">
        <f t="shared" si="97"/>
        <v>0</v>
      </c>
      <c r="AK874" s="2">
        <f t="shared" si="95"/>
        <v>0</v>
      </c>
      <c r="AL874" s="2">
        <f t="shared" si="98"/>
        <v>0</v>
      </c>
      <c r="AM874" s="88"/>
      <c r="AN874" s="157" t="s">
        <v>774</v>
      </c>
    </row>
    <row r="875" spans="2:40" ht="23.15" customHeight="1" thickBot="1">
      <c r="B875" s="87">
        <v>45903</v>
      </c>
      <c r="C875" s="2" t="s">
        <v>295</v>
      </c>
      <c r="D875" s="15" t="s">
        <v>20</v>
      </c>
      <c r="E875" s="20" t="s">
        <v>30</v>
      </c>
      <c r="F875" s="20" t="s">
        <v>40</v>
      </c>
      <c r="G875" s="11">
        <v>70</v>
      </c>
      <c r="H875" s="11">
        <v>79</v>
      </c>
      <c r="I875" s="18">
        <v>0</v>
      </c>
      <c r="J875" s="18">
        <v>0</v>
      </c>
      <c r="K875" s="19">
        <v>441236.93741557532</v>
      </c>
      <c r="L875" s="41">
        <v>0</v>
      </c>
      <c r="M875" s="41">
        <v>0</v>
      </c>
      <c r="N875" s="41">
        <v>0</v>
      </c>
      <c r="O875" s="41">
        <v>0</v>
      </c>
      <c r="P875" s="41">
        <v>0</v>
      </c>
      <c r="Q875" s="41">
        <v>0</v>
      </c>
      <c r="R875" s="41">
        <v>0</v>
      </c>
      <c r="S875" s="41">
        <v>0</v>
      </c>
      <c r="T875" s="41">
        <v>0</v>
      </c>
      <c r="U875" s="19" t="s">
        <v>295</v>
      </c>
      <c r="V875" s="13">
        <f t="shared" si="96"/>
        <v>441236.93741557532</v>
      </c>
      <c r="W875" s="13"/>
      <c r="X875" s="13"/>
      <c r="Y875" s="13"/>
      <c r="Z875" s="13"/>
      <c r="AA875" s="22">
        <v>45870</v>
      </c>
      <c r="AB875" s="22" cm="1">
        <f t="array" ref="AB8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75" s="4"/>
      <c r="AD875" s="4"/>
      <c r="AE875" s="2"/>
      <c r="AF875" s="3"/>
      <c r="AG875" s="3"/>
      <c r="AH875" s="3"/>
      <c r="AI875" s="3"/>
      <c r="AJ875" s="2">
        <f t="shared" si="97"/>
        <v>0</v>
      </c>
      <c r="AK875" s="2">
        <f t="shared" si="95"/>
        <v>0</v>
      </c>
      <c r="AL875" s="2">
        <f t="shared" si="98"/>
        <v>0</v>
      </c>
      <c r="AM875" s="88"/>
      <c r="AN875" s="157" t="s">
        <v>774</v>
      </c>
    </row>
    <row r="876" spans="2:40" ht="23.15" customHeight="1" thickBot="1">
      <c r="B876" s="87">
        <v>45932</v>
      </c>
      <c r="C876" s="2" t="s">
        <v>295</v>
      </c>
      <c r="D876" s="15" t="s">
        <v>20</v>
      </c>
      <c r="E876" s="20" t="s">
        <v>30</v>
      </c>
      <c r="F876" s="20" t="s">
        <v>40</v>
      </c>
      <c r="G876" s="11">
        <v>70</v>
      </c>
      <c r="H876" s="11">
        <v>81</v>
      </c>
      <c r="I876" s="18">
        <v>0</v>
      </c>
      <c r="J876" s="18">
        <v>0</v>
      </c>
      <c r="K876" s="19">
        <v>450396.77</v>
      </c>
      <c r="L876" s="41">
        <v>0</v>
      </c>
      <c r="M876" s="18">
        <v>0</v>
      </c>
      <c r="N876" s="41">
        <v>0</v>
      </c>
      <c r="O876" s="41">
        <v>0</v>
      </c>
      <c r="P876" s="41">
        <v>0</v>
      </c>
      <c r="Q876" s="43">
        <v>0</v>
      </c>
      <c r="R876" s="43">
        <v>0</v>
      </c>
      <c r="S876" s="43">
        <v>0</v>
      </c>
      <c r="T876" s="43">
        <v>0</v>
      </c>
      <c r="U876" s="19" t="s">
        <v>295</v>
      </c>
      <c r="V876" s="13">
        <f t="shared" si="96"/>
        <v>450396.77</v>
      </c>
      <c r="W876" s="13"/>
      <c r="X876" s="13"/>
      <c r="Y876" s="13"/>
      <c r="Z876" s="13"/>
      <c r="AA876" s="22">
        <v>45901</v>
      </c>
      <c r="AB876" s="22" cm="1">
        <f t="array" ref="AB8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76" s="4"/>
      <c r="AD876" s="4"/>
      <c r="AE876" s="2"/>
      <c r="AF876" s="3"/>
      <c r="AG876" s="3"/>
      <c r="AH876" s="3"/>
      <c r="AI876" s="3"/>
      <c r="AJ876" s="2">
        <f t="shared" si="97"/>
        <v>0</v>
      </c>
      <c r="AK876" s="2">
        <f t="shared" si="95"/>
        <v>0</v>
      </c>
      <c r="AL876" s="2">
        <f t="shared" si="98"/>
        <v>0</v>
      </c>
      <c r="AM876" s="88"/>
      <c r="AN876" s="157" t="s">
        <v>774</v>
      </c>
    </row>
    <row r="877" spans="2:40" ht="23.15" customHeight="1" thickBot="1">
      <c r="B877" s="87"/>
      <c r="C877" s="2"/>
      <c r="D877" s="15" t="s">
        <v>20</v>
      </c>
      <c r="E877" s="20" t="s">
        <v>30</v>
      </c>
      <c r="F877" s="20" t="s">
        <v>40</v>
      </c>
      <c r="G877" s="11">
        <v>70</v>
      </c>
      <c r="H877" s="11"/>
      <c r="I877" s="18" t="s">
        <v>294</v>
      </c>
      <c r="J877" s="18" t="s">
        <v>294</v>
      </c>
      <c r="K877" s="19">
        <v>450396.77</v>
      </c>
      <c r="L877" s="41"/>
      <c r="M877" s="41" t="s">
        <v>294</v>
      </c>
      <c r="N877" s="41"/>
      <c r="O877" s="41" t="s">
        <v>294</v>
      </c>
      <c r="P877" s="41" t="s">
        <v>293</v>
      </c>
      <c r="Q877" s="43"/>
      <c r="R877" s="43"/>
      <c r="S877" s="43"/>
      <c r="T877" s="43"/>
      <c r="U877" s="19"/>
      <c r="V877" s="13">
        <f t="shared" si="96"/>
        <v>450396.77</v>
      </c>
      <c r="W877" s="13"/>
      <c r="X877" s="13"/>
      <c r="Y877" s="13"/>
      <c r="Z877" s="13"/>
      <c r="AA877" s="22">
        <v>45931</v>
      </c>
      <c r="AB877" s="22" cm="1">
        <f t="array" ref="AB8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77" s="4"/>
      <c r="AD877" s="4"/>
      <c r="AE877" s="2"/>
      <c r="AF877" s="3"/>
      <c r="AG877" s="3"/>
      <c r="AH877" s="3"/>
      <c r="AI877" s="3"/>
      <c r="AJ877" s="2">
        <f t="shared" si="97"/>
        <v>0</v>
      </c>
      <c r="AK877" s="2">
        <f t="shared" si="95"/>
        <v>0</v>
      </c>
      <c r="AL877" s="2">
        <f t="shared" si="98"/>
        <v>0</v>
      </c>
      <c r="AM877" s="88"/>
      <c r="AN877" s="157" t="s">
        <v>774</v>
      </c>
    </row>
    <row r="878" spans="2:40" ht="23.15" customHeight="1" thickBot="1">
      <c r="B878" s="87">
        <v>45908</v>
      </c>
      <c r="C878" s="2" t="s">
        <v>295</v>
      </c>
      <c r="D878" s="15" t="s">
        <v>20</v>
      </c>
      <c r="E878" s="20" t="s">
        <v>25</v>
      </c>
      <c r="F878" s="20" t="s">
        <v>40</v>
      </c>
      <c r="G878" s="11">
        <v>29</v>
      </c>
      <c r="H878" s="11">
        <v>15</v>
      </c>
      <c r="I878" s="18">
        <v>6</v>
      </c>
      <c r="J878" s="18">
        <v>21.32</v>
      </c>
      <c r="K878" s="19">
        <v>127346.83951569998</v>
      </c>
      <c r="L878" s="41">
        <v>-1159.67</v>
      </c>
      <c r="M878" s="41">
        <v>-1077.95</v>
      </c>
      <c r="N878" s="41">
        <v>-719.01</v>
      </c>
      <c r="O878" s="41">
        <v>-667.83320000000003</v>
      </c>
      <c r="P878" s="41">
        <v>-1485.71</v>
      </c>
      <c r="Q878" s="43">
        <v>0</v>
      </c>
      <c r="R878" s="43">
        <v>0</v>
      </c>
      <c r="S878" s="43">
        <v>0</v>
      </c>
      <c r="T878" s="43">
        <v>0</v>
      </c>
      <c r="U878" s="19" t="s">
        <v>295</v>
      </c>
      <c r="V878" s="13">
        <f t="shared" si="96"/>
        <v>124115.34631569998</v>
      </c>
      <c r="W878" s="13"/>
      <c r="X878" s="13"/>
      <c r="Y878" s="13"/>
      <c r="Z878" s="13"/>
      <c r="AA878" s="22">
        <v>45870</v>
      </c>
      <c r="AB878" s="22" cm="1">
        <f t="array" ref="AB8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78" s="4">
        <v>629.25</v>
      </c>
      <c r="AD878" s="4">
        <v>883.31434089735899</v>
      </c>
      <c r="AE878" s="2"/>
      <c r="AF878" s="3"/>
      <c r="AG878" s="3"/>
      <c r="AH878" s="3"/>
      <c r="AI878" s="3"/>
      <c r="AJ878" s="2">
        <f t="shared" si="97"/>
        <v>-81.720000000000027</v>
      </c>
      <c r="AK878" s="2" t="e">
        <f>#REF!-#REF!</f>
        <v>#REF!</v>
      </c>
      <c r="AL878" s="2">
        <f t="shared" si="98"/>
        <v>3231.4931999999972</v>
      </c>
      <c r="AM878" s="88"/>
      <c r="AN878" s="157" t="s">
        <v>774</v>
      </c>
    </row>
    <row r="879" spans="2:40" ht="23.15" customHeight="1" thickBot="1">
      <c r="B879" s="87">
        <v>45936</v>
      </c>
      <c r="C879" s="2" t="s">
        <v>295</v>
      </c>
      <c r="D879" s="15" t="s">
        <v>20</v>
      </c>
      <c r="E879" s="20" t="s">
        <v>25</v>
      </c>
      <c r="F879" s="20" t="s">
        <v>40</v>
      </c>
      <c r="G879" s="11">
        <v>29</v>
      </c>
      <c r="H879" s="11">
        <v>15</v>
      </c>
      <c r="I879" s="18">
        <v>4</v>
      </c>
      <c r="J879" s="18">
        <v>11.45</v>
      </c>
      <c r="K879" s="19">
        <v>127346.83951569998</v>
      </c>
      <c r="L879" s="41">
        <v>0</v>
      </c>
      <c r="M879" s="41">
        <v>-1146.52</v>
      </c>
      <c r="N879" s="41">
        <v>0</v>
      </c>
      <c r="O879" s="41">
        <v>-423.71800000000002</v>
      </c>
      <c r="P879" s="41">
        <v>-1485.71</v>
      </c>
      <c r="Q879" s="43">
        <v>0</v>
      </c>
      <c r="R879" s="43">
        <v>0</v>
      </c>
      <c r="S879" s="43">
        <v>0</v>
      </c>
      <c r="T879" s="43">
        <v>0</v>
      </c>
      <c r="U879" s="19" t="s">
        <v>295</v>
      </c>
      <c r="V879" s="13">
        <f t="shared" si="96"/>
        <v>124290.89151569997</v>
      </c>
      <c r="W879" s="13"/>
      <c r="X879" s="13"/>
      <c r="Y879" s="13"/>
      <c r="Z879" s="13"/>
      <c r="AA879" s="22">
        <v>45901</v>
      </c>
      <c r="AB879" s="22" cm="1">
        <f t="array" ref="AB8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79" s="4"/>
      <c r="AD879" s="4">
        <v>348.1622830450475</v>
      </c>
      <c r="AE879" s="2"/>
      <c r="AF879" s="3"/>
      <c r="AG879" s="3"/>
      <c r="AH879" s="3"/>
      <c r="AI879" s="3"/>
      <c r="AJ879" s="2">
        <f t="shared" si="97"/>
        <v>1146.52</v>
      </c>
      <c r="AK879" s="2">
        <f t="shared" ref="AK879:AK910" si="99">AC879-AD879</f>
        <v>-348.1622830450475</v>
      </c>
      <c r="AL879" s="2">
        <f t="shared" si="98"/>
        <v>3055.948000000004</v>
      </c>
      <c r="AM879" s="88"/>
      <c r="AN879" s="157" t="s">
        <v>774</v>
      </c>
    </row>
    <row r="880" spans="2:40" ht="23.15" customHeight="1" thickBot="1">
      <c r="B880" s="87"/>
      <c r="C880" s="2"/>
      <c r="D880" s="15" t="s">
        <v>20</v>
      </c>
      <c r="E880" s="20" t="s">
        <v>25</v>
      </c>
      <c r="F880" s="20" t="s">
        <v>40</v>
      </c>
      <c r="G880" s="11">
        <v>29</v>
      </c>
      <c r="H880" s="11"/>
      <c r="I880" s="18" t="s">
        <v>294</v>
      </c>
      <c r="J880" s="18" t="s">
        <v>294</v>
      </c>
      <c r="K880" s="19">
        <v>127346.84</v>
      </c>
      <c r="L880" s="41"/>
      <c r="M880" s="41" t="s">
        <v>294</v>
      </c>
      <c r="N880" s="41"/>
      <c r="O880" s="41" t="s">
        <v>294</v>
      </c>
      <c r="P880" s="41" t="s">
        <v>293</v>
      </c>
      <c r="Q880" s="43"/>
      <c r="R880" s="43"/>
      <c r="S880" s="43"/>
      <c r="T880" s="43"/>
      <c r="U880" s="19"/>
      <c r="V880" s="13">
        <f t="shared" si="96"/>
        <v>127346.84</v>
      </c>
      <c r="W880" s="13"/>
      <c r="X880" s="13"/>
      <c r="Y880" s="13"/>
      <c r="Z880" s="13"/>
      <c r="AA880" s="22">
        <v>45931</v>
      </c>
      <c r="AB880" s="22" cm="1">
        <f t="array" ref="AB8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80" s="4"/>
      <c r="AD880" s="4"/>
      <c r="AE880" s="2"/>
      <c r="AF880" s="3"/>
      <c r="AG880" s="3"/>
      <c r="AH880" s="3"/>
      <c r="AI880" s="3"/>
      <c r="AJ880" s="2">
        <f t="shared" si="97"/>
        <v>0</v>
      </c>
      <c r="AK880" s="2">
        <f t="shared" si="99"/>
        <v>0</v>
      </c>
      <c r="AL880" s="2">
        <f t="shared" si="98"/>
        <v>0</v>
      </c>
      <c r="AM880" s="88"/>
      <c r="AN880" s="157" t="s">
        <v>774</v>
      </c>
    </row>
    <row r="881" spans="2:40" ht="23.15" customHeight="1" thickBot="1">
      <c r="B881" s="87"/>
      <c r="C881" s="2" t="s">
        <v>292</v>
      </c>
      <c r="D881" s="15" t="s">
        <v>20</v>
      </c>
      <c r="E881" s="20" t="s">
        <v>26</v>
      </c>
      <c r="F881" s="20" t="s">
        <v>70</v>
      </c>
      <c r="G881" s="11">
        <v>4</v>
      </c>
      <c r="H881" s="11">
        <v>4</v>
      </c>
      <c r="I881" s="18" t="s">
        <v>294</v>
      </c>
      <c r="J881" s="18" t="s">
        <v>294</v>
      </c>
      <c r="K881" s="19">
        <v>21416.86</v>
      </c>
      <c r="L881" s="41">
        <v>0</v>
      </c>
      <c r="M881" s="18" t="s">
        <v>294</v>
      </c>
      <c r="N881" s="41">
        <v>0</v>
      </c>
      <c r="O881" s="41" t="s">
        <v>294</v>
      </c>
      <c r="P881" s="41">
        <v>0</v>
      </c>
      <c r="Q881" s="43">
        <v>0</v>
      </c>
      <c r="R881" s="43">
        <v>0</v>
      </c>
      <c r="S881" s="43">
        <v>0</v>
      </c>
      <c r="T881" s="43">
        <v>0</v>
      </c>
      <c r="U881" s="19" t="s">
        <v>295</v>
      </c>
      <c r="V881" s="13">
        <f t="shared" si="96"/>
        <v>21416.86</v>
      </c>
      <c r="W881" s="13"/>
      <c r="X881" s="13"/>
      <c r="Y881" s="13"/>
      <c r="Z881" s="13"/>
      <c r="AA881" s="22">
        <v>45870</v>
      </c>
      <c r="AB881" s="22" cm="1">
        <f t="array" ref="AB8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81" s="4"/>
      <c r="AD881" s="4"/>
      <c r="AE881" s="2"/>
      <c r="AF881" s="3"/>
      <c r="AG881" s="3"/>
      <c r="AH881" s="3"/>
      <c r="AI881" s="3"/>
      <c r="AJ881" s="2">
        <f t="shared" si="97"/>
        <v>0</v>
      </c>
      <c r="AK881" s="2">
        <f t="shared" si="99"/>
        <v>0</v>
      </c>
      <c r="AL881" s="2">
        <f t="shared" si="98"/>
        <v>0</v>
      </c>
      <c r="AM881" s="88"/>
      <c r="AN881" s="157" t="s">
        <v>774</v>
      </c>
    </row>
    <row r="882" spans="2:40" ht="23.15" customHeight="1" thickBot="1">
      <c r="B882" s="87"/>
      <c r="C882" s="2" t="s">
        <v>292</v>
      </c>
      <c r="D882" s="15" t="s">
        <v>20</v>
      </c>
      <c r="E882" s="20" t="s">
        <v>26</v>
      </c>
      <c r="F882" s="20" t="s">
        <v>70</v>
      </c>
      <c r="G882" s="11">
        <v>4</v>
      </c>
      <c r="H882" s="11"/>
      <c r="I882" s="18" t="s">
        <v>294</v>
      </c>
      <c r="J882" s="18" t="s">
        <v>294</v>
      </c>
      <c r="K882" s="19">
        <v>21416.86</v>
      </c>
      <c r="L882" s="41" t="s">
        <v>294</v>
      </c>
      <c r="M882" s="18" t="s">
        <v>294</v>
      </c>
      <c r="N882" s="41" t="s">
        <v>294</v>
      </c>
      <c r="O882" s="41" t="s">
        <v>294</v>
      </c>
      <c r="P882" s="41">
        <v>0</v>
      </c>
      <c r="Q882" s="41">
        <v>0</v>
      </c>
      <c r="R882" s="41">
        <v>0</v>
      </c>
      <c r="S882" s="41">
        <v>0</v>
      </c>
      <c r="T882" s="41">
        <v>0</v>
      </c>
      <c r="U882" s="19"/>
      <c r="V882" s="13">
        <f t="shared" si="96"/>
        <v>21416.86</v>
      </c>
      <c r="W882" s="13"/>
      <c r="X882" s="13"/>
      <c r="Y882" s="13"/>
      <c r="Z882" s="13"/>
      <c r="AA882" s="22">
        <v>45901</v>
      </c>
      <c r="AB882" s="22" cm="1">
        <f t="array" ref="AB8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82" s="4"/>
      <c r="AD882" s="4"/>
      <c r="AE882" s="2"/>
      <c r="AF882" s="3"/>
      <c r="AG882" s="3"/>
      <c r="AH882" s="3"/>
      <c r="AI882" s="3"/>
      <c r="AJ882" s="2">
        <f t="shared" si="97"/>
        <v>0</v>
      </c>
      <c r="AK882" s="2">
        <f t="shared" si="99"/>
        <v>0</v>
      </c>
      <c r="AL882" s="2">
        <f t="shared" si="98"/>
        <v>0</v>
      </c>
      <c r="AM882" s="88"/>
      <c r="AN882" s="157" t="s">
        <v>774</v>
      </c>
    </row>
    <row r="883" spans="2:40" ht="23.15" customHeight="1" thickBot="1">
      <c r="B883" s="87"/>
      <c r="C883" s="2"/>
      <c r="D883" s="15" t="s">
        <v>20</v>
      </c>
      <c r="E883" s="20" t="s">
        <v>26</v>
      </c>
      <c r="F883" s="20" t="s">
        <v>70</v>
      </c>
      <c r="G883" s="11">
        <v>4</v>
      </c>
      <c r="H883" s="11"/>
      <c r="I883" s="18" t="s">
        <v>294</v>
      </c>
      <c r="J883" s="18" t="s">
        <v>294</v>
      </c>
      <c r="K883" s="19">
        <v>21416.86</v>
      </c>
      <c r="L883" s="41"/>
      <c r="M883" s="41" t="s">
        <v>294</v>
      </c>
      <c r="N883" s="41"/>
      <c r="O883" s="41" t="s">
        <v>294</v>
      </c>
      <c r="P883" s="41" t="s">
        <v>293</v>
      </c>
      <c r="Q883" s="41"/>
      <c r="R883" s="41"/>
      <c r="S883" s="41"/>
      <c r="T883" s="41"/>
      <c r="U883" s="19"/>
      <c r="V883" s="13">
        <f t="shared" si="96"/>
        <v>21416.86</v>
      </c>
      <c r="W883" s="13"/>
      <c r="X883" s="13"/>
      <c r="Y883" s="13"/>
      <c r="Z883" s="13"/>
      <c r="AA883" s="22">
        <v>45931</v>
      </c>
      <c r="AB883" s="22" cm="1">
        <f t="array" ref="AB8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83" s="4"/>
      <c r="AD883" s="4"/>
      <c r="AE883" s="2"/>
      <c r="AF883" s="3"/>
      <c r="AG883" s="3"/>
      <c r="AH883" s="3"/>
      <c r="AI883" s="3"/>
      <c r="AJ883" s="2">
        <f t="shared" si="97"/>
        <v>0</v>
      </c>
      <c r="AK883" s="2">
        <f t="shared" si="99"/>
        <v>0</v>
      </c>
      <c r="AL883" s="2">
        <f t="shared" si="98"/>
        <v>0</v>
      </c>
      <c r="AM883" s="88"/>
      <c r="AN883" s="157" t="s">
        <v>774</v>
      </c>
    </row>
    <row r="884" spans="2:40" ht="23.15" customHeight="1" thickBot="1">
      <c r="B884" s="87">
        <v>45874</v>
      </c>
      <c r="C884" s="2" t="s">
        <v>295</v>
      </c>
      <c r="D884" s="15" t="s">
        <v>20</v>
      </c>
      <c r="E884" s="20" t="s">
        <v>31</v>
      </c>
      <c r="F884" s="20" t="s">
        <v>39</v>
      </c>
      <c r="G884" s="11">
        <v>28</v>
      </c>
      <c r="H884" s="11">
        <v>28</v>
      </c>
      <c r="I884" s="18">
        <v>0</v>
      </c>
      <c r="J884" s="18">
        <v>0</v>
      </c>
      <c r="K884" s="19">
        <v>138608.31</v>
      </c>
      <c r="L884" s="41">
        <v>0</v>
      </c>
      <c r="M884" s="41">
        <v>0</v>
      </c>
      <c r="N884" s="41">
        <v>0</v>
      </c>
      <c r="O884" s="41">
        <v>0</v>
      </c>
      <c r="P884" s="41" t="s">
        <v>301</v>
      </c>
      <c r="Q884" s="43">
        <v>0</v>
      </c>
      <c r="R884" s="43">
        <v>0</v>
      </c>
      <c r="S884" s="43">
        <v>0</v>
      </c>
      <c r="T884" s="43">
        <v>0</v>
      </c>
      <c r="U884" s="19"/>
      <c r="V884" s="13">
        <f t="shared" si="96"/>
        <v>138608.31</v>
      </c>
      <c r="W884" s="13"/>
      <c r="X884" s="13"/>
      <c r="Y884" s="13"/>
      <c r="Z884" s="13"/>
      <c r="AA884" s="22">
        <v>45870</v>
      </c>
      <c r="AB884" s="22" cm="1">
        <f t="array" ref="AB8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84" s="4"/>
      <c r="AD884" s="4"/>
      <c r="AE884" s="2"/>
      <c r="AF884" s="3"/>
      <c r="AG884" s="3"/>
      <c r="AH884" s="3"/>
      <c r="AI884" s="3"/>
      <c r="AJ884" s="2">
        <f t="shared" si="97"/>
        <v>0</v>
      </c>
      <c r="AK884" s="2">
        <f t="shared" si="99"/>
        <v>0</v>
      </c>
      <c r="AL884" s="2">
        <f t="shared" si="98"/>
        <v>0</v>
      </c>
      <c r="AM884" s="88"/>
      <c r="AN884" s="157" t="s">
        <v>774</v>
      </c>
    </row>
    <row r="885" spans="2:40" ht="23.15" customHeight="1" thickBot="1">
      <c r="B885" s="87">
        <v>45908</v>
      </c>
      <c r="C885" s="2" t="s">
        <v>295</v>
      </c>
      <c r="D885" s="15" t="s">
        <v>20</v>
      </c>
      <c r="E885" s="20" t="s">
        <v>31</v>
      </c>
      <c r="F885" s="20" t="s">
        <v>39</v>
      </c>
      <c r="G885" s="11">
        <v>28</v>
      </c>
      <c r="H885" s="11">
        <v>28</v>
      </c>
      <c r="I885" s="18">
        <v>0</v>
      </c>
      <c r="J885" s="18">
        <v>0</v>
      </c>
      <c r="K885" s="19">
        <v>138608.31</v>
      </c>
      <c r="L885" s="41">
        <v>0</v>
      </c>
      <c r="M885" s="41">
        <v>0</v>
      </c>
      <c r="N885" s="41">
        <v>0</v>
      </c>
      <c r="O885" s="41">
        <v>0</v>
      </c>
      <c r="P885" s="41">
        <v>0</v>
      </c>
      <c r="Q885" s="43">
        <v>0</v>
      </c>
      <c r="R885" s="43">
        <v>0</v>
      </c>
      <c r="S885" s="43">
        <v>0</v>
      </c>
      <c r="T885" s="43">
        <v>0</v>
      </c>
      <c r="U885" s="19"/>
      <c r="V885" s="13">
        <f t="shared" si="96"/>
        <v>138608.31</v>
      </c>
      <c r="W885" s="13"/>
      <c r="X885" s="13"/>
      <c r="Y885" s="13"/>
      <c r="Z885" s="13"/>
      <c r="AA885" s="22">
        <v>45901</v>
      </c>
      <c r="AB885" s="22" cm="1">
        <f t="array" ref="AB8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85" s="4"/>
      <c r="AD885" s="4"/>
      <c r="AE885" s="2"/>
      <c r="AF885" s="3"/>
      <c r="AG885" s="3"/>
      <c r="AH885" s="3"/>
      <c r="AI885" s="3"/>
      <c r="AJ885" s="2">
        <f t="shared" si="97"/>
        <v>0</v>
      </c>
      <c r="AK885" s="2">
        <f t="shared" si="99"/>
        <v>0</v>
      </c>
      <c r="AL885" s="2">
        <f t="shared" si="98"/>
        <v>0</v>
      </c>
      <c r="AM885" s="88"/>
      <c r="AN885" s="157" t="s">
        <v>774</v>
      </c>
    </row>
    <row r="886" spans="2:40" ht="23.15" customHeight="1" thickBot="1">
      <c r="B886" s="87">
        <v>45936</v>
      </c>
      <c r="C886" s="2" t="s">
        <v>295</v>
      </c>
      <c r="D886" s="15" t="s">
        <v>20</v>
      </c>
      <c r="E886" s="20" t="s">
        <v>31</v>
      </c>
      <c r="F886" s="20" t="s">
        <v>39</v>
      </c>
      <c r="G886" s="11">
        <v>28</v>
      </c>
      <c r="H886" s="11">
        <v>28</v>
      </c>
      <c r="I886" s="18">
        <v>0</v>
      </c>
      <c r="J886" s="18">
        <v>0</v>
      </c>
      <c r="K886" s="19">
        <v>138608.31</v>
      </c>
      <c r="L886" s="41">
        <v>0</v>
      </c>
      <c r="M886" s="41">
        <v>0</v>
      </c>
      <c r="N886" s="41">
        <v>0</v>
      </c>
      <c r="O886" s="41">
        <v>0</v>
      </c>
      <c r="P886" s="41">
        <v>0</v>
      </c>
      <c r="Q886" s="43">
        <v>0</v>
      </c>
      <c r="R886" s="43"/>
      <c r="S886" s="43"/>
      <c r="T886" s="43"/>
      <c r="U886" s="19"/>
      <c r="V886" s="13">
        <f t="shared" si="96"/>
        <v>138608.31</v>
      </c>
      <c r="W886" s="13"/>
      <c r="X886" s="13"/>
      <c r="Y886" s="13"/>
      <c r="Z886" s="13"/>
      <c r="AA886" s="22">
        <v>45931</v>
      </c>
      <c r="AB886" s="22" cm="1">
        <f t="array" ref="AB8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86" s="4"/>
      <c r="AD886" s="4"/>
      <c r="AE886" s="2"/>
      <c r="AF886" s="3"/>
      <c r="AG886" s="3"/>
      <c r="AH886" s="3"/>
      <c r="AI886" s="3"/>
      <c r="AJ886" s="2">
        <f t="shared" si="97"/>
        <v>0</v>
      </c>
      <c r="AK886" s="2">
        <f t="shared" si="99"/>
        <v>0</v>
      </c>
      <c r="AL886" s="2">
        <f t="shared" si="98"/>
        <v>0</v>
      </c>
      <c r="AM886" s="88"/>
      <c r="AN886" s="157" t="s">
        <v>774</v>
      </c>
    </row>
    <row r="887" spans="2:40" ht="23.15" customHeight="1" thickBot="1">
      <c r="B887" s="87">
        <v>45903</v>
      </c>
      <c r="C887" s="2" t="s">
        <v>295</v>
      </c>
      <c r="D887" s="15" t="s">
        <v>20</v>
      </c>
      <c r="E887" s="20" t="s">
        <v>35</v>
      </c>
      <c r="F887" s="20" t="s">
        <v>40</v>
      </c>
      <c r="G887" s="11">
        <v>12</v>
      </c>
      <c r="H887" s="11">
        <v>14</v>
      </c>
      <c r="I887" s="18">
        <v>0</v>
      </c>
      <c r="J887" s="11">
        <v>0</v>
      </c>
      <c r="K887" s="19">
        <v>84130</v>
      </c>
      <c r="L887" s="41">
        <v>0</v>
      </c>
      <c r="M887" s="43">
        <v>0</v>
      </c>
      <c r="N887" s="41">
        <v>0</v>
      </c>
      <c r="O887" s="41">
        <v>0</v>
      </c>
      <c r="P887" s="43">
        <v>0</v>
      </c>
      <c r="Q887" s="43">
        <v>0</v>
      </c>
      <c r="R887" s="43">
        <v>0</v>
      </c>
      <c r="S887" s="43">
        <v>0</v>
      </c>
      <c r="T887" s="43">
        <v>0</v>
      </c>
      <c r="U887" s="19" t="s">
        <v>295</v>
      </c>
      <c r="V887" s="13">
        <f t="shared" si="96"/>
        <v>84130</v>
      </c>
      <c r="W887" s="13"/>
      <c r="X887" s="13"/>
      <c r="Y887" s="13"/>
      <c r="Z887" s="13"/>
      <c r="AA887" s="22">
        <v>45870</v>
      </c>
      <c r="AB887" s="22" cm="1">
        <f t="array" ref="AB8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87" s="4"/>
      <c r="AD887" s="4"/>
      <c r="AE887" s="2"/>
      <c r="AF887" s="3"/>
      <c r="AG887" s="3"/>
      <c r="AH887" s="3"/>
      <c r="AI887" s="3"/>
      <c r="AJ887" s="2">
        <f t="shared" si="97"/>
        <v>0</v>
      </c>
      <c r="AK887" s="2">
        <f t="shared" si="99"/>
        <v>0</v>
      </c>
      <c r="AL887" s="2">
        <f t="shared" si="98"/>
        <v>0</v>
      </c>
      <c r="AM887" s="88"/>
      <c r="AN887" s="157" t="s">
        <v>774</v>
      </c>
    </row>
    <row r="888" spans="2:40" ht="23.15" customHeight="1" thickBot="1">
      <c r="B888" s="87">
        <v>45932</v>
      </c>
      <c r="C888" s="2" t="s">
        <v>295</v>
      </c>
      <c r="D888" s="15" t="s">
        <v>20</v>
      </c>
      <c r="E888" s="20" t="s">
        <v>35</v>
      </c>
      <c r="F888" s="20" t="s">
        <v>40</v>
      </c>
      <c r="G888" s="11">
        <v>12</v>
      </c>
      <c r="H888" s="11">
        <v>14</v>
      </c>
      <c r="I888" s="18">
        <v>0</v>
      </c>
      <c r="J888" s="18">
        <v>0</v>
      </c>
      <c r="K888" s="19">
        <v>84130.1395624219</v>
      </c>
      <c r="L888" s="41">
        <v>0</v>
      </c>
      <c r="M888" s="11">
        <v>0</v>
      </c>
      <c r="N888" s="41">
        <v>0</v>
      </c>
      <c r="O888" s="41">
        <v>0</v>
      </c>
      <c r="P888" s="43">
        <v>0</v>
      </c>
      <c r="Q888" s="43">
        <v>0</v>
      </c>
      <c r="R888" s="43">
        <v>0</v>
      </c>
      <c r="S888" s="43">
        <v>0</v>
      </c>
      <c r="T888" s="43">
        <v>0</v>
      </c>
      <c r="U888" s="19" t="s">
        <v>295</v>
      </c>
      <c r="V888" s="13">
        <f t="shared" si="96"/>
        <v>84130.1395624219</v>
      </c>
      <c r="W888" s="13"/>
      <c r="X888" s="13"/>
      <c r="Y888" s="13"/>
      <c r="Z888" s="13"/>
      <c r="AA888" s="22">
        <v>45901</v>
      </c>
      <c r="AB888" s="22" cm="1">
        <f t="array" ref="AB8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88" s="4"/>
      <c r="AD888" s="4"/>
      <c r="AE888" s="2"/>
      <c r="AF888" s="3"/>
      <c r="AG888" s="3"/>
      <c r="AH888" s="3"/>
      <c r="AI888" s="3"/>
      <c r="AJ888" s="2">
        <f t="shared" si="97"/>
        <v>0</v>
      </c>
      <c r="AK888" s="2">
        <f t="shared" si="99"/>
        <v>0</v>
      </c>
      <c r="AL888" s="2">
        <f t="shared" si="98"/>
        <v>0</v>
      </c>
      <c r="AM888" s="88"/>
      <c r="AN888" s="157" t="s">
        <v>774</v>
      </c>
    </row>
    <row r="889" spans="2:40" ht="23.15" customHeight="1" thickBot="1">
      <c r="B889" s="87"/>
      <c r="C889" s="2"/>
      <c r="D889" s="15" t="s">
        <v>20</v>
      </c>
      <c r="E889" s="20" t="s">
        <v>35</v>
      </c>
      <c r="F889" s="20" t="s">
        <v>40</v>
      </c>
      <c r="G889" s="11">
        <v>12</v>
      </c>
      <c r="H889" s="11"/>
      <c r="I889" s="18" t="s">
        <v>294</v>
      </c>
      <c r="J889" s="18" t="s">
        <v>294</v>
      </c>
      <c r="K889" s="19">
        <v>84130.1395624219</v>
      </c>
      <c r="L889" s="41"/>
      <c r="M889" s="43" t="s">
        <v>294</v>
      </c>
      <c r="N889" s="41"/>
      <c r="O889" s="41" t="s">
        <v>294</v>
      </c>
      <c r="P889" s="43" t="s">
        <v>293</v>
      </c>
      <c r="Q889" s="43"/>
      <c r="R889" s="43"/>
      <c r="S889" s="43"/>
      <c r="T889" s="43"/>
      <c r="U889" s="19"/>
      <c r="V889" s="13">
        <f t="shared" si="96"/>
        <v>84130.1395624219</v>
      </c>
      <c r="W889" s="13"/>
      <c r="X889" s="13"/>
      <c r="Y889" s="13"/>
      <c r="Z889" s="13"/>
      <c r="AA889" s="22">
        <v>45931</v>
      </c>
      <c r="AB889" s="22" cm="1">
        <f t="array" ref="AB8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89" s="4"/>
      <c r="AD889" s="4"/>
      <c r="AE889" s="2"/>
      <c r="AF889" s="3"/>
      <c r="AG889" s="3"/>
      <c r="AH889" s="3"/>
      <c r="AI889" s="3"/>
      <c r="AJ889" s="2">
        <f t="shared" si="97"/>
        <v>0</v>
      </c>
      <c r="AK889" s="2">
        <f t="shared" si="99"/>
        <v>0</v>
      </c>
      <c r="AL889" s="2">
        <f t="shared" si="98"/>
        <v>0</v>
      </c>
      <c r="AM889" s="88"/>
      <c r="AN889" s="157" t="s">
        <v>774</v>
      </c>
    </row>
    <row r="890" spans="2:40" ht="23.15" customHeight="1" thickBot="1">
      <c r="B890" s="87">
        <v>45874</v>
      </c>
      <c r="C890" s="2" t="s">
        <v>295</v>
      </c>
      <c r="D890" s="15" t="s">
        <v>20</v>
      </c>
      <c r="E890" s="20" t="s">
        <v>32</v>
      </c>
      <c r="F890" s="20" t="s">
        <v>39</v>
      </c>
      <c r="G890" s="11">
        <v>17</v>
      </c>
      <c r="H890" s="11">
        <v>19</v>
      </c>
      <c r="I890" s="18">
        <v>0</v>
      </c>
      <c r="J890" s="18">
        <v>0</v>
      </c>
      <c r="K890" s="19">
        <v>134349.03</v>
      </c>
      <c r="L890" s="41">
        <v>0</v>
      </c>
      <c r="M890" s="41">
        <v>0</v>
      </c>
      <c r="N890" s="41">
        <v>0</v>
      </c>
      <c r="O890" s="41">
        <v>0</v>
      </c>
      <c r="P890" s="41" t="s">
        <v>301</v>
      </c>
      <c r="Q890" s="43">
        <v>0</v>
      </c>
      <c r="R890" s="43">
        <v>0</v>
      </c>
      <c r="S890" s="43">
        <v>0</v>
      </c>
      <c r="T890" s="43">
        <v>0</v>
      </c>
      <c r="U890" s="19"/>
      <c r="V890" s="13">
        <f t="shared" si="96"/>
        <v>134349.03</v>
      </c>
      <c r="W890" s="13"/>
      <c r="X890" s="13"/>
      <c r="Y890" s="13"/>
      <c r="Z890" s="13"/>
      <c r="AA890" s="22">
        <v>45870</v>
      </c>
      <c r="AB890" s="22" cm="1">
        <f t="array" ref="AB8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90" s="4"/>
      <c r="AD890" s="4"/>
      <c r="AE890" s="2"/>
      <c r="AF890" s="3"/>
      <c r="AG890" s="3"/>
      <c r="AH890" s="3"/>
      <c r="AI890" s="3"/>
      <c r="AJ890" s="2">
        <f t="shared" si="97"/>
        <v>0</v>
      </c>
      <c r="AK890" s="2">
        <f t="shared" si="99"/>
        <v>0</v>
      </c>
      <c r="AL890" s="2">
        <f t="shared" si="98"/>
        <v>0</v>
      </c>
      <c r="AM890" s="88"/>
      <c r="AN890" s="157" t="s">
        <v>774</v>
      </c>
    </row>
    <row r="891" spans="2:40" ht="23.15" customHeight="1" thickBot="1">
      <c r="B891" s="87">
        <v>45908</v>
      </c>
      <c r="C891" s="2" t="s">
        <v>295</v>
      </c>
      <c r="D891" s="15" t="s">
        <v>20</v>
      </c>
      <c r="E891" s="20" t="s">
        <v>32</v>
      </c>
      <c r="F891" s="20" t="s">
        <v>39</v>
      </c>
      <c r="G891" s="11">
        <v>17</v>
      </c>
      <c r="H891" s="11">
        <v>19</v>
      </c>
      <c r="I891" s="18">
        <v>0</v>
      </c>
      <c r="J891" s="18">
        <v>0</v>
      </c>
      <c r="K891" s="19">
        <v>134349.03</v>
      </c>
      <c r="L891" s="41">
        <v>0</v>
      </c>
      <c r="M891" s="41">
        <v>0</v>
      </c>
      <c r="N891" s="41">
        <v>0</v>
      </c>
      <c r="O891" s="41">
        <v>0</v>
      </c>
      <c r="P891" s="41">
        <v>0</v>
      </c>
      <c r="Q891" s="43">
        <v>0</v>
      </c>
      <c r="R891" s="43">
        <v>0</v>
      </c>
      <c r="S891" s="43">
        <v>0</v>
      </c>
      <c r="T891" s="43">
        <v>0</v>
      </c>
      <c r="U891" s="19"/>
      <c r="V891" s="13">
        <f t="shared" si="96"/>
        <v>134349.03</v>
      </c>
      <c r="W891" s="13"/>
      <c r="X891" s="13"/>
      <c r="Y891" s="13"/>
      <c r="Z891" s="13"/>
      <c r="AA891" s="22">
        <v>45901</v>
      </c>
      <c r="AB891" s="22" cm="1">
        <f t="array" ref="AB8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91" s="4"/>
      <c r="AD891" s="4"/>
      <c r="AE891" s="2"/>
      <c r="AF891" s="3"/>
      <c r="AG891" s="3"/>
      <c r="AH891" s="3"/>
      <c r="AI891" s="3"/>
      <c r="AJ891" s="2">
        <f t="shared" si="97"/>
        <v>0</v>
      </c>
      <c r="AK891" s="2">
        <f t="shared" si="99"/>
        <v>0</v>
      </c>
      <c r="AL891" s="2">
        <f t="shared" si="98"/>
        <v>0</v>
      </c>
      <c r="AM891" s="88"/>
      <c r="AN891" s="157" t="s">
        <v>774</v>
      </c>
    </row>
    <row r="892" spans="2:40" ht="23.15" customHeight="1" thickBot="1">
      <c r="B892" s="87">
        <v>45936</v>
      </c>
      <c r="C892" s="2" t="s">
        <v>295</v>
      </c>
      <c r="D892" s="15" t="s">
        <v>20</v>
      </c>
      <c r="E892" s="20" t="s">
        <v>32</v>
      </c>
      <c r="F892" s="20" t="s">
        <v>39</v>
      </c>
      <c r="G892" s="11">
        <v>17</v>
      </c>
      <c r="H892" s="11">
        <v>19</v>
      </c>
      <c r="I892" s="18">
        <v>0</v>
      </c>
      <c r="J892" s="18">
        <v>0</v>
      </c>
      <c r="K892" s="19">
        <v>134349.03</v>
      </c>
      <c r="L892" s="41">
        <v>0</v>
      </c>
      <c r="M892" s="41">
        <v>0</v>
      </c>
      <c r="N892" s="41">
        <v>0</v>
      </c>
      <c r="O892" s="41">
        <v>0</v>
      </c>
      <c r="P892" s="41">
        <v>0</v>
      </c>
      <c r="Q892" s="43">
        <v>0</v>
      </c>
      <c r="R892" s="43"/>
      <c r="S892" s="43"/>
      <c r="T892" s="43"/>
      <c r="U892" s="19"/>
      <c r="V892" s="13">
        <f t="shared" si="96"/>
        <v>134349.03</v>
      </c>
      <c r="W892" s="13"/>
      <c r="X892" s="13"/>
      <c r="Y892" s="13"/>
      <c r="Z892" s="13"/>
      <c r="AA892" s="22">
        <v>45931</v>
      </c>
      <c r="AB892" s="22" cm="1">
        <f t="array" ref="AB8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92" s="4"/>
      <c r="AD892" s="4"/>
      <c r="AE892" s="2"/>
      <c r="AF892" s="3"/>
      <c r="AG892" s="3"/>
      <c r="AH892" s="3"/>
      <c r="AI892" s="3"/>
      <c r="AJ892" s="2">
        <f t="shared" si="97"/>
        <v>0</v>
      </c>
      <c r="AK892" s="2">
        <f t="shared" si="99"/>
        <v>0</v>
      </c>
      <c r="AL892" s="2">
        <f t="shared" si="98"/>
        <v>0</v>
      </c>
      <c r="AM892" s="88"/>
      <c r="AN892" s="157" t="s">
        <v>774</v>
      </c>
    </row>
    <row r="893" spans="2:40" ht="23.15" customHeight="1" thickBot="1">
      <c r="B893" s="87"/>
      <c r="C893" s="2"/>
      <c r="D893" s="15" t="s">
        <v>20</v>
      </c>
      <c r="E893" s="20" t="s">
        <v>28</v>
      </c>
      <c r="F893" s="20" t="s">
        <v>37</v>
      </c>
      <c r="G893" s="11">
        <v>12</v>
      </c>
      <c r="H893" s="11"/>
      <c r="I893" s="18"/>
      <c r="J893" s="18"/>
      <c r="K893" s="19"/>
      <c r="L893" s="41"/>
      <c r="M893" s="41"/>
      <c r="N893" s="41"/>
      <c r="O893" s="41"/>
      <c r="P893" s="41"/>
      <c r="Q893" s="43"/>
      <c r="R893" s="43"/>
      <c r="S893" s="43"/>
      <c r="T893" s="43"/>
      <c r="U893" s="19"/>
      <c r="V893" s="13">
        <f t="shared" si="96"/>
        <v>0</v>
      </c>
      <c r="W893" s="13"/>
      <c r="X893" s="13"/>
      <c r="Y893" s="13"/>
      <c r="Z893" s="13"/>
      <c r="AA893" s="22">
        <v>45962</v>
      </c>
      <c r="AB893" s="22" cm="1">
        <f t="array" ref="AB8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3" s="4"/>
      <c r="AD893" s="4"/>
      <c r="AE893" s="2"/>
      <c r="AF893" s="3"/>
      <c r="AG893" s="3"/>
      <c r="AH893" s="3"/>
      <c r="AI893" s="3"/>
      <c r="AJ893" s="2">
        <f t="shared" si="97"/>
        <v>0</v>
      </c>
      <c r="AK893" s="2">
        <f t="shared" si="99"/>
        <v>0</v>
      </c>
      <c r="AL893" s="2">
        <f t="shared" si="98"/>
        <v>0</v>
      </c>
      <c r="AM893" s="88"/>
      <c r="AN893" s="157" t="s">
        <v>774</v>
      </c>
    </row>
    <row r="894" spans="2:40" ht="23.15" customHeight="1" thickBot="1">
      <c r="B894" s="87"/>
      <c r="C894" s="2"/>
      <c r="D894" s="15" t="s">
        <v>20</v>
      </c>
      <c r="E894" s="20" t="s">
        <v>29</v>
      </c>
      <c r="F894" s="20" t="s">
        <v>38</v>
      </c>
      <c r="G894" s="11">
        <v>13</v>
      </c>
      <c r="H894" s="11"/>
      <c r="I894" s="18"/>
      <c r="J894" s="18"/>
      <c r="K894" s="19"/>
      <c r="L894" s="41"/>
      <c r="M894" s="41"/>
      <c r="N894" s="41"/>
      <c r="O894" s="41"/>
      <c r="P894" s="41"/>
      <c r="Q894" s="43"/>
      <c r="R894" s="43"/>
      <c r="S894" s="43"/>
      <c r="T894" s="43"/>
      <c r="U894" s="19"/>
      <c r="V894" s="13">
        <f t="shared" si="96"/>
        <v>0</v>
      </c>
      <c r="W894" s="13"/>
      <c r="X894" s="13"/>
      <c r="Y894" s="13"/>
      <c r="Z894" s="13"/>
      <c r="AA894" s="22">
        <v>45962</v>
      </c>
      <c r="AB894" s="22" cm="1">
        <f t="array" ref="AB8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4" s="4"/>
      <c r="AD894" s="4"/>
      <c r="AE894" s="2"/>
      <c r="AF894" s="3"/>
      <c r="AG894" s="3"/>
      <c r="AH894" s="3"/>
      <c r="AI894" s="3"/>
      <c r="AJ894" s="2">
        <f t="shared" si="97"/>
        <v>0</v>
      </c>
      <c r="AK894" s="2">
        <f t="shared" si="99"/>
        <v>0</v>
      </c>
      <c r="AL894" s="2">
        <f t="shared" si="98"/>
        <v>0</v>
      </c>
      <c r="AM894" s="88"/>
      <c r="AN894" s="157" t="s">
        <v>774</v>
      </c>
    </row>
    <row r="895" spans="2:40" ht="23.15" customHeight="1" thickBot="1">
      <c r="B895" s="87"/>
      <c r="C895" s="2"/>
      <c r="D895" s="15" t="s">
        <v>20</v>
      </c>
      <c r="E895" s="20" t="s">
        <v>158</v>
      </c>
      <c r="F895" s="20" t="s">
        <v>38</v>
      </c>
      <c r="G895" s="11">
        <v>1</v>
      </c>
      <c r="H895" s="11"/>
      <c r="I895" s="18"/>
      <c r="J895" s="18"/>
      <c r="K895" s="19"/>
      <c r="L895" s="41"/>
      <c r="M895" s="41"/>
      <c r="N895" s="41"/>
      <c r="O895" s="41"/>
      <c r="P895" s="41"/>
      <c r="Q895" s="41"/>
      <c r="R895" s="41"/>
      <c r="S895" s="41"/>
      <c r="T895" s="41"/>
      <c r="U895" s="19"/>
      <c r="V895" s="13">
        <f t="shared" si="96"/>
        <v>0</v>
      </c>
      <c r="W895" s="13"/>
      <c r="X895" s="13"/>
      <c r="Y895" s="13"/>
      <c r="Z895" s="13"/>
      <c r="AA895" s="22">
        <v>45962</v>
      </c>
      <c r="AB895" s="22" cm="1">
        <f t="array" ref="AB8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5" s="4"/>
      <c r="AD895" s="4"/>
      <c r="AE895" s="2"/>
      <c r="AF895" s="3"/>
      <c r="AG895" s="3"/>
      <c r="AH895" s="3"/>
      <c r="AI895" s="3"/>
      <c r="AJ895" s="2">
        <f t="shared" si="97"/>
        <v>0</v>
      </c>
      <c r="AK895" s="2">
        <f t="shared" si="99"/>
        <v>0</v>
      </c>
      <c r="AL895" s="2">
        <f t="shared" si="98"/>
        <v>0</v>
      </c>
      <c r="AM895" s="88"/>
      <c r="AN895" s="157" t="s">
        <v>774</v>
      </c>
    </row>
    <row r="896" spans="2:40" ht="23.15" customHeight="1" thickBot="1">
      <c r="B896" s="87"/>
      <c r="C896" s="2"/>
      <c r="D896" s="15" t="s">
        <v>20</v>
      </c>
      <c r="E896" s="20" t="s">
        <v>33</v>
      </c>
      <c r="F896" s="20" t="s">
        <v>44</v>
      </c>
      <c r="G896" s="11">
        <v>3</v>
      </c>
      <c r="H896" s="11"/>
      <c r="I896" s="18"/>
      <c r="J896" s="18"/>
      <c r="K896" s="19"/>
      <c r="L896" s="41"/>
      <c r="M896" s="41"/>
      <c r="N896" s="41"/>
      <c r="O896" s="41"/>
      <c r="P896" s="41"/>
      <c r="Q896" s="43"/>
      <c r="R896" s="43"/>
      <c r="S896" s="43"/>
      <c r="T896" s="43"/>
      <c r="U896" s="19"/>
      <c r="V896" s="13">
        <f t="shared" si="96"/>
        <v>0</v>
      </c>
      <c r="W896" s="13"/>
      <c r="X896" s="13"/>
      <c r="Y896" s="13"/>
      <c r="Z896" s="13"/>
      <c r="AA896" s="22">
        <v>45962</v>
      </c>
      <c r="AB896" s="22" cm="1">
        <f t="array" ref="AB8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6" s="4"/>
      <c r="AD896" s="4"/>
      <c r="AE896" s="2"/>
      <c r="AF896" s="3"/>
      <c r="AG896" s="3"/>
      <c r="AH896" s="3"/>
      <c r="AI896" s="3"/>
      <c r="AJ896" s="2">
        <f t="shared" si="97"/>
        <v>0</v>
      </c>
      <c r="AK896" s="2">
        <f t="shared" si="99"/>
        <v>0</v>
      </c>
      <c r="AL896" s="2">
        <f t="shared" si="98"/>
        <v>0</v>
      </c>
      <c r="AM896" s="88"/>
      <c r="AN896" s="157" t="s">
        <v>774</v>
      </c>
    </row>
    <row r="897" spans="2:40" ht="23.15" customHeight="1" thickBot="1">
      <c r="B897" s="87"/>
      <c r="C897" s="2"/>
      <c r="D897" s="15" t="s">
        <v>20</v>
      </c>
      <c r="E897" s="20" t="s">
        <v>25</v>
      </c>
      <c r="F897" s="20" t="s">
        <v>40</v>
      </c>
      <c r="G897" s="11">
        <v>29</v>
      </c>
      <c r="H897" s="11"/>
      <c r="I897" s="18"/>
      <c r="J897" s="18"/>
      <c r="K897" s="19">
        <v>133762.57999999999</v>
      </c>
      <c r="L897" s="41"/>
      <c r="M897" s="41"/>
      <c r="N897" s="41"/>
      <c r="O897" s="41"/>
      <c r="P897" s="41"/>
      <c r="Q897" s="43"/>
      <c r="R897" s="43"/>
      <c r="S897" s="43"/>
      <c r="T897" s="43"/>
      <c r="U897" s="19"/>
      <c r="V897" s="13">
        <f t="shared" si="96"/>
        <v>133762.57999999999</v>
      </c>
      <c r="W897" s="13"/>
      <c r="X897" s="13"/>
      <c r="Y897" s="13"/>
      <c r="Z897" s="13"/>
      <c r="AA897" s="22">
        <v>45962</v>
      </c>
      <c r="AB897" s="22" cm="1">
        <f t="array" ref="AB8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7" s="4"/>
      <c r="AD897" s="4"/>
      <c r="AE897" s="2"/>
      <c r="AF897" s="3"/>
      <c r="AG897" s="3"/>
      <c r="AH897" s="3"/>
      <c r="AI897" s="3"/>
      <c r="AJ897" s="2">
        <f t="shared" si="97"/>
        <v>0</v>
      </c>
      <c r="AK897" s="2">
        <f t="shared" si="99"/>
        <v>0</v>
      </c>
      <c r="AL897" s="2">
        <f t="shared" si="98"/>
        <v>0</v>
      </c>
      <c r="AM897" s="88"/>
      <c r="AN897" s="157" t="s">
        <v>774</v>
      </c>
    </row>
    <row r="898" spans="2:40" ht="23.15" customHeight="1" thickBot="1">
      <c r="B898" s="87"/>
      <c r="C898" s="2"/>
      <c r="D898" s="15" t="s">
        <v>20</v>
      </c>
      <c r="E898" s="20" t="s">
        <v>26</v>
      </c>
      <c r="F898" s="20" t="s">
        <v>70</v>
      </c>
      <c r="G898" s="11">
        <v>4</v>
      </c>
      <c r="H898" s="11"/>
      <c r="I898" s="18"/>
      <c r="J898" s="18"/>
      <c r="K898" s="19"/>
      <c r="L898" s="41"/>
      <c r="M898" s="41"/>
      <c r="N898" s="41"/>
      <c r="O898" s="41"/>
      <c r="P898" s="41"/>
      <c r="Q898" s="43"/>
      <c r="R898" s="43"/>
      <c r="S898" s="43"/>
      <c r="T898" s="43"/>
      <c r="U898" s="19"/>
      <c r="V898" s="13">
        <f t="shared" si="96"/>
        <v>0</v>
      </c>
      <c r="W898" s="13"/>
      <c r="X898" s="13"/>
      <c r="Y898" s="13"/>
      <c r="Z898" s="13"/>
      <c r="AA898" s="22">
        <v>45962</v>
      </c>
      <c r="AB898" s="22" cm="1">
        <f t="array" ref="AB8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8" s="4"/>
      <c r="AD898" s="4"/>
      <c r="AE898" s="2"/>
      <c r="AF898" s="3"/>
      <c r="AG898" s="3"/>
      <c r="AH898" s="3"/>
      <c r="AI898" s="3"/>
      <c r="AJ898" s="2">
        <f t="shared" si="97"/>
        <v>0</v>
      </c>
      <c r="AK898" s="2">
        <f t="shared" si="99"/>
        <v>0</v>
      </c>
      <c r="AL898" s="2">
        <f t="shared" si="98"/>
        <v>0</v>
      </c>
      <c r="AM898" s="88"/>
      <c r="AN898" s="157" t="s">
        <v>774</v>
      </c>
    </row>
    <row r="899" spans="2:40" ht="23.15" customHeight="1" thickBot="1">
      <c r="B899" s="87"/>
      <c r="C899" s="2"/>
      <c r="D899" s="15" t="s">
        <v>20</v>
      </c>
      <c r="E899" s="20" t="s">
        <v>31</v>
      </c>
      <c r="F899" s="20" t="s">
        <v>39</v>
      </c>
      <c r="G899" s="11">
        <v>28</v>
      </c>
      <c r="H899" s="11"/>
      <c r="I899" s="18"/>
      <c r="J899" s="18"/>
      <c r="K899" s="19"/>
      <c r="L899" s="41"/>
      <c r="M899" s="41"/>
      <c r="N899" s="41"/>
      <c r="O899" s="41"/>
      <c r="P899" s="41"/>
      <c r="Q899" s="41"/>
      <c r="R899" s="41"/>
      <c r="S899" s="41"/>
      <c r="T899" s="41"/>
      <c r="U899" s="19"/>
      <c r="V899" s="13">
        <f t="shared" si="96"/>
        <v>0</v>
      </c>
      <c r="W899" s="13"/>
      <c r="X899" s="13"/>
      <c r="Y899" s="13"/>
      <c r="Z899" s="13"/>
      <c r="AA899" s="22">
        <v>45962</v>
      </c>
      <c r="AB899" s="22" cm="1">
        <f t="array" ref="AB8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99" s="4"/>
      <c r="AD899" s="4"/>
      <c r="AE899" s="2"/>
      <c r="AF899" s="3"/>
      <c r="AG899" s="3"/>
      <c r="AH899" s="3"/>
      <c r="AI899" s="3"/>
      <c r="AJ899" s="2">
        <f t="shared" si="97"/>
        <v>0</v>
      </c>
      <c r="AK899" s="2">
        <f t="shared" si="99"/>
        <v>0</v>
      </c>
      <c r="AL899" s="2">
        <f t="shared" si="98"/>
        <v>0</v>
      </c>
      <c r="AM899" s="88"/>
      <c r="AN899" s="157" t="s">
        <v>774</v>
      </c>
    </row>
    <row r="900" spans="2:40" ht="23.15" customHeight="1" thickBot="1">
      <c r="B900" s="87"/>
      <c r="C900" s="2"/>
      <c r="D900" s="15" t="s">
        <v>20</v>
      </c>
      <c r="E900" s="20" t="s">
        <v>30</v>
      </c>
      <c r="F900" s="20" t="s">
        <v>40</v>
      </c>
      <c r="G900" s="11">
        <v>70</v>
      </c>
      <c r="H900" s="11"/>
      <c r="I900" s="18"/>
      <c r="J900" s="18"/>
      <c r="K900" s="19"/>
      <c r="L900" s="41"/>
      <c r="M900" s="41"/>
      <c r="N900" s="41"/>
      <c r="O900" s="41"/>
      <c r="P900" s="41"/>
      <c r="Q900" s="43"/>
      <c r="R900" s="43"/>
      <c r="S900" s="43"/>
      <c r="T900" s="43"/>
      <c r="U900" s="19"/>
      <c r="V900" s="13">
        <f t="shared" si="96"/>
        <v>0</v>
      </c>
      <c r="W900" s="13"/>
      <c r="X900" s="13"/>
      <c r="Y900" s="13"/>
      <c r="Z900" s="13"/>
      <c r="AA900" s="22">
        <v>45962</v>
      </c>
      <c r="AB900" s="22" cm="1">
        <f t="array" ref="AB9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00" s="4"/>
      <c r="AD900" s="4"/>
      <c r="AE900" s="2"/>
      <c r="AF900" s="3"/>
      <c r="AG900" s="3"/>
      <c r="AH900" s="3"/>
      <c r="AI900" s="3"/>
      <c r="AJ900" s="2">
        <f t="shared" si="97"/>
        <v>0</v>
      </c>
      <c r="AK900" s="2">
        <f t="shared" si="99"/>
        <v>0</v>
      </c>
      <c r="AL900" s="2">
        <f t="shared" si="98"/>
        <v>0</v>
      </c>
      <c r="AM900" s="88"/>
      <c r="AN900" s="157" t="s">
        <v>774</v>
      </c>
    </row>
    <row r="901" spans="2:40" ht="23.15" customHeight="1" thickBot="1">
      <c r="B901" s="87"/>
      <c r="C901" s="2"/>
      <c r="D901" s="15" t="s">
        <v>20</v>
      </c>
      <c r="E901" s="20" t="s">
        <v>35</v>
      </c>
      <c r="F901" s="20" t="s">
        <v>40</v>
      </c>
      <c r="G901" s="11">
        <v>12</v>
      </c>
      <c r="H901" s="11"/>
      <c r="I901" s="18"/>
      <c r="J901" s="18"/>
      <c r="K901" s="19"/>
      <c r="L901" s="41"/>
      <c r="M901" s="41"/>
      <c r="N901" s="41"/>
      <c r="O901" s="41"/>
      <c r="P901" s="41"/>
      <c r="Q901" s="43"/>
      <c r="R901" s="43"/>
      <c r="S901" s="43"/>
      <c r="T901" s="43"/>
      <c r="U901" s="19"/>
      <c r="V901" s="13">
        <f t="shared" si="96"/>
        <v>0</v>
      </c>
      <c r="W901" s="13"/>
      <c r="X901" s="13"/>
      <c r="Y901" s="13"/>
      <c r="Z901" s="13"/>
      <c r="AA901" s="22">
        <v>45962</v>
      </c>
      <c r="AB901" s="22" cm="1">
        <f t="array" ref="AB9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01" s="4"/>
      <c r="AD901" s="4"/>
      <c r="AE901" s="2"/>
      <c r="AF901" s="3"/>
      <c r="AG901" s="3"/>
      <c r="AH901" s="3"/>
      <c r="AI901" s="3"/>
      <c r="AJ901" s="2">
        <f t="shared" si="97"/>
        <v>0</v>
      </c>
      <c r="AK901" s="2">
        <f t="shared" si="99"/>
        <v>0</v>
      </c>
      <c r="AL901" s="2">
        <f t="shared" si="98"/>
        <v>0</v>
      </c>
      <c r="AM901" s="88"/>
      <c r="AN901" s="157" t="s">
        <v>774</v>
      </c>
    </row>
    <row r="902" spans="2:40" ht="23.15" customHeight="1" thickBot="1">
      <c r="B902" s="87"/>
      <c r="C902" s="2"/>
      <c r="D902" s="15" t="s">
        <v>20</v>
      </c>
      <c r="E902" s="20" t="s">
        <v>32</v>
      </c>
      <c r="F902" s="20" t="s">
        <v>39</v>
      </c>
      <c r="G902" s="11">
        <v>17</v>
      </c>
      <c r="H902" s="11"/>
      <c r="I902" s="18"/>
      <c r="J902" s="18"/>
      <c r="K902" s="19"/>
      <c r="L902" s="41"/>
      <c r="M902" s="41"/>
      <c r="N902" s="41"/>
      <c r="O902" s="41"/>
      <c r="P902" s="41"/>
      <c r="Q902" s="43"/>
      <c r="R902" s="43"/>
      <c r="S902" s="43"/>
      <c r="T902" s="43"/>
      <c r="U902" s="19"/>
      <c r="V902" s="13">
        <f t="shared" si="96"/>
        <v>0</v>
      </c>
      <c r="W902" s="13"/>
      <c r="X902" s="13"/>
      <c r="Y902" s="13"/>
      <c r="Z902" s="13"/>
      <c r="AA902" s="22">
        <v>45962</v>
      </c>
      <c r="AB902" s="22" cm="1">
        <f t="array" ref="AB9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02" s="4"/>
      <c r="AD902" s="4"/>
      <c r="AE902" s="2"/>
      <c r="AF902" s="3"/>
      <c r="AG902" s="3"/>
      <c r="AH902" s="3"/>
      <c r="AI902" s="3"/>
      <c r="AJ902" s="2">
        <f t="shared" si="97"/>
        <v>0</v>
      </c>
      <c r="AK902" s="2">
        <f t="shared" si="99"/>
        <v>0</v>
      </c>
      <c r="AL902" s="2">
        <f t="shared" si="98"/>
        <v>0</v>
      </c>
      <c r="AM902" s="88"/>
      <c r="AN902" s="157" t="s">
        <v>774</v>
      </c>
    </row>
    <row r="903" spans="2:40" ht="23.15" customHeight="1" thickBot="1">
      <c r="B903" s="87"/>
      <c r="C903" s="2"/>
      <c r="D903" s="15" t="s">
        <v>20</v>
      </c>
      <c r="E903" s="20" t="s">
        <v>28</v>
      </c>
      <c r="F903" s="20" t="s">
        <v>37</v>
      </c>
      <c r="G903" s="11">
        <v>12</v>
      </c>
      <c r="H903" s="11"/>
      <c r="I903" s="18"/>
      <c r="J903" s="18"/>
      <c r="K903" s="19"/>
      <c r="L903" s="41"/>
      <c r="M903" s="41"/>
      <c r="N903" s="41"/>
      <c r="O903" s="41"/>
      <c r="P903" s="41"/>
      <c r="Q903" s="43"/>
      <c r="R903" s="43"/>
      <c r="S903" s="43"/>
      <c r="T903" s="43"/>
      <c r="U903" s="19"/>
      <c r="V903" s="13">
        <f t="shared" si="96"/>
        <v>0</v>
      </c>
      <c r="W903" s="13"/>
      <c r="X903" s="13"/>
      <c r="Y903" s="13"/>
      <c r="Z903" s="13"/>
      <c r="AA903" s="22">
        <v>45992</v>
      </c>
      <c r="AB903" s="22" cm="1">
        <f t="array" ref="AB9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3" s="4"/>
      <c r="AD903" s="4"/>
      <c r="AE903" s="2"/>
      <c r="AF903" s="3"/>
      <c r="AG903" s="3"/>
      <c r="AH903" s="3"/>
      <c r="AI903" s="3"/>
      <c r="AJ903" s="2">
        <f t="shared" si="97"/>
        <v>0</v>
      </c>
      <c r="AK903" s="2">
        <f t="shared" si="99"/>
        <v>0</v>
      </c>
      <c r="AL903" s="2">
        <f t="shared" si="98"/>
        <v>0</v>
      </c>
      <c r="AM903" s="88"/>
      <c r="AN903" s="157" t="s">
        <v>774</v>
      </c>
    </row>
    <row r="904" spans="2:40" ht="23.15" customHeight="1" thickBot="1">
      <c r="B904" s="87"/>
      <c r="C904" s="2"/>
      <c r="D904" s="15" t="s">
        <v>20</v>
      </c>
      <c r="E904" s="20" t="s">
        <v>29</v>
      </c>
      <c r="F904" s="20" t="s">
        <v>38</v>
      </c>
      <c r="G904" s="11">
        <v>13</v>
      </c>
      <c r="H904" s="11"/>
      <c r="I904" s="18"/>
      <c r="J904" s="18"/>
      <c r="K904" s="19"/>
      <c r="L904" s="41"/>
      <c r="M904" s="41"/>
      <c r="N904" s="41"/>
      <c r="O904" s="41"/>
      <c r="P904" s="41"/>
      <c r="Q904" s="43"/>
      <c r="R904" s="43"/>
      <c r="S904" s="43"/>
      <c r="T904" s="43"/>
      <c r="U904" s="19"/>
      <c r="V904" s="13">
        <f t="shared" si="96"/>
        <v>0</v>
      </c>
      <c r="W904" s="13"/>
      <c r="X904" s="13"/>
      <c r="Y904" s="13"/>
      <c r="Z904" s="13"/>
      <c r="AA904" s="22">
        <v>45992</v>
      </c>
      <c r="AB904" s="22" cm="1">
        <f t="array" ref="AB9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4" s="4"/>
      <c r="AD904" s="4"/>
      <c r="AE904" s="2"/>
      <c r="AF904" s="3"/>
      <c r="AG904" s="3"/>
      <c r="AH904" s="3"/>
      <c r="AI904" s="3"/>
      <c r="AJ904" s="2">
        <f t="shared" si="97"/>
        <v>0</v>
      </c>
      <c r="AK904" s="2">
        <f t="shared" si="99"/>
        <v>0</v>
      </c>
      <c r="AL904" s="2">
        <f t="shared" si="98"/>
        <v>0</v>
      </c>
      <c r="AM904" s="88"/>
      <c r="AN904" s="157" t="s">
        <v>774</v>
      </c>
    </row>
    <row r="905" spans="2:40" ht="23.15" customHeight="1" thickBot="1">
      <c r="B905" s="87"/>
      <c r="C905" s="2"/>
      <c r="D905" s="15" t="s">
        <v>20</v>
      </c>
      <c r="E905" s="20" t="s">
        <v>158</v>
      </c>
      <c r="F905" s="20" t="s">
        <v>38</v>
      </c>
      <c r="G905" s="11">
        <v>1</v>
      </c>
      <c r="H905" s="11"/>
      <c r="I905" s="18"/>
      <c r="J905" s="18"/>
      <c r="K905" s="19"/>
      <c r="L905" s="41"/>
      <c r="M905" s="41"/>
      <c r="N905" s="41"/>
      <c r="O905" s="41"/>
      <c r="P905" s="41"/>
      <c r="Q905" s="41"/>
      <c r="R905" s="41"/>
      <c r="S905" s="41"/>
      <c r="T905" s="41"/>
      <c r="U905" s="19"/>
      <c r="V905" s="13">
        <f t="shared" si="96"/>
        <v>0</v>
      </c>
      <c r="W905" s="13"/>
      <c r="X905" s="13"/>
      <c r="Y905" s="13"/>
      <c r="Z905" s="13"/>
      <c r="AA905" s="22">
        <v>45992</v>
      </c>
      <c r="AB905" s="22" cm="1">
        <f t="array" ref="AB9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5" s="4"/>
      <c r="AD905" s="4"/>
      <c r="AE905" s="2"/>
      <c r="AF905" s="3"/>
      <c r="AG905" s="3"/>
      <c r="AH905" s="3"/>
      <c r="AI905" s="3"/>
      <c r="AJ905" s="2">
        <f t="shared" si="97"/>
        <v>0</v>
      </c>
      <c r="AK905" s="2">
        <f t="shared" si="99"/>
        <v>0</v>
      </c>
      <c r="AL905" s="2">
        <f t="shared" si="98"/>
        <v>0</v>
      </c>
      <c r="AM905" s="88"/>
      <c r="AN905" s="157" t="s">
        <v>774</v>
      </c>
    </row>
    <row r="906" spans="2:40" ht="23.15" customHeight="1" thickBot="1">
      <c r="B906" s="87"/>
      <c r="C906" s="2"/>
      <c r="D906" s="15" t="s">
        <v>20</v>
      </c>
      <c r="E906" s="20" t="s">
        <v>33</v>
      </c>
      <c r="F906" s="20" t="s">
        <v>44</v>
      </c>
      <c r="G906" s="11">
        <v>3</v>
      </c>
      <c r="H906" s="11"/>
      <c r="I906" s="18"/>
      <c r="J906" s="18"/>
      <c r="K906" s="19"/>
      <c r="L906" s="41"/>
      <c r="M906" s="41"/>
      <c r="N906" s="41"/>
      <c r="O906" s="41"/>
      <c r="P906" s="41"/>
      <c r="Q906" s="43"/>
      <c r="R906" s="43"/>
      <c r="S906" s="43"/>
      <c r="T906" s="43"/>
      <c r="U906" s="19"/>
      <c r="V906" s="13">
        <f t="shared" si="96"/>
        <v>0</v>
      </c>
      <c r="W906" s="13"/>
      <c r="X906" s="13"/>
      <c r="Y906" s="13"/>
      <c r="Z906" s="13"/>
      <c r="AA906" s="22">
        <v>45992</v>
      </c>
      <c r="AB906" s="22" cm="1">
        <f t="array" ref="AB9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6" s="4"/>
      <c r="AD906" s="4"/>
      <c r="AE906" s="2"/>
      <c r="AF906" s="3"/>
      <c r="AG906" s="3"/>
      <c r="AH906" s="3"/>
      <c r="AI906" s="3"/>
      <c r="AJ906" s="2">
        <f t="shared" si="97"/>
        <v>0</v>
      </c>
      <c r="AK906" s="2">
        <f t="shared" si="99"/>
        <v>0</v>
      </c>
      <c r="AL906" s="2">
        <f t="shared" si="98"/>
        <v>0</v>
      </c>
      <c r="AM906" s="88"/>
      <c r="AN906" s="157" t="s">
        <v>774</v>
      </c>
    </row>
    <row r="907" spans="2:40" ht="23.15" customHeight="1" thickBot="1">
      <c r="B907" s="87"/>
      <c r="C907" s="2"/>
      <c r="D907" s="15" t="s">
        <v>20</v>
      </c>
      <c r="E907" s="20" t="s">
        <v>25</v>
      </c>
      <c r="F907" s="20" t="s">
        <v>40</v>
      </c>
      <c r="G907" s="11">
        <v>29</v>
      </c>
      <c r="H907" s="11"/>
      <c r="I907" s="18"/>
      <c r="J907" s="11"/>
      <c r="K907" s="19"/>
      <c r="L907" s="41"/>
      <c r="M907" s="41"/>
      <c r="N907" s="41"/>
      <c r="O907" s="41"/>
      <c r="P907" s="41"/>
      <c r="Q907" s="43"/>
      <c r="R907" s="43"/>
      <c r="S907" s="43"/>
      <c r="T907" s="43"/>
      <c r="U907" s="19"/>
      <c r="V907" s="13">
        <f t="shared" si="96"/>
        <v>0</v>
      </c>
      <c r="W907" s="13"/>
      <c r="X907" s="13"/>
      <c r="Y907" s="13"/>
      <c r="Z907" s="13"/>
      <c r="AA907" s="22">
        <v>45992</v>
      </c>
      <c r="AB907" s="22" cm="1">
        <f t="array" ref="AB9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7" s="4"/>
      <c r="AD907" s="4"/>
      <c r="AE907" s="2"/>
      <c r="AF907" s="3"/>
      <c r="AG907" s="3"/>
      <c r="AH907" s="3"/>
      <c r="AI907" s="3"/>
      <c r="AJ907" s="2">
        <f t="shared" si="97"/>
        <v>0</v>
      </c>
      <c r="AK907" s="2">
        <f t="shared" si="99"/>
        <v>0</v>
      </c>
      <c r="AL907" s="2">
        <f t="shared" si="98"/>
        <v>0</v>
      </c>
      <c r="AM907" s="88"/>
      <c r="AN907" s="157" t="s">
        <v>774</v>
      </c>
    </row>
    <row r="908" spans="2:40" ht="23.15" customHeight="1" thickBot="1">
      <c r="B908" s="87"/>
      <c r="C908" s="2"/>
      <c r="D908" s="15" t="s">
        <v>20</v>
      </c>
      <c r="E908" s="20" t="s">
        <v>26</v>
      </c>
      <c r="F908" s="20" t="s">
        <v>70</v>
      </c>
      <c r="G908" s="11">
        <v>4</v>
      </c>
      <c r="H908" s="11"/>
      <c r="I908" s="18"/>
      <c r="J908" s="18"/>
      <c r="K908" s="19"/>
      <c r="L908" s="41"/>
      <c r="M908" s="41"/>
      <c r="N908" s="41"/>
      <c r="O908" s="41"/>
      <c r="P908" s="41"/>
      <c r="Q908" s="43"/>
      <c r="R908" s="43"/>
      <c r="S908" s="43"/>
      <c r="T908" s="43"/>
      <c r="U908" s="19"/>
      <c r="V908" s="13">
        <f t="shared" si="96"/>
        <v>0</v>
      </c>
      <c r="W908" s="13"/>
      <c r="X908" s="13"/>
      <c r="Y908" s="13"/>
      <c r="Z908" s="13"/>
      <c r="AA908" s="22">
        <v>45992</v>
      </c>
      <c r="AB908" s="22" cm="1">
        <f t="array" ref="AB9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8" s="4"/>
      <c r="AD908" s="4"/>
      <c r="AE908" s="2"/>
      <c r="AF908" s="3"/>
      <c r="AG908" s="3"/>
      <c r="AH908" s="3"/>
      <c r="AI908" s="3"/>
      <c r="AJ908" s="2">
        <f t="shared" si="97"/>
        <v>0</v>
      </c>
      <c r="AK908" s="2">
        <f t="shared" si="99"/>
        <v>0</v>
      </c>
      <c r="AL908" s="2">
        <f t="shared" si="98"/>
        <v>0</v>
      </c>
      <c r="AM908" s="88"/>
      <c r="AN908" s="157" t="s">
        <v>774</v>
      </c>
    </row>
    <row r="909" spans="2:40" ht="23.15" customHeight="1" thickBot="1">
      <c r="B909" s="87"/>
      <c r="C909" s="2"/>
      <c r="D909" s="15" t="s">
        <v>20</v>
      </c>
      <c r="E909" s="20" t="s">
        <v>31</v>
      </c>
      <c r="F909" s="20" t="s">
        <v>39</v>
      </c>
      <c r="G909" s="11">
        <v>28</v>
      </c>
      <c r="H909" s="11"/>
      <c r="I909" s="18"/>
      <c r="J909" s="18"/>
      <c r="K909" s="19"/>
      <c r="L909" s="41"/>
      <c r="M909" s="41"/>
      <c r="N909" s="41"/>
      <c r="O909" s="41"/>
      <c r="P909" s="41"/>
      <c r="Q909" s="43"/>
      <c r="R909" s="43"/>
      <c r="S909" s="43"/>
      <c r="T909" s="43"/>
      <c r="U909" s="19"/>
      <c r="V909" s="13">
        <f t="shared" si="96"/>
        <v>0</v>
      </c>
      <c r="W909" s="13"/>
      <c r="X909" s="13"/>
      <c r="Y909" s="13"/>
      <c r="Z909" s="13"/>
      <c r="AA909" s="22">
        <v>45992</v>
      </c>
      <c r="AB909" s="22" cm="1">
        <f t="array" ref="AB9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09" s="4"/>
      <c r="AD909" s="4"/>
      <c r="AE909" s="2"/>
      <c r="AF909" s="3"/>
      <c r="AG909" s="3"/>
      <c r="AH909" s="3"/>
      <c r="AI909" s="3"/>
      <c r="AJ909" s="2">
        <f t="shared" si="97"/>
        <v>0</v>
      </c>
      <c r="AK909" s="2">
        <f t="shared" si="99"/>
        <v>0</v>
      </c>
      <c r="AL909" s="2">
        <f t="shared" si="98"/>
        <v>0</v>
      </c>
      <c r="AM909" s="88"/>
      <c r="AN909" s="157" t="s">
        <v>774</v>
      </c>
    </row>
    <row r="910" spans="2:40" ht="23.15" customHeight="1" thickBot="1">
      <c r="B910" s="87"/>
      <c r="C910" s="2"/>
      <c r="D910" s="15" t="s">
        <v>20</v>
      </c>
      <c r="E910" s="20" t="s">
        <v>35</v>
      </c>
      <c r="F910" s="20" t="s">
        <v>40</v>
      </c>
      <c r="G910" s="11">
        <v>12</v>
      </c>
      <c r="H910" s="11"/>
      <c r="I910" s="18"/>
      <c r="J910" s="18"/>
      <c r="K910" s="19"/>
      <c r="L910" s="41"/>
      <c r="M910" s="41"/>
      <c r="N910" s="41"/>
      <c r="O910" s="41"/>
      <c r="P910" s="41"/>
      <c r="Q910" s="43"/>
      <c r="R910" s="43"/>
      <c r="S910" s="43"/>
      <c r="T910" s="43"/>
      <c r="U910" s="19"/>
      <c r="V910" s="13">
        <f t="shared" si="96"/>
        <v>0</v>
      </c>
      <c r="W910" s="13"/>
      <c r="X910" s="13"/>
      <c r="Y910" s="13"/>
      <c r="Z910" s="13"/>
      <c r="AA910" s="22">
        <v>45992</v>
      </c>
      <c r="AB910" s="22" cm="1">
        <f t="array" ref="AB9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10" s="4"/>
      <c r="AD910" s="4"/>
      <c r="AE910" s="2"/>
      <c r="AF910" s="3"/>
      <c r="AG910" s="3"/>
      <c r="AH910" s="3"/>
      <c r="AI910" s="3"/>
      <c r="AJ910" s="2">
        <f t="shared" si="97"/>
        <v>0</v>
      </c>
      <c r="AK910" s="2">
        <f t="shared" si="99"/>
        <v>0</v>
      </c>
      <c r="AL910" s="2">
        <f t="shared" si="98"/>
        <v>0</v>
      </c>
      <c r="AM910" s="88"/>
      <c r="AN910" s="157" t="s">
        <v>774</v>
      </c>
    </row>
    <row r="911" spans="2:40" ht="23.15" customHeight="1" thickBot="1">
      <c r="B911" s="87"/>
      <c r="C911" s="2"/>
      <c r="D911" s="15" t="s">
        <v>20</v>
      </c>
      <c r="E911" s="20" t="s">
        <v>30</v>
      </c>
      <c r="F911" s="20" t="s">
        <v>40</v>
      </c>
      <c r="G911" s="11">
        <v>70</v>
      </c>
      <c r="H911" s="11"/>
      <c r="I911" s="18"/>
      <c r="J911" s="18"/>
      <c r="K911" s="19"/>
      <c r="L911" s="41"/>
      <c r="M911" s="41"/>
      <c r="N911" s="41"/>
      <c r="O911" s="41"/>
      <c r="P911" s="41"/>
      <c r="Q911" s="41"/>
      <c r="R911" s="41"/>
      <c r="S911" s="41"/>
      <c r="T911" s="41"/>
      <c r="U911" s="19"/>
      <c r="V911" s="13">
        <f t="shared" si="96"/>
        <v>0</v>
      </c>
      <c r="W911" s="13"/>
      <c r="X911" s="13"/>
      <c r="Y911" s="13"/>
      <c r="Z911" s="13"/>
      <c r="AA911" s="22">
        <v>45992</v>
      </c>
      <c r="AB911" s="22" cm="1">
        <f t="array" ref="AB9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11" s="4"/>
      <c r="AD911" s="4"/>
      <c r="AE911" s="2"/>
      <c r="AF911" s="3"/>
      <c r="AG911" s="3"/>
      <c r="AH911" s="3"/>
      <c r="AI911" s="3"/>
      <c r="AJ911" s="2">
        <f t="shared" si="97"/>
        <v>0</v>
      </c>
      <c r="AK911" s="2">
        <f t="shared" ref="AK911:AK942" si="100">AC911-AD911</f>
        <v>0</v>
      </c>
      <c r="AL911" s="2">
        <f t="shared" si="98"/>
        <v>0</v>
      </c>
      <c r="AM911" s="88"/>
      <c r="AN911" s="157" t="s">
        <v>774</v>
      </c>
    </row>
    <row r="912" spans="2:40" ht="23.15" customHeight="1" thickBot="1">
      <c r="B912" s="87"/>
      <c r="C912" s="2"/>
      <c r="D912" s="15" t="s">
        <v>20</v>
      </c>
      <c r="E912" s="20" t="s">
        <v>32</v>
      </c>
      <c r="F912" s="20" t="s">
        <v>39</v>
      </c>
      <c r="G912" s="11">
        <v>17</v>
      </c>
      <c r="H912" s="11"/>
      <c r="I912" s="18"/>
      <c r="J912" s="18"/>
      <c r="K912" s="19"/>
      <c r="L912" s="41"/>
      <c r="M912" s="43"/>
      <c r="N912" s="41"/>
      <c r="O912" s="41"/>
      <c r="P912" s="41"/>
      <c r="Q912" s="43"/>
      <c r="R912" s="43"/>
      <c r="S912" s="43"/>
      <c r="T912" s="43"/>
      <c r="U912" s="19"/>
      <c r="V912" s="13">
        <f t="shared" si="96"/>
        <v>0</v>
      </c>
      <c r="W912" s="13"/>
      <c r="X912" s="13"/>
      <c r="Y912" s="13"/>
      <c r="Z912" s="13"/>
      <c r="AA912" s="22">
        <v>45992</v>
      </c>
      <c r="AB912" s="22" cm="1">
        <f t="array" ref="AB9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12" s="4"/>
      <c r="AD912" s="4"/>
      <c r="AE912" s="2"/>
      <c r="AF912" s="3"/>
      <c r="AG912" s="3"/>
      <c r="AH912" s="3"/>
      <c r="AI912" s="3"/>
      <c r="AJ912" s="2">
        <f t="shared" si="97"/>
        <v>0</v>
      </c>
      <c r="AK912" s="2">
        <f t="shared" si="100"/>
        <v>0</v>
      </c>
      <c r="AL912" s="2">
        <f t="shared" si="98"/>
        <v>0</v>
      </c>
      <c r="AM912" s="88"/>
      <c r="AN912" s="157" t="s">
        <v>774</v>
      </c>
    </row>
    <row r="913" spans="2:40" ht="23.15" customHeight="1" thickBot="1">
      <c r="B913" s="87">
        <v>45726</v>
      </c>
      <c r="C913" s="2" t="s">
        <v>295</v>
      </c>
      <c r="D913" s="15" t="s">
        <v>21</v>
      </c>
      <c r="E913" s="20" t="s">
        <v>26</v>
      </c>
      <c r="F913" s="20" t="s">
        <v>41</v>
      </c>
      <c r="G913" s="11">
        <v>4</v>
      </c>
      <c r="H913" s="11">
        <v>3</v>
      </c>
      <c r="I913" s="18">
        <v>0</v>
      </c>
      <c r="J913" s="18">
        <v>0</v>
      </c>
      <c r="K913" s="19">
        <v>15809.05</v>
      </c>
      <c r="L913" s="41">
        <v>0</v>
      </c>
      <c r="M913" s="43">
        <v>0</v>
      </c>
      <c r="N913" s="41">
        <v>0</v>
      </c>
      <c r="O913" s="41">
        <v>0</v>
      </c>
      <c r="P913" s="41">
        <v>0</v>
      </c>
      <c r="Q913" s="43">
        <v>0</v>
      </c>
      <c r="R913" s="43">
        <v>0</v>
      </c>
      <c r="S913" s="43">
        <v>0</v>
      </c>
      <c r="T913" s="43">
        <v>0</v>
      </c>
      <c r="U913" s="19" t="s">
        <v>295</v>
      </c>
      <c r="V913" s="13">
        <f t="shared" si="96"/>
        <v>15809.05</v>
      </c>
      <c r="W913" s="13"/>
      <c r="X913" s="13"/>
      <c r="Y913" s="13"/>
      <c r="Z913" s="13"/>
      <c r="AA913" s="22">
        <v>45658</v>
      </c>
      <c r="AB913" s="22" cm="1">
        <f t="array" ref="AB9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13" s="4"/>
      <c r="AD913" s="4"/>
      <c r="AE913" s="2"/>
      <c r="AF913" s="3"/>
      <c r="AG913" s="3"/>
      <c r="AH913" s="3"/>
      <c r="AI913" s="3"/>
      <c r="AJ913" s="2">
        <f t="shared" si="97"/>
        <v>0</v>
      </c>
      <c r="AK913" s="2">
        <f t="shared" si="100"/>
        <v>0</v>
      </c>
      <c r="AL913" s="2">
        <f t="shared" si="98"/>
        <v>0</v>
      </c>
      <c r="AM913" s="88"/>
      <c r="AN913" s="157" t="s">
        <v>774</v>
      </c>
    </row>
    <row r="914" spans="2:40" ht="23.15" customHeight="1" thickBot="1">
      <c r="B914" s="87">
        <v>45726</v>
      </c>
      <c r="C914" s="2" t="s">
        <v>295</v>
      </c>
      <c r="D914" s="15" t="s">
        <v>21</v>
      </c>
      <c r="E914" s="20" t="s">
        <v>26</v>
      </c>
      <c r="F914" s="20" t="s">
        <v>41</v>
      </c>
      <c r="G914" s="11">
        <v>4</v>
      </c>
      <c r="H914" s="11">
        <v>3</v>
      </c>
      <c r="I914" s="18">
        <v>0</v>
      </c>
      <c r="J914" s="18">
        <v>0</v>
      </c>
      <c r="K914" s="19">
        <v>15809.05</v>
      </c>
      <c r="L914" s="41">
        <v>0</v>
      </c>
      <c r="M914" s="43">
        <v>0</v>
      </c>
      <c r="N914" s="41">
        <v>0</v>
      </c>
      <c r="O914" s="41">
        <v>0</v>
      </c>
      <c r="P914" s="41">
        <v>0</v>
      </c>
      <c r="Q914" s="43">
        <v>0</v>
      </c>
      <c r="R914" s="43">
        <v>0</v>
      </c>
      <c r="S914" s="43">
        <v>0</v>
      </c>
      <c r="T914" s="43">
        <v>0</v>
      </c>
      <c r="U914" s="19" t="s">
        <v>295</v>
      </c>
      <c r="V914" s="13">
        <f t="shared" si="96"/>
        <v>15809.05</v>
      </c>
      <c r="W914" s="13"/>
      <c r="X914" s="13"/>
      <c r="Y914" s="13"/>
      <c r="Z914" s="13"/>
      <c r="AA914" s="22">
        <v>45689</v>
      </c>
      <c r="AB914" s="22" cm="1">
        <f t="array" ref="AB9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14" s="4"/>
      <c r="AD914" s="4"/>
      <c r="AE914" s="2"/>
      <c r="AF914" s="3"/>
      <c r="AG914" s="3"/>
      <c r="AH914" s="3"/>
      <c r="AI914" s="3"/>
      <c r="AJ914" s="2">
        <f t="shared" si="97"/>
        <v>0</v>
      </c>
      <c r="AK914" s="2">
        <f t="shared" si="100"/>
        <v>0</v>
      </c>
      <c r="AL914" s="2">
        <f t="shared" si="98"/>
        <v>0</v>
      </c>
      <c r="AM914" s="88"/>
      <c r="AN914" s="157" t="s">
        <v>774</v>
      </c>
    </row>
    <row r="915" spans="2:40" ht="23.15" customHeight="1" thickBot="1">
      <c r="B915" s="87">
        <v>45756</v>
      </c>
      <c r="C915" s="2" t="s">
        <v>295</v>
      </c>
      <c r="D915" s="15" t="s">
        <v>21</v>
      </c>
      <c r="E915" s="20" t="s">
        <v>26</v>
      </c>
      <c r="F915" s="20" t="s">
        <v>41</v>
      </c>
      <c r="G915" s="11">
        <v>4</v>
      </c>
      <c r="H915" s="11">
        <v>4</v>
      </c>
      <c r="I915" s="18">
        <v>0</v>
      </c>
      <c r="J915" s="18">
        <v>0</v>
      </c>
      <c r="K915" s="19">
        <v>21190.28</v>
      </c>
      <c r="L915" s="41">
        <v>0</v>
      </c>
      <c r="M915" s="41">
        <v>0</v>
      </c>
      <c r="N915" s="41">
        <v>0</v>
      </c>
      <c r="O915" s="41">
        <v>0</v>
      </c>
      <c r="P915" s="41">
        <v>0</v>
      </c>
      <c r="Q915" s="43">
        <v>0</v>
      </c>
      <c r="R915" s="43">
        <v>0</v>
      </c>
      <c r="S915" s="43">
        <v>0</v>
      </c>
      <c r="T915" s="43">
        <v>0</v>
      </c>
      <c r="U915" s="19" t="s">
        <v>295</v>
      </c>
      <c r="V915" s="13">
        <f t="shared" si="96"/>
        <v>21190.28</v>
      </c>
      <c r="W915" s="13"/>
      <c r="X915" s="13"/>
      <c r="Y915" s="47"/>
      <c r="Z915" s="13"/>
      <c r="AA915" s="22">
        <v>45717</v>
      </c>
      <c r="AB915" s="22" cm="1">
        <f t="array" ref="AB9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15" s="4"/>
      <c r="AD915" s="4"/>
      <c r="AE915" s="2"/>
      <c r="AF915" s="3"/>
      <c r="AG915" s="3"/>
      <c r="AH915" s="3"/>
      <c r="AI915" s="3"/>
      <c r="AJ915" s="2">
        <f t="shared" si="97"/>
        <v>0</v>
      </c>
      <c r="AK915" s="2">
        <f t="shared" si="100"/>
        <v>0</v>
      </c>
      <c r="AL915" s="2">
        <f t="shared" si="98"/>
        <v>0</v>
      </c>
      <c r="AM915" s="88"/>
      <c r="AN915" s="157" t="s">
        <v>774</v>
      </c>
    </row>
    <row r="916" spans="2:40" ht="23.15" customHeight="1" thickBot="1">
      <c r="B916" s="87">
        <v>45792</v>
      </c>
      <c r="C916" s="2" t="s">
        <v>295</v>
      </c>
      <c r="D916" s="15" t="s">
        <v>21</v>
      </c>
      <c r="E916" s="20" t="s">
        <v>26</v>
      </c>
      <c r="F916" s="20" t="s">
        <v>41</v>
      </c>
      <c r="G916" s="11">
        <v>4</v>
      </c>
      <c r="H916" s="11">
        <v>4</v>
      </c>
      <c r="I916" s="18">
        <v>0</v>
      </c>
      <c r="J916" s="18">
        <v>0</v>
      </c>
      <c r="K916" s="19">
        <v>23179.89</v>
      </c>
      <c r="L916" s="41">
        <v>0</v>
      </c>
      <c r="M916" s="41">
        <v>0</v>
      </c>
      <c r="N916" s="41">
        <v>0</v>
      </c>
      <c r="O916" s="41">
        <v>0</v>
      </c>
      <c r="P916" s="41">
        <v>0</v>
      </c>
      <c r="Q916" s="41">
        <v>0</v>
      </c>
      <c r="R916" s="41">
        <v>0</v>
      </c>
      <c r="S916" s="41">
        <v>0</v>
      </c>
      <c r="T916" s="43">
        <v>0</v>
      </c>
      <c r="U916" s="19" t="s">
        <v>295</v>
      </c>
      <c r="V916" s="13">
        <f t="shared" si="96"/>
        <v>23179.89</v>
      </c>
      <c r="W916" s="13"/>
      <c r="X916" s="13"/>
      <c r="Y916" s="47"/>
      <c r="Z916" s="13"/>
      <c r="AA916" s="22">
        <v>45748</v>
      </c>
      <c r="AB916" s="22" cm="1">
        <f t="array" ref="AB9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16" s="4"/>
      <c r="AD916" s="4"/>
      <c r="AE916" s="2"/>
      <c r="AF916" s="3"/>
      <c r="AG916" s="3"/>
      <c r="AH916" s="3"/>
      <c r="AI916" s="3"/>
      <c r="AJ916" s="2">
        <f t="shared" si="97"/>
        <v>0</v>
      </c>
      <c r="AK916" s="2">
        <f t="shared" si="100"/>
        <v>0</v>
      </c>
      <c r="AL916" s="2">
        <f t="shared" si="98"/>
        <v>0</v>
      </c>
      <c r="AM916" s="88"/>
      <c r="AN916" s="157" t="s">
        <v>774</v>
      </c>
    </row>
    <row r="917" spans="2:40" ht="23.15" customHeight="1" thickBot="1">
      <c r="B917" s="87">
        <v>45786</v>
      </c>
      <c r="C917" s="2" t="s">
        <v>295</v>
      </c>
      <c r="D917" s="15" t="s">
        <v>21</v>
      </c>
      <c r="E917" s="20" t="s">
        <v>26</v>
      </c>
      <c r="F917" s="20" t="s">
        <v>41</v>
      </c>
      <c r="G917" s="11">
        <v>4</v>
      </c>
      <c r="H917" s="11">
        <v>4</v>
      </c>
      <c r="I917" s="18">
        <v>0</v>
      </c>
      <c r="J917" s="18">
        <v>0</v>
      </c>
      <c r="K917" s="19">
        <v>23179.89</v>
      </c>
      <c r="L917" s="41">
        <v>0</v>
      </c>
      <c r="M917" s="41">
        <v>0</v>
      </c>
      <c r="N917" s="41">
        <v>0</v>
      </c>
      <c r="O917" s="41">
        <v>0</v>
      </c>
      <c r="P917" s="41">
        <v>0</v>
      </c>
      <c r="Q917" s="43">
        <v>0</v>
      </c>
      <c r="R917" s="43">
        <v>0</v>
      </c>
      <c r="S917" s="43">
        <v>0</v>
      </c>
      <c r="T917" s="43">
        <v>0</v>
      </c>
      <c r="U917" s="19" t="s">
        <v>292</v>
      </c>
      <c r="V917" s="13">
        <f t="shared" si="96"/>
        <v>23179.89</v>
      </c>
      <c r="W917" s="13"/>
      <c r="X917" s="13"/>
      <c r="Y917" s="13"/>
      <c r="Z917" s="13"/>
      <c r="AA917" s="22">
        <v>45778</v>
      </c>
      <c r="AB917" s="22" cm="1">
        <f t="array" ref="AB9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17" s="4"/>
      <c r="AD917" s="4"/>
      <c r="AE917" s="2"/>
      <c r="AF917" s="3"/>
      <c r="AG917" s="3"/>
      <c r="AH917" s="3"/>
      <c r="AI917" s="3"/>
      <c r="AJ917" s="2">
        <f t="shared" si="97"/>
        <v>0</v>
      </c>
      <c r="AK917" s="2">
        <f t="shared" si="100"/>
        <v>0</v>
      </c>
      <c r="AL917" s="2">
        <f t="shared" si="98"/>
        <v>0</v>
      </c>
      <c r="AM917" s="88"/>
      <c r="AN917" s="157" t="s">
        <v>774</v>
      </c>
    </row>
    <row r="918" spans="2:40" ht="23.15" customHeight="1" thickBot="1">
      <c r="B918" s="87">
        <v>45847</v>
      </c>
      <c r="C918" s="2" t="s">
        <v>295</v>
      </c>
      <c r="D918" s="15" t="s">
        <v>21</v>
      </c>
      <c r="E918" s="20" t="s">
        <v>26</v>
      </c>
      <c r="F918" s="20" t="s">
        <v>41</v>
      </c>
      <c r="G918" s="11">
        <v>4</v>
      </c>
      <c r="H918" s="11">
        <v>4</v>
      </c>
      <c r="I918" s="18">
        <v>0</v>
      </c>
      <c r="J918" s="18">
        <v>0</v>
      </c>
      <c r="K918" s="19">
        <v>23179.89</v>
      </c>
      <c r="L918" s="41">
        <v>0</v>
      </c>
      <c r="M918" s="41">
        <v>0</v>
      </c>
      <c r="N918" s="41">
        <v>0</v>
      </c>
      <c r="O918" s="41">
        <v>0</v>
      </c>
      <c r="P918" s="41">
        <v>0</v>
      </c>
      <c r="Q918" s="43">
        <v>0</v>
      </c>
      <c r="R918" s="43">
        <v>0</v>
      </c>
      <c r="S918" s="43">
        <v>0</v>
      </c>
      <c r="T918" s="43">
        <v>0</v>
      </c>
      <c r="U918" s="19" t="s">
        <v>295</v>
      </c>
      <c r="V918" s="13">
        <f t="shared" si="96"/>
        <v>23179.89</v>
      </c>
      <c r="W918" s="13"/>
      <c r="X918" s="13"/>
      <c r="Y918" s="13"/>
      <c r="Z918" s="13"/>
      <c r="AA918" s="22">
        <v>45809</v>
      </c>
      <c r="AB918" s="22" cm="1">
        <f t="array" ref="AB9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18" s="4">
        <f>2712.14+1719.1</f>
        <v>4431.24</v>
      </c>
      <c r="AD918" s="4">
        <f>2712.14+1719.1</f>
        <v>4431.24</v>
      </c>
      <c r="AE918" s="2"/>
      <c r="AF918" s="3"/>
      <c r="AG918" s="3"/>
      <c r="AH918" s="3"/>
      <c r="AI918" s="3"/>
      <c r="AJ918" s="2">
        <f t="shared" si="97"/>
        <v>0</v>
      </c>
      <c r="AK918" s="2">
        <f t="shared" si="100"/>
        <v>0</v>
      </c>
      <c r="AL918" s="2">
        <f t="shared" si="98"/>
        <v>0</v>
      </c>
      <c r="AM918" s="88"/>
      <c r="AN918" s="157" t="s">
        <v>774</v>
      </c>
    </row>
    <row r="919" spans="2:40" ht="23.15" customHeight="1" thickBot="1">
      <c r="B919" s="87">
        <v>45909</v>
      </c>
      <c r="C919" s="2" t="s">
        <v>295</v>
      </c>
      <c r="D919" s="15" t="s">
        <v>21</v>
      </c>
      <c r="E919" s="20" t="s">
        <v>28</v>
      </c>
      <c r="F919" s="20" t="s">
        <v>95</v>
      </c>
      <c r="G919" s="11">
        <v>19</v>
      </c>
      <c r="H919" s="11">
        <v>19</v>
      </c>
      <c r="I919" s="18">
        <v>0</v>
      </c>
      <c r="J919" s="18">
        <v>0</v>
      </c>
      <c r="K919" s="19">
        <v>158469.45000000001</v>
      </c>
      <c r="L919" s="41">
        <v>0</v>
      </c>
      <c r="M919" s="41">
        <v>0</v>
      </c>
      <c r="N919" s="41">
        <v>0</v>
      </c>
      <c r="O919" s="41">
        <v>0</v>
      </c>
      <c r="P919" s="41">
        <v>0</v>
      </c>
      <c r="Q919" s="43">
        <v>0</v>
      </c>
      <c r="R919" s="43">
        <v>0</v>
      </c>
      <c r="S919" s="43">
        <v>0</v>
      </c>
      <c r="T919" s="43">
        <v>0</v>
      </c>
      <c r="U919" s="19"/>
      <c r="V919" s="13">
        <f t="shared" si="96"/>
        <v>158469.45000000001</v>
      </c>
      <c r="W919" s="13"/>
      <c r="X919" s="13"/>
      <c r="Y919" s="13"/>
      <c r="Z919" s="13"/>
      <c r="AA919" s="22">
        <v>45870</v>
      </c>
      <c r="AB919" s="22" cm="1">
        <f t="array" ref="AB9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19" s="4"/>
      <c r="AD919" s="4"/>
      <c r="AE919" s="2"/>
      <c r="AF919" s="3"/>
      <c r="AG919" s="3"/>
      <c r="AH919" s="3"/>
      <c r="AI919" s="3"/>
      <c r="AJ919" s="2">
        <f t="shared" si="97"/>
        <v>0</v>
      </c>
      <c r="AK919" s="2">
        <f t="shared" si="100"/>
        <v>0</v>
      </c>
      <c r="AL919" s="2">
        <f t="shared" si="98"/>
        <v>0</v>
      </c>
      <c r="AM919" s="88"/>
      <c r="AN919" s="157" t="s">
        <v>774</v>
      </c>
    </row>
    <row r="920" spans="2:40" ht="23.15" customHeight="1" thickBot="1">
      <c r="B920" s="87">
        <v>45880</v>
      </c>
      <c r="C920" s="2" t="s">
        <v>295</v>
      </c>
      <c r="D920" s="15" t="s">
        <v>21</v>
      </c>
      <c r="E920" s="20" t="s">
        <v>26</v>
      </c>
      <c r="F920" s="20" t="s">
        <v>41</v>
      </c>
      <c r="G920" s="11">
        <v>4</v>
      </c>
      <c r="H920" s="11">
        <v>4</v>
      </c>
      <c r="I920" s="18">
        <v>0</v>
      </c>
      <c r="J920" s="18">
        <v>0</v>
      </c>
      <c r="K920" s="19">
        <v>23179.89</v>
      </c>
      <c r="L920" s="41">
        <v>0</v>
      </c>
      <c r="M920" s="41">
        <v>0</v>
      </c>
      <c r="N920" s="41">
        <v>0</v>
      </c>
      <c r="O920" s="41">
        <v>0</v>
      </c>
      <c r="P920" s="41">
        <v>0</v>
      </c>
      <c r="Q920" s="43">
        <v>0</v>
      </c>
      <c r="R920" s="43">
        <v>0</v>
      </c>
      <c r="S920" s="43">
        <v>0</v>
      </c>
      <c r="T920" s="43">
        <v>0</v>
      </c>
      <c r="U920" s="19" t="s">
        <v>295</v>
      </c>
      <c r="V920" s="13">
        <f t="shared" ref="V920:V983" si="101">IFERROR((K920+M920+R920+S920+T920+O920)+IF(U920="Sim",P920+Q920,0),(K920+R920+S920+T920)+IF(U920="Sim",P920+Q920,0))</f>
        <v>23179.89</v>
      </c>
      <c r="W920" s="13"/>
      <c r="X920" s="13"/>
      <c r="Y920" s="13"/>
      <c r="Z920" s="13"/>
      <c r="AA920" s="22">
        <v>45839</v>
      </c>
      <c r="AB920" s="22" cm="1">
        <f t="array" ref="AB9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20" s="4"/>
      <c r="AD920" s="4"/>
      <c r="AE920" s="2"/>
      <c r="AF920" s="3"/>
      <c r="AG920" s="3"/>
      <c r="AH920" s="3"/>
      <c r="AI920" s="3"/>
      <c r="AJ920" s="2">
        <f t="shared" si="97"/>
        <v>0</v>
      </c>
      <c r="AK920" s="2">
        <f t="shared" si="100"/>
        <v>0</v>
      </c>
      <c r="AL920" s="2">
        <f t="shared" si="98"/>
        <v>0</v>
      </c>
      <c r="AM920" s="88"/>
      <c r="AN920" s="157" t="s">
        <v>774</v>
      </c>
    </row>
    <row r="921" spans="2:40" ht="23.15" customHeight="1" thickBot="1">
      <c r="B921" s="87">
        <v>45936</v>
      </c>
      <c r="C921" s="2" t="s">
        <v>295</v>
      </c>
      <c r="D921" s="15" t="s">
        <v>21</v>
      </c>
      <c r="E921" s="20" t="s">
        <v>28</v>
      </c>
      <c r="F921" s="20" t="s">
        <v>95</v>
      </c>
      <c r="G921" s="11">
        <v>19</v>
      </c>
      <c r="H921" s="11">
        <v>19</v>
      </c>
      <c r="I921" s="18">
        <v>0</v>
      </c>
      <c r="J921" s="18">
        <v>0</v>
      </c>
      <c r="K921" s="19">
        <v>158469.45000000001</v>
      </c>
      <c r="L921" s="41">
        <v>0</v>
      </c>
      <c r="M921" s="41">
        <v>0</v>
      </c>
      <c r="N921" s="41">
        <v>0</v>
      </c>
      <c r="O921" s="41">
        <v>0</v>
      </c>
      <c r="P921" s="41">
        <v>0</v>
      </c>
      <c r="Q921" s="43">
        <v>0</v>
      </c>
      <c r="R921" s="43">
        <v>0</v>
      </c>
      <c r="S921" s="43">
        <v>0</v>
      </c>
      <c r="T921" s="43">
        <v>0</v>
      </c>
      <c r="U921" s="19" t="s">
        <v>295</v>
      </c>
      <c r="V921" s="13">
        <f t="shared" si="101"/>
        <v>158469.45000000001</v>
      </c>
      <c r="W921" s="13"/>
      <c r="X921" s="13"/>
      <c r="Y921" s="13"/>
      <c r="Z921" s="13"/>
      <c r="AA921" s="22">
        <v>45901</v>
      </c>
      <c r="AB921" s="22" cm="1">
        <f t="array" ref="AB9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21" s="4"/>
      <c r="AD921" s="4"/>
      <c r="AE921" s="2"/>
      <c r="AF921" s="3"/>
      <c r="AG921" s="3"/>
      <c r="AH921" s="3"/>
      <c r="AI921" s="3"/>
      <c r="AJ921" s="2">
        <f t="shared" si="97"/>
        <v>0</v>
      </c>
      <c r="AK921" s="2">
        <f t="shared" si="100"/>
        <v>0</v>
      </c>
      <c r="AL921" s="2">
        <f t="shared" si="98"/>
        <v>0</v>
      </c>
      <c r="AM921" s="88"/>
      <c r="AN921" s="157" t="s">
        <v>774</v>
      </c>
    </row>
    <row r="922" spans="2:40" ht="23.15" customHeight="1" thickBot="1">
      <c r="B922" s="87">
        <v>45726</v>
      </c>
      <c r="C922" s="2" t="s">
        <v>295</v>
      </c>
      <c r="D922" s="15" t="s">
        <v>21</v>
      </c>
      <c r="E922" s="20" t="s">
        <v>31</v>
      </c>
      <c r="F922" s="20" t="s">
        <v>40</v>
      </c>
      <c r="G922" s="11">
        <v>23</v>
      </c>
      <c r="H922" s="11">
        <v>23</v>
      </c>
      <c r="I922" s="18">
        <v>0</v>
      </c>
      <c r="J922" s="18">
        <v>0</v>
      </c>
      <c r="K922" s="19">
        <v>98428.61</v>
      </c>
      <c r="L922" s="41">
        <v>0</v>
      </c>
      <c r="M922" s="41">
        <v>0</v>
      </c>
      <c r="N922" s="41">
        <v>0</v>
      </c>
      <c r="O922" s="41">
        <v>0</v>
      </c>
      <c r="P922" s="41">
        <v>0</v>
      </c>
      <c r="Q922" s="43">
        <v>0</v>
      </c>
      <c r="R922" s="43">
        <v>0</v>
      </c>
      <c r="S922" s="43">
        <v>0</v>
      </c>
      <c r="T922" s="43">
        <v>0</v>
      </c>
      <c r="U922" s="19" t="s">
        <v>295</v>
      </c>
      <c r="V922" s="13">
        <f t="shared" si="101"/>
        <v>98428.61</v>
      </c>
      <c r="W922" s="13"/>
      <c r="X922" s="13"/>
      <c r="Y922" s="13"/>
      <c r="Z922" s="13"/>
      <c r="AA922" s="22">
        <v>45658</v>
      </c>
      <c r="AB922" s="22" cm="1">
        <f t="array" ref="AB9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22" s="4">
        <v>19052.77</v>
      </c>
      <c r="AD922" s="4">
        <v>19052.77</v>
      </c>
      <c r="AE922" s="2"/>
      <c r="AF922" s="3"/>
      <c r="AG922" s="3"/>
      <c r="AH922" s="3"/>
      <c r="AI922" s="3"/>
      <c r="AJ922" s="2">
        <f t="shared" ref="AJ922:AJ985" si="102">IFERROR(L922-M922,0)</f>
        <v>0</v>
      </c>
      <c r="AK922" s="2">
        <f t="shared" si="100"/>
        <v>0</v>
      </c>
      <c r="AL922" s="2">
        <f t="shared" si="98"/>
        <v>0</v>
      </c>
      <c r="AM922" s="88"/>
      <c r="AN922" s="157" t="s">
        <v>774</v>
      </c>
    </row>
    <row r="923" spans="2:40" ht="23.15" customHeight="1" thickBot="1">
      <c r="B923" s="87">
        <v>45726</v>
      </c>
      <c r="C923" s="2" t="s">
        <v>295</v>
      </c>
      <c r="D923" s="15" t="s">
        <v>21</v>
      </c>
      <c r="E923" s="20" t="s">
        <v>31</v>
      </c>
      <c r="F923" s="20" t="s">
        <v>40</v>
      </c>
      <c r="G923" s="11">
        <v>23</v>
      </c>
      <c r="H923" s="11">
        <v>24</v>
      </c>
      <c r="I923" s="18">
        <v>0</v>
      </c>
      <c r="J923" s="18">
        <v>0</v>
      </c>
      <c r="K923" s="19">
        <v>102779.25</v>
      </c>
      <c r="L923" s="41">
        <v>0</v>
      </c>
      <c r="M923" s="41">
        <v>0</v>
      </c>
      <c r="N923" s="41">
        <v>0</v>
      </c>
      <c r="O923" s="41">
        <v>0</v>
      </c>
      <c r="P923" s="41">
        <v>0</v>
      </c>
      <c r="Q923" s="43">
        <v>0</v>
      </c>
      <c r="R923" s="43">
        <v>0</v>
      </c>
      <c r="S923" s="43">
        <v>0</v>
      </c>
      <c r="T923" s="43">
        <v>0</v>
      </c>
      <c r="U923" s="19" t="s">
        <v>295</v>
      </c>
      <c r="V923" s="13">
        <f t="shared" si="101"/>
        <v>102779.25</v>
      </c>
      <c r="W923" s="13"/>
      <c r="X923" s="13"/>
      <c r="Y923" s="13"/>
      <c r="Z923" s="13"/>
      <c r="AA923" s="22">
        <v>45689</v>
      </c>
      <c r="AB923" s="22" cm="1">
        <f t="array" ref="AB9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23" s="4">
        <v>4844.29</v>
      </c>
      <c r="AD923" s="4">
        <v>1912.72</v>
      </c>
      <c r="AE923" s="2"/>
      <c r="AF923" s="3"/>
      <c r="AG923" s="3"/>
      <c r="AH923" s="3"/>
      <c r="AI923" s="3"/>
      <c r="AJ923" s="2">
        <f t="shared" si="102"/>
        <v>0</v>
      </c>
      <c r="AK923" s="2">
        <f t="shared" si="100"/>
        <v>2931.5699999999997</v>
      </c>
      <c r="AL923" s="2">
        <f t="shared" si="98"/>
        <v>0</v>
      </c>
      <c r="AM923" s="88"/>
      <c r="AN923" s="157" t="s">
        <v>774</v>
      </c>
    </row>
    <row r="924" spans="2:40" ht="23.15" customHeight="1" thickBot="1">
      <c r="B924" s="87">
        <v>45726</v>
      </c>
      <c r="C924" s="2" t="s">
        <v>295</v>
      </c>
      <c r="D924" s="15" t="s">
        <v>21</v>
      </c>
      <c r="E924" s="20" t="s">
        <v>32</v>
      </c>
      <c r="F924" s="20" t="s">
        <v>40</v>
      </c>
      <c r="G924" s="11">
        <v>15</v>
      </c>
      <c r="H924" s="11">
        <v>15</v>
      </c>
      <c r="I924" s="18">
        <v>0</v>
      </c>
      <c r="J924" s="18">
        <v>0</v>
      </c>
      <c r="K924" s="19">
        <v>106331.58</v>
      </c>
      <c r="L924" s="41">
        <v>0</v>
      </c>
      <c r="M924" s="41">
        <v>0</v>
      </c>
      <c r="N924" s="41">
        <v>0</v>
      </c>
      <c r="O924" s="41">
        <v>0</v>
      </c>
      <c r="P924" s="41">
        <v>0</v>
      </c>
      <c r="Q924" s="43">
        <v>0</v>
      </c>
      <c r="R924" s="43">
        <v>0</v>
      </c>
      <c r="S924" s="43">
        <v>0</v>
      </c>
      <c r="T924" s="43">
        <v>0</v>
      </c>
      <c r="U924" s="19" t="s">
        <v>295</v>
      </c>
      <c r="V924" s="13">
        <f t="shared" si="101"/>
        <v>106331.58</v>
      </c>
      <c r="W924" s="13"/>
      <c r="X924" s="13"/>
      <c r="Y924" s="13"/>
      <c r="Z924" s="13"/>
      <c r="AA924" s="22">
        <v>45658</v>
      </c>
      <c r="AB924" s="22" cm="1">
        <f t="array" ref="AB9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24" s="4">
        <v>6792.8</v>
      </c>
      <c r="AD924" s="4">
        <v>6792.8</v>
      </c>
      <c r="AE924" s="2"/>
      <c r="AF924" s="3"/>
      <c r="AG924" s="3"/>
      <c r="AH924" s="3"/>
      <c r="AI924" s="3"/>
      <c r="AJ924" s="2">
        <f t="shared" si="102"/>
        <v>0</v>
      </c>
      <c r="AK924" s="2">
        <f t="shared" si="100"/>
        <v>0</v>
      </c>
      <c r="AL924" s="2">
        <f t="shared" si="98"/>
        <v>0</v>
      </c>
      <c r="AM924" s="88"/>
      <c r="AN924" s="157" t="s">
        <v>774</v>
      </c>
    </row>
    <row r="925" spans="2:40" ht="23.15" customHeight="1" thickBot="1">
      <c r="B925" s="87">
        <v>45756</v>
      </c>
      <c r="C925" s="2" t="s">
        <v>295</v>
      </c>
      <c r="D925" s="15" t="s">
        <v>21</v>
      </c>
      <c r="E925" s="20" t="s">
        <v>31</v>
      </c>
      <c r="F925" s="20" t="s">
        <v>40</v>
      </c>
      <c r="G925" s="11">
        <v>23</v>
      </c>
      <c r="H925" s="11">
        <v>24</v>
      </c>
      <c r="I925" s="18">
        <v>0</v>
      </c>
      <c r="J925" s="18">
        <v>0</v>
      </c>
      <c r="K925" s="19">
        <v>112345.65</v>
      </c>
      <c r="L925" s="41">
        <v>0</v>
      </c>
      <c r="M925" s="41">
        <v>0</v>
      </c>
      <c r="N925" s="41">
        <v>0</v>
      </c>
      <c r="O925" s="41">
        <v>0</v>
      </c>
      <c r="P925" s="41">
        <v>0</v>
      </c>
      <c r="Q925" s="41">
        <v>0</v>
      </c>
      <c r="R925" s="41">
        <v>0</v>
      </c>
      <c r="S925" s="41">
        <v>0</v>
      </c>
      <c r="T925" s="13">
        <v>0</v>
      </c>
      <c r="U925" s="19"/>
      <c r="V925" s="13">
        <f t="shared" si="101"/>
        <v>112345.65</v>
      </c>
      <c r="W925" s="13"/>
      <c r="X925" s="13"/>
      <c r="Y925" s="47"/>
      <c r="Z925" s="45"/>
      <c r="AA925" s="22">
        <v>45717</v>
      </c>
      <c r="AB925" s="22" cm="1">
        <f t="array" ref="AB9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25" s="4">
        <v>8622.1200000000008</v>
      </c>
      <c r="AD925" s="4">
        <v>4681.6000000000004</v>
      </c>
      <c r="AE925" s="2"/>
      <c r="AF925" s="3"/>
      <c r="AG925" s="3"/>
      <c r="AH925" s="3"/>
      <c r="AI925" s="3"/>
      <c r="AJ925" s="2">
        <f t="shared" si="102"/>
        <v>0</v>
      </c>
      <c r="AK925" s="2">
        <f t="shared" si="100"/>
        <v>3940.5200000000004</v>
      </c>
      <c r="AL925" s="2">
        <f t="shared" si="98"/>
        <v>0</v>
      </c>
      <c r="AM925" s="88"/>
      <c r="AN925" s="157" t="s">
        <v>774</v>
      </c>
    </row>
    <row r="926" spans="2:40" ht="23.15" customHeight="1" thickBot="1">
      <c r="B926" s="87">
        <v>45792</v>
      </c>
      <c r="C926" s="2" t="s">
        <v>295</v>
      </c>
      <c r="D926" s="15" t="s">
        <v>21</v>
      </c>
      <c r="E926" s="20" t="s">
        <v>31</v>
      </c>
      <c r="F926" s="20" t="s">
        <v>40</v>
      </c>
      <c r="G926" s="11">
        <v>23</v>
      </c>
      <c r="H926" s="11">
        <v>24</v>
      </c>
      <c r="I926" s="18">
        <v>0</v>
      </c>
      <c r="J926" s="18">
        <v>0</v>
      </c>
      <c r="K926" s="19">
        <v>112345.65</v>
      </c>
      <c r="L926" s="41">
        <v>0</v>
      </c>
      <c r="M926" s="41">
        <v>0</v>
      </c>
      <c r="N926" s="41">
        <v>0</v>
      </c>
      <c r="O926" s="41">
        <v>0</v>
      </c>
      <c r="P926" s="41">
        <v>0</v>
      </c>
      <c r="Q926" s="43">
        <v>0</v>
      </c>
      <c r="R926" s="43">
        <v>0</v>
      </c>
      <c r="S926" s="43">
        <v>0</v>
      </c>
      <c r="T926" s="43">
        <v>0</v>
      </c>
      <c r="U926" s="19" t="s">
        <v>295</v>
      </c>
      <c r="V926" s="13">
        <f t="shared" si="101"/>
        <v>112345.65</v>
      </c>
      <c r="W926" s="13"/>
      <c r="X926" s="13"/>
      <c r="Y926" s="47">
        <v>18620.97</v>
      </c>
      <c r="Z926" s="45" t="s">
        <v>302</v>
      </c>
      <c r="AA926" s="22">
        <v>45748</v>
      </c>
      <c r="AB926" s="22" cm="1">
        <f t="array" ref="AB9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26" s="4">
        <v>2854.25</v>
      </c>
      <c r="AD926" s="4">
        <v>679.62652241862361</v>
      </c>
      <c r="AE926" s="2"/>
      <c r="AF926" s="3"/>
      <c r="AG926" s="3"/>
      <c r="AH926" s="3"/>
      <c r="AI926" s="3"/>
      <c r="AJ926" s="2">
        <f t="shared" si="102"/>
        <v>0</v>
      </c>
      <c r="AK926" s="2">
        <f t="shared" si="100"/>
        <v>2174.6234775813764</v>
      </c>
      <c r="AL926" s="2">
        <f t="shared" si="98"/>
        <v>0</v>
      </c>
      <c r="AM926" s="88"/>
      <c r="AN926" s="157" t="s">
        <v>774</v>
      </c>
    </row>
    <row r="927" spans="2:40" ht="23.15" customHeight="1" thickBot="1">
      <c r="B927" s="87">
        <v>45786</v>
      </c>
      <c r="C927" s="2" t="s">
        <v>295</v>
      </c>
      <c r="D927" s="15" t="s">
        <v>21</v>
      </c>
      <c r="E927" s="20" t="s">
        <v>31</v>
      </c>
      <c r="F927" s="20" t="s">
        <v>40</v>
      </c>
      <c r="G927" s="11">
        <v>23</v>
      </c>
      <c r="H927" s="11">
        <v>24</v>
      </c>
      <c r="I927" s="18">
        <v>0</v>
      </c>
      <c r="J927" s="18">
        <v>0</v>
      </c>
      <c r="K927" s="19">
        <v>112345.65</v>
      </c>
      <c r="L927" s="41">
        <v>0</v>
      </c>
      <c r="M927" s="41">
        <v>0</v>
      </c>
      <c r="N927" s="41">
        <v>0</v>
      </c>
      <c r="O927" s="41">
        <v>0</v>
      </c>
      <c r="P927" s="41">
        <v>0</v>
      </c>
      <c r="Q927" s="43">
        <v>0</v>
      </c>
      <c r="R927" s="43">
        <v>0</v>
      </c>
      <c r="S927" s="43">
        <v>0</v>
      </c>
      <c r="T927" s="43">
        <v>0</v>
      </c>
      <c r="U927" s="19" t="s">
        <v>295</v>
      </c>
      <c r="V927" s="13">
        <f t="shared" si="101"/>
        <v>112345.65</v>
      </c>
      <c r="W927" s="13"/>
      <c r="X927" s="13"/>
      <c r="Y927" s="13"/>
      <c r="Z927" s="13"/>
      <c r="AA927" s="22">
        <v>45778</v>
      </c>
      <c r="AB927" s="22" cm="1">
        <f t="array" ref="AB9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27" s="4">
        <v>3581.63</v>
      </c>
      <c r="AD927" s="4">
        <v>1624.7109490849671</v>
      </c>
      <c r="AE927" s="2"/>
      <c r="AF927" s="3"/>
      <c r="AG927" s="3"/>
      <c r="AH927" s="3"/>
      <c r="AI927" s="3"/>
      <c r="AJ927" s="2">
        <f t="shared" si="102"/>
        <v>0</v>
      </c>
      <c r="AK927" s="2">
        <f t="shared" si="100"/>
        <v>1956.919050915033</v>
      </c>
      <c r="AL927" s="2">
        <f t="shared" si="98"/>
        <v>0</v>
      </c>
      <c r="AM927" s="88"/>
      <c r="AN927" s="157" t="s">
        <v>774</v>
      </c>
    </row>
    <row r="928" spans="2:40" ht="23.15" customHeight="1" thickBot="1">
      <c r="B928" s="87">
        <v>45847</v>
      </c>
      <c r="C928" s="2" t="s">
        <v>295</v>
      </c>
      <c r="D928" s="15" t="s">
        <v>21</v>
      </c>
      <c r="E928" s="20" t="s">
        <v>31</v>
      </c>
      <c r="F928" s="20" t="s">
        <v>40</v>
      </c>
      <c r="G928" s="11">
        <v>23</v>
      </c>
      <c r="H928" s="11">
        <v>24</v>
      </c>
      <c r="I928" s="18">
        <v>0</v>
      </c>
      <c r="J928" s="18">
        <v>0</v>
      </c>
      <c r="K928" s="19">
        <v>112345.65</v>
      </c>
      <c r="L928" s="41">
        <v>0</v>
      </c>
      <c r="M928" s="41">
        <v>0</v>
      </c>
      <c r="N928" s="41">
        <v>0</v>
      </c>
      <c r="O928" s="41">
        <v>0</v>
      </c>
      <c r="P928" s="41">
        <v>0</v>
      </c>
      <c r="Q928" s="43">
        <v>0</v>
      </c>
      <c r="R928" s="43">
        <v>0</v>
      </c>
      <c r="S928" s="43">
        <v>0</v>
      </c>
      <c r="T928" s="43">
        <v>0</v>
      </c>
      <c r="U928" s="19" t="s">
        <v>295</v>
      </c>
      <c r="V928" s="13">
        <f t="shared" si="101"/>
        <v>112345.65</v>
      </c>
      <c r="W928" s="13"/>
      <c r="X928" s="13"/>
      <c r="Y928" s="13"/>
      <c r="Z928" s="13"/>
      <c r="AA928" s="22">
        <v>45809</v>
      </c>
      <c r="AB928" s="22" cm="1">
        <f t="array" ref="AB9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28" s="4">
        <v>4773.88</v>
      </c>
      <c r="AD928" s="4">
        <v>1812.7158234624649</v>
      </c>
      <c r="AE928" s="2"/>
      <c r="AF928" s="3"/>
      <c r="AG928" s="3"/>
      <c r="AH928" s="3"/>
      <c r="AI928" s="3"/>
      <c r="AJ928" s="2">
        <f t="shared" si="102"/>
        <v>0</v>
      </c>
      <c r="AK928" s="2">
        <f t="shared" si="100"/>
        <v>2961.1641765375352</v>
      </c>
      <c r="AL928" s="2">
        <f t="shared" si="98"/>
        <v>0</v>
      </c>
      <c r="AM928" s="88"/>
      <c r="AN928" s="157" t="s">
        <v>774</v>
      </c>
    </row>
    <row r="929" spans="2:40" ht="23.15" customHeight="1" thickBot="1">
      <c r="B929" s="87"/>
      <c r="C929" s="2" t="s">
        <v>292</v>
      </c>
      <c r="D929" s="15" t="s">
        <v>21</v>
      </c>
      <c r="E929" s="20" t="s">
        <v>28</v>
      </c>
      <c r="F929" s="20" t="s">
        <v>95</v>
      </c>
      <c r="G929" s="11">
        <v>19</v>
      </c>
      <c r="H929" s="11"/>
      <c r="I929" s="18" t="s">
        <v>294</v>
      </c>
      <c r="J929" s="18" t="s">
        <v>294</v>
      </c>
      <c r="K929" s="19">
        <v>158469.45000000001</v>
      </c>
      <c r="L929" s="41"/>
      <c r="M929" s="41" t="s">
        <v>294</v>
      </c>
      <c r="N929" s="41"/>
      <c r="O929" s="41" t="s">
        <v>294</v>
      </c>
      <c r="P929" s="41" t="s">
        <v>293</v>
      </c>
      <c r="Q929" s="43"/>
      <c r="R929" s="43"/>
      <c r="S929" s="43"/>
      <c r="T929" s="43"/>
      <c r="U929" s="19"/>
      <c r="V929" s="13">
        <f t="shared" si="101"/>
        <v>158469.45000000001</v>
      </c>
      <c r="W929" s="13"/>
      <c r="X929" s="13"/>
      <c r="Y929" s="13"/>
      <c r="Z929" s="13"/>
      <c r="AA929" s="22">
        <v>45931</v>
      </c>
      <c r="AB929" s="22" cm="1">
        <f t="array" ref="AB9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29" s="4"/>
      <c r="AD929" s="4"/>
      <c r="AE929" s="2"/>
      <c r="AF929" s="3"/>
      <c r="AG929" s="3"/>
      <c r="AH929" s="3"/>
      <c r="AI929" s="3"/>
      <c r="AJ929" s="2">
        <f t="shared" si="102"/>
        <v>0</v>
      </c>
      <c r="AK929" s="2">
        <f t="shared" si="100"/>
        <v>0</v>
      </c>
      <c r="AL929" s="2">
        <f t="shared" si="98"/>
        <v>0</v>
      </c>
      <c r="AM929" s="88"/>
      <c r="AN929" s="157" t="s">
        <v>774</v>
      </c>
    </row>
    <row r="930" spans="2:40" ht="23.15" customHeight="1" thickBot="1">
      <c r="B930" s="87">
        <v>45880</v>
      </c>
      <c r="C930" s="2" t="s">
        <v>295</v>
      </c>
      <c r="D930" s="15" t="s">
        <v>21</v>
      </c>
      <c r="E930" s="20" t="s">
        <v>31</v>
      </c>
      <c r="F930" s="20" t="s">
        <v>40</v>
      </c>
      <c r="G930" s="11">
        <v>23</v>
      </c>
      <c r="H930" s="11">
        <v>24</v>
      </c>
      <c r="I930" s="18">
        <v>0</v>
      </c>
      <c r="J930" s="18">
        <v>0</v>
      </c>
      <c r="K930" s="19">
        <v>112345.65</v>
      </c>
      <c r="L930" s="41">
        <v>0</v>
      </c>
      <c r="M930" s="41">
        <v>0</v>
      </c>
      <c r="N930" s="41">
        <v>0</v>
      </c>
      <c r="O930" s="41">
        <v>0</v>
      </c>
      <c r="P930" s="41">
        <v>0</v>
      </c>
      <c r="Q930" s="43">
        <v>0</v>
      </c>
      <c r="R930" s="43">
        <v>0</v>
      </c>
      <c r="S930" s="43">
        <v>0</v>
      </c>
      <c r="T930" s="43">
        <v>0</v>
      </c>
      <c r="U930" s="19" t="s">
        <v>295</v>
      </c>
      <c r="V930" s="13">
        <f t="shared" si="101"/>
        <v>112345.65</v>
      </c>
      <c r="W930" s="13"/>
      <c r="X930" s="13"/>
      <c r="Y930" s="13"/>
      <c r="Z930" s="13"/>
      <c r="AA930" s="22">
        <v>45839</v>
      </c>
      <c r="AB930" s="22" cm="1">
        <f t="array" ref="AB9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30" s="4"/>
      <c r="AD930" s="4"/>
      <c r="AE930" s="2"/>
      <c r="AF930" s="3"/>
      <c r="AG930" s="3"/>
      <c r="AH930" s="3"/>
      <c r="AI930" s="3"/>
      <c r="AJ930" s="2">
        <f t="shared" si="102"/>
        <v>0</v>
      </c>
      <c r="AK930" s="2">
        <f t="shared" si="100"/>
        <v>0</v>
      </c>
      <c r="AL930" s="2">
        <f t="shared" si="98"/>
        <v>0</v>
      </c>
      <c r="AM930" s="88"/>
      <c r="AN930" s="157" t="s">
        <v>774</v>
      </c>
    </row>
    <row r="931" spans="2:40" ht="23.15" customHeight="1" thickBot="1">
      <c r="B931" s="87">
        <v>45726</v>
      </c>
      <c r="C931" s="2" t="s">
        <v>295</v>
      </c>
      <c r="D931" s="15" t="s">
        <v>21</v>
      </c>
      <c r="E931" s="20" t="s">
        <v>32</v>
      </c>
      <c r="F931" s="20" t="s">
        <v>40</v>
      </c>
      <c r="G931" s="11">
        <v>15</v>
      </c>
      <c r="H931" s="11">
        <v>18</v>
      </c>
      <c r="I931" s="18">
        <v>0</v>
      </c>
      <c r="J931" s="18">
        <v>0</v>
      </c>
      <c r="K931" s="19">
        <v>126653.9</v>
      </c>
      <c r="L931" s="41">
        <v>0</v>
      </c>
      <c r="M931" s="41">
        <v>0</v>
      </c>
      <c r="N931" s="41">
        <v>0</v>
      </c>
      <c r="O931" s="41">
        <v>0</v>
      </c>
      <c r="P931" s="41">
        <v>0</v>
      </c>
      <c r="Q931" s="43">
        <v>0</v>
      </c>
      <c r="R931" s="43">
        <v>0</v>
      </c>
      <c r="S931" s="43">
        <v>0</v>
      </c>
      <c r="T931" s="43">
        <v>0</v>
      </c>
      <c r="U931" s="19" t="s">
        <v>295</v>
      </c>
      <c r="V931" s="13">
        <f t="shared" si="101"/>
        <v>126653.9</v>
      </c>
      <c r="W931" s="13"/>
      <c r="X931" s="13"/>
      <c r="Y931" s="13"/>
      <c r="Z931" s="13"/>
      <c r="AA931" s="22">
        <v>45689</v>
      </c>
      <c r="AB931" s="22" cm="1">
        <f t="array" ref="AB9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31" s="4">
        <v>14822.32</v>
      </c>
      <c r="AD931" s="4">
        <v>10064.48</v>
      </c>
      <c r="AE931" s="2"/>
      <c r="AF931" s="3"/>
      <c r="AG931" s="3"/>
      <c r="AH931" s="3"/>
      <c r="AI931" s="3"/>
      <c r="AJ931" s="2">
        <f t="shared" si="102"/>
        <v>0</v>
      </c>
      <c r="AK931" s="2">
        <f t="shared" si="100"/>
        <v>4757.84</v>
      </c>
      <c r="AL931" s="2">
        <f t="shared" si="98"/>
        <v>0</v>
      </c>
      <c r="AM931" s="88"/>
      <c r="AN931" s="157" t="s">
        <v>774</v>
      </c>
    </row>
    <row r="932" spans="2:40" ht="23.15" customHeight="1" thickBot="1">
      <c r="B932" s="87">
        <v>45756</v>
      </c>
      <c r="C932" s="2" t="s">
        <v>295</v>
      </c>
      <c r="D932" s="15" t="s">
        <v>21</v>
      </c>
      <c r="E932" s="20" t="s">
        <v>32</v>
      </c>
      <c r="F932" s="20" t="s">
        <v>40</v>
      </c>
      <c r="G932" s="11">
        <v>15</v>
      </c>
      <c r="H932" s="11">
        <v>18</v>
      </c>
      <c r="I932" s="18">
        <v>0</v>
      </c>
      <c r="J932" s="18">
        <v>0</v>
      </c>
      <c r="K932" s="19">
        <v>134113.76999999999</v>
      </c>
      <c r="L932" s="41">
        <v>0</v>
      </c>
      <c r="M932" s="41">
        <v>0</v>
      </c>
      <c r="N932" s="41">
        <v>0</v>
      </c>
      <c r="O932" s="41">
        <v>0</v>
      </c>
      <c r="P932" s="41">
        <v>0</v>
      </c>
      <c r="Q932" s="43">
        <v>0</v>
      </c>
      <c r="R932" s="43">
        <v>0</v>
      </c>
      <c r="S932" s="43">
        <v>0</v>
      </c>
      <c r="T932" s="43">
        <v>0</v>
      </c>
      <c r="U932" s="19"/>
      <c r="V932" s="13">
        <f t="shared" si="101"/>
        <v>134113.76999999999</v>
      </c>
      <c r="W932" s="13"/>
      <c r="X932" s="13"/>
      <c r="Y932" s="47"/>
      <c r="Z932" s="13"/>
      <c r="AA932" s="22">
        <v>45717</v>
      </c>
      <c r="AB932" s="22" cm="1">
        <f t="array" ref="AB9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32" s="4">
        <v>6066.1</v>
      </c>
      <c r="AD932" s="4">
        <v>5263.99</v>
      </c>
      <c r="AE932" s="2"/>
      <c r="AF932" s="3"/>
      <c r="AG932" s="3"/>
      <c r="AH932" s="3"/>
      <c r="AI932" s="3"/>
      <c r="AJ932" s="2">
        <f t="shared" si="102"/>
        <v>0</v>
      </c>
      <c r="AK932" s="2">
        <f t="shared" si="100"/>
        <v>802.11000000000058</v>
      </c>
      <c r="AL932" s="2">
        <f t="shared" si="98"/>
        <v>0</v>
      </c>
      <c r="AM932" s="88"/>
      <c r="AN932" s="157" t="s">
        <v>774</v>
      </c>
    </row>
    <row r="933" spans="2:40" ht="23.15" customHeight="1" thickBot="1">
      <c r="B933" s="87">
        <v>45792</v>
      </c>
      <c r="C933" s="2" t="s">
        <v>295</v>
      </c>
      <c r="D933" s="15" t="s">
        <v>21</v>
      </c>
      <c r="E933" s="20" t="s">
        <v>32</v>
      </c>
      <c r="F933" s="20" t="s">
        <v>40</v>
      </c>
      <c r="G933" s="11">
        <v>15</v>
      </c>
      <c r="H933" s="11">
        <v>18</v>
      </c>
      <c r="I933" s="18">
        <v>0</v>
      </c>
      <c r="J933" s="18">
        <v>0</v>
      </c>
      <c r="K933" s="19">
        <v>134113.76999999999</v>
      </c>
      <c r="L933" s="41">
        <v>0</v>
      </c>
      <c r="M933" s="41">
        <v>0</v>
      </c>
      <c r="N933" s="41">
        <v>0</v>
      </c>
      <c r="O933" s="41">
        <v>0</v>
      </c>
      <c r="P933" s="41">
        <v>0</v>
      </c>
      <c r="Q933" s="43">
        <v>0</v>
      </c>
      <c r="R933" s="43">
        <v>0</v>
      </c>
      <c r="S933" s="43">
        <v>0</v>
      </c>
      <c r="T933" s="43">
        <v>0</v>
      </c>
      <c r="U933" s="19" t="s">
        <v>295</v>
      </c>
      <c r="V933" s="13">
        <f t="shared" si="101"/>
        <v>134113.76999999999</v>
      </c>
      <c r="W933" s="13"/>
      <c r="X933" s="13"/>
      <c r="Y933" s="47">
        <v>13696.67</v>
      </c>
      <c r="Z933" s="13" t="s">
        <v>302</v>
      </c>
      <c r="AA933" s="22">
        <v>45748</v>
      </c>
      <c r="AB933" s="22" cm="1">
        <f t="array" ref="AB9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33" s="4"/>
      <c r="AD933" s="4"/>
      <c r="AE933" s="2"/>
      <c r="AF933" s="3"/>
      <c r="AG933" s="3"/>
      <c r="AH933" s="3"/>
      <c r="AI933" s="3"/>
      <c r="AJ933" s="2">
        <f t="shared" si="102"/>
        <v>0</v>
      </c>
      <c r="AK933" s="2">
        <f t="shared" si="100"/>
        <v>0</v>
      </c>
      <c r="AL933" s="2">
        <f t="shared" si="98"/>
        <v>0</v>
      </c>
      <c r="AM933" s="88"/>
      <c r="AN933" s="157" t="s">
        <v>774</v>
      </c>
    </row>
    <row r="934" spans="2:40" ht="23.15" customHeight="1" thickBot="1">
      <c r="B934" s="87">
        <v>45786</v>
      </c>
      <c r="C934" s="2" t="s">
        <v>295</v>
      </c>
      <c r="D934" s="15" t="s">
        <v>21</v>
      </c>
      <c r="E934" s="20" t="s">
        <v>32</v>
      </c>
      <c r="F934" s="20" t="s">
        <v>40</v>
      </c>
      <c r="G934" s="11">
        <v>15</v>
      </c>
      <c r="H934" s="11">
        <v>18</v>
      </c>
      <c r="I934" s="18">
        <v>0</v>
      </c>
      <c r="J934" s="18">
        <v>0</v>
      </c>
      <c r="K934" s="19">
        <v>134113.76999999999</v>
      </c>
      <c r="L934" s="41">
        <v>0</v>
      </c>
      <c r="M934" s="41">
        <v>0</v>
      </c>
      <c r="N934" s="41">
        <v>0</v>
      </c>
      <c r="O934" s="41">
        <v>0</v>
      </c>
      <c r="P934" s="41">
        <v>0</v>
      </c>
      <c r="Q934" s="43">
        <v>0</v>
      </c>
      <c r="R934" s="43">
        <v>0</v>
      </c>
      <c r="S934" s="43">
        <v>0</v>
      </c>
      <c r="T934" s="43">
        <v>0</v>
      </c>
      <c r="U934" s="19" t="s">
        <v>295</v>
      </c>
      <c r="V934" s="13">
        <f t="shared" si="101"/>
        <v>134113.76999999999</v>
      </c>
      <c r="W934" s="13"/>
      <c r="X934" s="13"/>
      <c r="Y934" s="13"/>
      <c r="Z934" s="13"/>
      <c r="AA934" s="22">
        <v>45778</v>
      </c>
      <c r="AB934" s="22" cm="1">
        <f t="array" ref="AB9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34" s="4">
        <v>2869.6446988516923</v>
      </c>
      <c r="AD934" s="4">
        <v>2869.6446988516923</v>
      </c>
      <c r="AE934" s="2"/>
      <c r="AF934" s="3"/>
      <c r="AG934" s="3"/>
      <c r="AH934" s="3"/>
      <c r="AI934" s="3"/>
      <c r="AJ934" s="2">
        <f t="shared" si="102"/>
        <v>0</v>
      </c>
      <c r="AK934" s="2">
        <f t="shared" si="100"/>
        <v>0</v>
      </c>
      <c r="AL934" s="2">
        <f t="shared" si="98"/>
        <v>0</v>
      </c>
      <c r="AM934" s="88"/>
      <c r="AN934" s="157" t="s">
        <v>774</v>
      </c>
    </row>
    <row r="935" spans="2:40" ht="23.15" customHeight="1" thickBot="1">
      <c r="B935" s="87">
        <v>45847</v>
      </c>
      <c r="C935" s="2" t="s">
        <v>295</v>
      </c>
      <c r="D935" s="15" t="s">
        <v>21</v>
      </c>
      <c r="E935" s="20" t="s">
        <v>32</v>
      </c>
      <c r="F935" s="20" t="s">
        <v>40</v>
      </c>
      <c r="G935" s="11">
        <v>15</v>
      </c>
      <c r="H935" s="11">
        <v>18</v>
      </c>
      <c r="I935" s="18">
        <v>0</v>
      </c>
      <c r="J935" s="18">
        <v>0</v>
      </c>
      <c r="K935" s="19">
        <v>134113.76999999999</v>
      </c>
      <c r="L935" s="41">
        <v>0</v>
      </c>
      <c r="M935" s="41">
        <v>0</v>
      </c>
      <c r="N935" s="41">
        <v>0</v>
      </c>
      <c r="O935" s="41">
        <v>0</v>
      </c>
      <c r="P935" s="41">
        <v>0</v>
      </c>
      <c r="Q935" s="43">
        <v>0</v>
      </c>
      <c r="R935" s="43">
        <v>0</v>
      </c>
      <c r="S935" s="43">
        <v>0</v>
      </c>
      <c r="T935" s="43">
        <v>0</v>
      </c>
      <c r="U935" s="19" t="s">
        <v>295</v>
      </c>
      <c r="V935" s="13">
        <f t="shared" si="101"/>
        <v>134113.76999999999</v>
      </c>
      <c r="W935" s="13"/>
      <c r="X935" s="13"/>
      <c r="Y935" s="13"/>
      <c r="Z935" s="13"/>
      <c r="AA935" s="22">
        <v>45809</v>
      </c>
      <c r="AB935" s="22" cm="1">
        <f t="array" ref="AB9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35" s="4"/>
      <c r="AD935" s="4"/>
      <c r="AE935" s="2"/>
      <c r="AF935" s="3"/>
      <c r="AG935" s="3"/>
      <c r="AH935" s="3"/>
      <c r="AI935" s="3"/>
      <c r="AJ935" s="2">
        <f t="shared" si="102"/>
        <v>0</v>
      </c>
      <c r="AK935" s="2">
        <f t="shared" si="100"/>
        <v>0</v>
      </c>
      <c r="AL935" s="2">
        <f t="shared" si="98"/>
        <v>0</v>
      </c>
      <c r="AM935" s="88"/>
      <c r="AN935" s="157" t="s">
        <v>774</v>
      </c>
    </row>
    <row r="936" spans="2:40" ht="23.15" customHeight="1" thickBot="1">
      <c r="B936" s="87">
        <v>45909</v>
      </c>
      <c r="C936" s="2" t="s">
        <v>295</v>
      </c>
      <c r="D936" s="15" t="s">
        <v>21</v>
      </c>
      <c r="E936" s="20" t="s">
        <v>30</v>
      </c>
      <c r="F936" s="20" t="s">
        <v>40</v>
      </c>
      <c r="G936" s="11">
        <v>54</v>
      </c>
      <c r="H936" s="11">
        <v>64</v>
      </c>
      <c r="I936" s="18">
        <v>0</v>
      </c>
      <c r="J936" s="18">
        <v>0</v>
      </c>
      <c r="K936" s="19">
        <v>382212.88</v>
      </c>
      <c r="L936" s="41">
        <v>0</v>
      </c>
      <c r="M936" s="41">
        <v>0</v>
      </c>
      <c r="N936" s="41">
        <v>0</v>
      </c>
      <c r="O936" s="41">
        <v>0</v>
      </c>
      <c r="P936" s="41">
        <v>-991.37</v>
      </c>
      <c r="Q936" s="43">
        <v>0</v>
      </c>
      <c r="R936" s="43">
        <v>0</v>
      </c>
      <c r="S936" s="43">
        <v>0</v>
      </c>
      <c r="T936" s="43">
        <v>0</v>
      </c>
      <c r="U936" s="19" t="s">
        <v>295</v>
      </c>
      <c r="V936" s="13">
        <f t="shared" si="101"/>
        <v>381221.51</v>
      </c>
      <c r="W936" s="13"/>
      <c r="X936" s="13"/>
      <c r="Y936" s="13"/>
      <c r="Z936" s="13"/>
      <c r="AA936" s="22">
        <v>45870</v>
      </c>
      <c r="AB936" s="22" cm="1">
        <f t="array" ref="AB9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36" s="4">
        <v>27307.54</v>
      </c>
      <c r="AD936" s="4">
        <v>30296.076664368386</v>
      </c>
      <c r="AE936" s="2"/>
      <c r="AF936" s="3"/>
      <c r="AG936" s="3"/>
      <c r="AH936" s="3"/>
      <c r="AI936" s="3"/>
      <c r="AJ936" s="2">
        <f t="shared" si="102"/>
        <v>0</v>
      </c>
      <c r="AK936" s="2">
        <f t="shared" si="100"/>
        <v>-2988.5366643683847</v>
      </c>
      <c r="AL936" s="2">
        <f t="shared" ref="AL936:AL985" si="103">K936-V936</f>
        <v>991.36999999999534</v>
      </c>
      <c r="AM936" s="88"/>
      <c r="AN936" s="157" t="s">
        <v>774</v>
      </c>
    </row>
    <row r="937" spans="2:40" ht="23.15" customHeight="1" thickBot="1">
      <c r="B937" s="87">
        <v>45880</v>
      </c>
      <c r="C937" s="2" t="s">
        <v>295</v>
      </c>
      <c r="D937" s="15" t="s">
        <v>21</v>
      </c>
      <c r="E937" s="20" t="s">
        <v>32</v>
      </c>
      <c r="F937" s="20" t="s">
        <v>40</v>
      </c>
      <c r="G937" s="11">
        <v>15</v>
      </c>
      <c r="H937" s="11">
        <v>18</v>
      </c>
      <c r="I937" s="18">
        <v>0</v>
      </c>
      <c r="J937" s="18">
        <v>0</v>
      </c>
      <c r="K937" s="19">
        <v>134113.76999999999</v>
      </c>
      <c r="L937" s="41">
        <v>0</v>
      </c>
      <c r="M937" s="41">
        <v>0</v>
      </c>
      <c r="N937" s="41">
        <v>0</v>
      </c>
      <c r="O937" s="41">
        <v>0</v>
      </c>
      <c r="P937" s="41">
        <v>0</v>
      </c>
      <c r="Q937" s="41">
        <v>0</v>
      </c>
      <c r="R937" s="41">
        <v>0</v>
      </c>
      <c r="S937" s="41">
        <v>0</v>
      </c>
      <c r="T937" s="41">
        <v>0</v>
      </c>
      <c r="U937" s="19" t="s">
        <v>295</v>
      </c>
      <c r="V937" s="13">
        <f t="shared" si="101"/>
        <v>134113.76999999999</v>
      </c>
      <c r="W937" s="13"/>
      <c r="X937" s="13"/>
      <c r="Y937" s="13"/>
      <c r="Z937" s="13"/>
      <c r="AA937" s="22">
        <v>45839</v>
      </c>
      <c r="AB937" s="22" cm="1">
        <f t="array" ref="AB9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37" s="4">
        <v>3995.11</v>
      </c>
      <c r="AD937" s="4">
        <v>2766.9711332405373</v>
      </c>
      <c r="AE937" s="2"/>
      <c r="AF937" s="3"/>
      <c r="AG937" s="3"/>
      <c r="AH937" s="3"/>
      <c r="AI937" s="3"/>
      <c r="AJ937" s="2">
        <f t="shared" si="102"/>
        <v>0</v>
      </c>
      <c r="AK937" s="2">
        <f t="shared" si="100"/>
        <v>1228.1388667594629</v>
      </c>
      <c r="AL937" s="2">
        <f t="shared" si="103"/>
        <v>0</v>
      </c>
      <c r="AM937" s="88"/>
      <c r="AN937" s="157" t="s">
        <v>774</v>
      </c>
    </row>
    <row r="938" spans="2:40" ht="23.15" customHeight="1" thickBot="1">
      <c r="B938" s="87">
        <v>45726</v>
      </c>
      <c r="C938" s="2" t="s">
        <v>295</v>
      </c>
      <c r="D938" s="15" t="s">
        <v>21</v>
      </c>
      <c r="E938" s="20" t="s">
        <v>25</v>
      </c>
      <c r="F938" s="20" t="s">
        <v>41</v>
      </c>
      <c r="G938" s="11">
        <v>29</v>
      </c>
      <c r="H938" s="11">
        <v>17</v>
      </c>
      <c r="I938" s="18">
        <v>0</v>
      </c>
      <c r="J938" s="18">
        <v>0</v>
      </c>
      <c r="K938" s="19">
        <v>136824.12</v>
      </c>
      <c r="L938" s="41">
        <v>0</v>
      </c>
      <c r="M938" s="41">
        <v>0</v>
      </c>
      <c r="N938" s="41">
        <v>0</v>
      </c>
      <c r="O938" s="41">
        <v>0</v>
      </c>
      <c r="P938" s="41">
        <v>0</v>
      </c>
      <c r="Q938" s="43">
        <v>0</v>
      </c>
      <c r="R938" s="43">
        <v>0</v>
      </c>
      <c r="S938" s="43">
        <v>0</v>
      </c>
      <c r="T938" s="43">
        <v>0</v>
      </c>
      <c r="U938" s="19" t="s">
        <v>295</v>
      </c>
      <c r="V938" s="13">
        <f t="shared" si="101"/>
        <v>136824.12</v>
      </c>
      <c r="W938" s="13"/>
      <c r="X938" s="13"/>
      <c r="Y938" s="13"/>
      <c r="Z938" s="13"/>
      <c r="AA938" s="22">
        <v>45658</v>
      </c>
      <c r="AB938" s="22" cm="1">
        <f t="array" ref="AB9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38" s="4"/>
      <c r="AD938" s="4"/>
      <c r="AE938" s="2"/>
      <c r="AF938" s="3"/>
      <c r="AG938" s="3"/>
      <c r="AH938" s="3"/>
      <c r="AI938" s="3"/>
      <c r="AJ938" s="2">
        <f t="shared" si="102"/>
        <v>0</v>
      </c>
      <c r="AK938" s="2">
        <f t="shared" si="100"/>
        <v>0</v>
      </c>
      <c r="AL938" s="2">
        <f t="shared" si="103"/>
        <v>0</v>
      </c>
      <c r="AM938" s="88"/>
      <c r="AN938" s="157" t="s">
        <v>774</v>
      </c>
    </row>
    <row r="939" spans="2:40" ht="23.15" customHeight="1" thickBot="1">
      <c r="B939" s="87">
        <v>45726</v>
      </c>
      <c r="C939" s="2" t="s">
        <v>295</v>
      </c>
      <c r="D939" s="15" t="s">
        <v>21</v>
      </c>
      <c r="E939" s="20" t="s">
        <v>25</v>
      </c>
      <c r="F939" s="20" t="s">
        <v>41</v>
      </c>
      <c r="G939" s="11">
        <v>29</v>
      </c>
      <c r="H939" s="11">
        <v>17</v>
      </c>
      <c r="I939" s="18">
        <v>0</v>
      </c>
      <c r="J939" s="18">
        <v>0</v>
      </c>
      <c r="K939" s="19">
        <v>136824.12</v>
      </c>
      <c r="L939" s="41">
        <v>0</v>
      </c>
      <c r="M939" s="41">
        <v>0</v>
      </c>
      <c r="N939" s="41">
        <v>0</v>
      </c>
      <c r="O939" s="41">
        <v>0</v>
      </c>
      <c r="P939" s="41">
        <v>0</v>
      </c>
      <c r="Q939" s="43">
        <v>0</v>
      </c>
      <c r="R939" s="43">
        <v>0</v>
      </c>
      <c r="S939" s="43">
        <v>0</v>
      </c>
      <c r="T939" s="43">
        <v>0</v>
      </c>
      <c r="U939" s="19" t="s">
        <v>295</v>
      </c>
      <c r="V939" s="13">
        <f t="shared" si="101"/>
        <v>136824.12</v>
      </c>
      <c r="W939" s="13"/>
      <c r="X939" s="13"/>
      <c r="Y939" s="13"/>
      <c r="Z939" s="13"/>
      <c r="AA939" s="22">
        <v>45689</v>
      </c>
      <c r="AB939" s="22" cm="1">
        <f t="array" ref="AB9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39" s="4"/>
      <c r="AD939" s="4"/>
      <c r="AE939" s="2"/>
      <c r="AF939" s="3"/>
      <c r="AG939" s="3"/>
      <c r="AH939" s="3"/>
      <c r="AI939" s="3"/>
      <c r="AJ939" s="2">
        <f t="shared" si="102"/>
        <v>0</v>
      </c>
      <c r="AK939" s="2">
        <f t="shared" si="100"/>
        <v>0</v>
      </c>
      <c r="AL939" s="2">
        <f t="shared" si="103"/>
        <v>0</v>
      </c>
      <c r="AM939" s="88"/>
      <c r="AN939" s="157" t="s">
        <v>774</v>
      </c>
    </row>
    <row r="940" spans="2:40" ht="23.15" customHeight="1" thickBot="1">
      <c r="B940" s="87">
        <v>45700</v>
      </c>
      <c r="C940" s="2" t="s">
        <v>295</v>
      </c>
      <c r="D940" s="15" t="s">
        <v>21</v>
      </c>
      <c r="E940" s="20" t="s">
        <v>28</v>
      </c>
      <c r="F940" s="20" t="s">
        <v>95</v>
      </c>
      <c r="G940" s="11">
        <v>19</v>
      </c>
      <c r="H940" s="11">
        <v>19</v>
      </c>
      <c r="I940" s="18">
        <v>0</v>
      </c>
      <c r="J940" s="18">
        <v>0</v>
      </c>
      <c r="K940" s="19">
        <v>149682.04</v>
      </c>
      <c r="L940" s="41">
        <v>0</v>
      </c>
      <c r="M940" s="41">
        <v>0</v>
      </c>
      <c r="N940" s="41">
        <v>0</v>
      </c>
      <c r="O940" s="41">
        <v>0</v>
      </c>
      <c r="P940" s="41">
        <v>0</v>
      </c>
      <c r="Q940" s="43">
        <v>0</v>
      </c>
      <c r="R940" s="43">
        <v>0</v>
      </c>
      <c r="S940" s="43">
        <v>0</v>
      </c>
      <c r="T940" s="43">
        <v>0</v>
      </c>
      <c r="U940" s="19" t="s">
        <v>295</v>
      </c>
      <c r="V940" s="13">
        <f t="shared" si="101"/>
        <v>149682.04</v>
      </c>
      <c r="W940" s="13"/>
      <c r="X940" s="13"/>
      <c r="Y940" s="13"/>
      <c r="Z940" s="13"/>
      <c r="AA940" s="22">
        <v>45658</v>
      </c>
      <c r="AB940" s="22" cm="1">
        <f t="array" ref="AB9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40" s="4"/>
      <c r="AD940" s="4"/>
      <c r="AE940" s="2"/>
      <c r="AF940" s="3"/>
      <c r="AG940" s="3"/>
      <c r="AH940" s="3"/>
      <c r="AI940" s="3"/>
      <c r="AJ940" s="2">
        <f t="shared" si="102"/>
        <v>0</v>
      </c>
      <c r="AK940" s="2">
        <f t="shared" si="100"/>
        <v>0</v>
      </c>
      <c r="AL940" s="2">
        <f t="shared" si="103"/>
        <v>0</v>
      </c>
      <c r="AM940" s="88"/>
      <c r="AN940" s="157" t="s">
        <v>774</v>
      </c>
    </row>
    <row r="941" spans="2:40" ht="23.15" customHeight="1" thickBot="1">
      <c r="B941" s="87">
        <v>45726</v>
      </c>
      <c r="C941" s="2" t="s">
        <v>295</v>
      </c>
      <c r="D941" s="15" t="s">
        <v>21</v>
      </c>
      <c r="E941" s="20" t="s">
        <v>28</v>
      </c>
      <c r="F941" s="20" t="s">
        <v>95</v>
      </c>
      <c r="G941" s="11">
        <v>19</v>
      </c>
      <c r="H941" s="11">
        <v>19</v>
      </c>
      <c r="I941" s="18">
        <v>0</v>
      </c>
      <c r="J941" s="18">
        <v>0</v>
      </c>
      <c r="K941" s="19">
        <v>149682.04</v>
      </c>
      <c r="L941" s="41">
        <v>0</v>
      </c>
      <c r="M941" s="41">
        <v>0</v>
      </c>
      <c r="N941" s="41">
        <v>0</v>
      </c>
      <c r="O941" s="41">
        <v>0</v>
      </c>
      <c r="P941" s="41">
        <v>0</v>
      </c>
      <c r="Q941" s="43">
        <v>0</v>
      </c>
      <c r="R941" s="43">
        <v>0</v>
      </c>
      <c r="S941" s="43">
        <v>0</v>
      </c>
      <c r="T941" s="43">
        <v>0</v>
      </c>
      <c r="U941" s="19" t="s">
        <v>295</v>
      </c>
      <c r="V941" s="13">
        <f t="shared" si="101"/>
        <v>149682.04</v>
      </c>
      <c r="W941" s="13"/>
      <c r="X941" s="13"/>
      <c r="Y941" s="13"/>
      <c r="Z941" s="13"/>
      <c r="AA941" s="22">
        <v>45689</v>
      </c>
      <c r="AB941" s="22" cm="1">
        <f t="array" ref="AB9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41" s="4"/>
      <c r="AD941" s="4"/>
      <c r="AE941" s="2"/>
      <c r="AF941" s="3"/>
      <c r="AG941" s="3"/>
      <c r="AH941" s="3"/>
      <c r="AI941" s="3"/>
      <c r="AJ941" s="2">
        <f t="shared" si="102"/>
        <v>0</v>
      </c>
      <c r="AK941" s="2">
        <f t="shared" si="100"/>
        <v>0</v>
      </c>
      <c r="AL941" s="2">
        <f t="shared" si="103"/>
        <v>0</v>
      </c>
      <c r="AM941" s="88"/>
      <c r="AN941" s="157" t="s">
        <v>774</v>
      </c>
    </row>
    <row r="942" spans="2:40" ht="23.15" customHeight="1" thickBot="1">
      <c r="B942" s="87">
        <v>45756</v>
      </c>
      <c r="C942" s="2" t="s">
        <v>295</v>
      </c>
      <c r="D942" s="15" t="s">
        <v>21</v>
      </c>
      <c r="E942" s="20" t="s">
        <v>28</v>
      </c>
      <c r="F942" s="20" t="s">
        <v>95</v>
      </c>
      <c r="G942" s="11">
        <v>19</v>
      </c>
      <c r="H942" s="11">
        <v>19</v>
      </c>
      <c r="I942" s="18">
        <v>0</v>
      </c>
      <c r="J942" s="18">
        <v>0</v>
      </c>
      <c r="K942" s="19">
        <v>149682.04</v>
      </c>
      <c r="L942" s="41">
        <v>0</v>
      </c>
      <c r="M942" s="41">
        <v>0</v>
      </c>
      <c r="N942" s="41">
        <v>0</v>
      </c>
      <c r="O942" s="41">
        <v>0</v>
      </c>
      <c r="P942" s="41">
        <v>0</v>
      </c>
      <c r="Q942" s="43">
        <v>0</v>
      </c>
      <c r="R942" s="43">
        <v>0</v>
      </c>
      <c r="S942" s="43">
        <v>0</v>
      </c>
      <c r="T942" s="43">
        <v>0</v>
      </c>
      <c r="U942" s="19"/>
      <c r="V942" s="13">
        <f t="shared" si="101"/>
        <v>149682.04</v>
      </c>
      <c r="W942" s="13"/>
      <c r="X942" s="13"/>
      <c r="Y942" s="47"/>
      <c r="Z942" s="13"/>
      <c r="AA942" s="22">
        <v>45717</v>
      </c>
      <c r="AB942" s="22" cm="1">
        <f t="array" ref="AB9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42" s="4"/>
      <c r="AD942" s="4"/>
      <c r="AE942" s="2"/>
      <c r="AF942" s="3"/>
      <c r="AG942" s="3"/>
      <c r="AH942" s="3"/>
      <c r="AI942" s="3"/>
      <c r="AJ942" s="2">
        <f t="shared" si="102"/>
        <v>0</v>
      </c>
      <c r="AK942" s="2">
        <f t="shared" si="100"/>
        <v>0</v>
      </c>
      <c r="AL942" s="2">
        <f t="shared" si="103"/>
        <v>0</v>
      </c>
      <c r="AM942" s="88"/>
      <c r="AN942" s="157" t="s">
        <v>774</v>
      </c>
    </row>
    <row r="943" spans="2:40" ht="23.15" customHeight="1" thickBot="1">
      <c r="B943" s="87">
        <v>45792</v>
      </c>
      <c r="C943" s="2" t="s">
        <v>295</v>
      </c>
      <c r="D943" s="15" t="s">
        <v>21</v>
      </c>
      <c r="E943" s="20" t="s">
        <v>28</v>
      </c>
      <c r="F943" s="20" t="s">
        <v>95</v>
      </c>
      <c r="G943" s="11">
        <v>19</v>
      </c>
      <c r="H943" s="11">
        <v>19</v>
      </c>
      <c r="I943" s="18">
        <v>0</v>
      </c>
      <c r="J943" s="18">
        <v>0</v>
      </c>
      <c r="K943" s="19">
        <v>149682.04</v>
      </c>
      <c r="L943" s="41">
        <v>0</v>
      </c>
      <c r="M943" s="41">
        <v>0</v>
      </c>
      <c r="N943" s="41">
        <v>0</v>
      </c>
      <c r="O943" s="41">
        <v>0</v>
      </c>
      <c r="P943" s="41">
        <v>0</v>
      </c>
      <c r="Q943" s="43">
        <v>0</v>
      </c>
      <c r="R943" s="43">
        <v>0</v>
      </c>
      <c r="S943" s="43">
        <v>0</v>
      </c>
      <c r="T943" s="43">
        <v>0</v>
      </c>
      <c r="U943" s="19" t="s">
        <v>295</v>
      </c>
      <c r="V943" s="13">
        <f t="shared" si="101"/>
        <v>149682.04</v>
      </c>
      <c r="W943" s="13"/>
      <c r="X943" s="13"/>
      <c r="Y943" s="47"/>
      <c r="Z943" s="13"/>
      <c r="AA943" s="22">
        <v>45748</v>
      </c>
      <c r="AB943" s="22" cm="1">
        <f t="array" ref="AB9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43" s="4"/>
      <c r="AD943" s="4"/>
      <c r="AE943" s="2"/>
      <c r="AF943" s="3"/>
      <c r="AG943" s="3"/>
      <c r="AH943" s="3"/>
      <c r="AI943" s="3"/>
      <c r="AJ943" s="2">
        <f t="shared" si="102"/>
        <v>0</v>
      </c>
      <c r="AK943" s="2">
        <f t="shared" ref="AK943:AK971" si="104">AC943-AD943</f>
        <v>0</v>
      </c>
      <c r="AL943" s="2">
        <f t="shared" si="103"/>
        <v>0</v>
      </c>
      <c r="AM943" s="88"/>
      <c r="AN943" s="157" t="s">
        <v>774</v>
      </c>
    </row>
    <row r="944" spans="2:40" ht="23.15" customHeight="1" thickBot="1">
      <c r="B944" s="87">
        <v>45786</v>
      </c>
      <c r="C944" s="2" t="s">
        <v>295</v>
      </c>
      <c r="D944" s="15" t="s">
        <v>21</v>
      </c>
      <c r="E944" s="20" t="s">
        <v>28</v>
      </c>
      <c r="F944" s="20" t="s">
        <v>95</v>
      </c>
      <c r="G944" s="11">
        <v>19</v>
      </c>
      <c r="H944" s="11">
        <v>19</v>
      </c>
      <c r="I944" s="18">
        <v>0</v>
      </c>
      <c r="J944" s="18">
        <v>0</v>
      </c>
      <c r="K944" s="19">
        <v>149682.04</v>
      </c>
      <c r="L944" s="41">
        <v>0</v>
      </c>
      <c r="M944" s="41">
        <v>0</v>
      </c>
      <c r="N944" s="41">
        <v>0</v>
      </c>
      <c r="O944" s="41">
        <v>0</v>
      </c>
      <c r="P944" s="41">
        <v>0</v>
      </c>
      <c r="Q944" s="43">
        <v>0</v>
      </c>
      <c r="R944" s="43">
        <v>0</v>
      </c>
      <c r="S944" s="43">
        <v>0</v>
      </c>
      <c r="T944" s="43">
        <v>0</v>
      </c>
      <c r="U944" s="19" t="s">
        <v>295</v>
      </c>
      <c r="V944" s="13">
        <f t="shared" si="101"/>
        <v>149682.04</v>
      </c>
      <c r="W944" s="13"/>
      <c r="X944" s="13"/>
      <c r="Y944" s="13"/>
      <c r="Z944" s="13"/>
      <c r="AA944" s="22">
        <v>45778</v>
      </c>
      <c r="AB944" s="22" cm="1">
        <f t="array" ref="AB9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44" s="4"/>
      <c r="AD944" s="4"/>
      <c r="AE944" s="2"/>
      <c r="AF944" s="3"/>
      <c r="AG944" s="3"/>
      <c r="AH944" s="3"/>
      <c r="AI944" s="3"/>
      <c r="AJ944" s="2">
        <f t="shared" si="102"/>
        <v>0</v>
      </c>
      <c r="AK944" s="2">
        <f t="shared" si="104"/>
        <v>0</v>
      </c>
      <c r="AL944" s="2">
        <f t="shared" si="103"/>
        <v>0</v>
      </c>
      <c r="AM944" s="88"/>
      <c r="AN944" s="157" t="s">
        <v>774</v>
      </c>
    </row>
    <row r="945" spans="2:40" ht="23.15" customHeight="1" thickBot="1">
      <c r="B945" s="87">
        <v>45756</v>
      </c>
      <c r="C945" s="2" t="s">
        <v>295</v>
      </c>
      <c r="D945" s="15" t="s">
        <v>21</v>
      </c>
      <c r="E945" s="20" t="s">
        <v>25</v>
      </c>
      <c r="F945" s="20" t="s">
        <v>41</v>
      </c>
      <c r="G945" s="11">
        <v>29</v>
      </c>
      <c r="H945" s="11">
        <v>20</v>
      </c>
      <c r="I945" s="18">
        <v>0</v>
      </c>
      <c r="J945" s="18">
        <v>0</v>
      </c>
      <c r="K945" s="19">
        <v>156183.22</v>
      </c>
      <c r="L945" s="41">
        <v>0</v>
      </c>
      <c r="M945" s="41">
        <v>0</v>
      </c>
      <c r="N945" s="41">
        <v>0</v>
      </c>
      <c r="O945" s="41">
        <v>0</v>
      </c>
      <c r="P945" s="41">
        <v>-1952.29</v>
      </c>
      <c r="Q945" s="43">
        <v>0</v>
      </c>
      <c r="R945" s="43">
        <v>0</v>
      </c>
      <c r="S945" s="43">
        <v>0</v>
      </c>
      <c r="T945" s="43">
        <v>0</v>
      </c>
      <c r="U945" s="19" t="s">
        <v>295</v>
      </c>
      <c r="V945" s="13">
        <f t="shared" si="101"/>
        <v>154230.93</v>
      </c>
      <c r="W945" s="13"/>
      <c r="X945" s="13"/>
      <c r="Y945" s="47"/>
      <c r="Z945" s="13"/>
      <c r="AA945" s="22">
        <v>45717</v>
      </c>
      <c r="AB945" s="22" cm="1">
        <f t="array" ref="AB9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45" s="4"/>
      <c r="AD945" s="4"/>
      <c r="AE945" s="2"/>
      <c r="AF945" s="3"/>
      <c r="AG945" s="3"/>
      <c r="AH945" s="3"/>
      <c r="AI945" s="3"/>
      <c r="AJ945" s="2">
        <f t="shared" si="102"/>
        <v>0</v>
      </c>
      <c r="AK945" s="2">
        <f t="shared" si="104"/>
        <v>0</v>
      </c>
      <c r="AL945" s="2">
        <f t="shared" si="103"/>
        <v>1952.2900000000081</v>
      </c>
      <c r="AM945" s="88"/>
      <c r="AN945" s="157" t="s">
        <v>774</v>
      </c>
    </row>
    <row r="946" spans="2:40" ht="23.15" customHeight="1" thickBot="1">
      <c r="B946" s="87">
        <v>45847</v>
      </c>
      <c r="C946" s="2" t="s">
        <v>295</v>
      </c>
      <c r="D946" s="15" t="s">
        <v>21</v>
      </c>
      <c r="E946" s="20" t="s">
        <v>28</v>
      </c>
      <c r="F946" s="20" t="s">
        <v>95</v>
      </c>
      <c r="G946" s="11">
        <v>19</v>
      </c>
      <c r="H946" s="11">
        <v>19</v>
      </c>
      <c r="I946" s="18">
        <v>0</v>
      </c>
      <c r="J946" s="18">
        <v>0</v>
      </c>
      <c r="K946" s="19">
        <v>158469.45000000001</v>
      </c>
      <c r="L946" s="41">
        <v>0</v>
      </c>
      <c r="M946" s="41">
        <v>0</v>
      </c>
      <c r="N946" s="41">
        <v>0</v>
      </c>
      <c r="O946" s="41">
        <v>0</v>
      </c>
      <c r="P946" s="41">
        <v>0</v>
      </c>
      <c r="Q946" s="43">
        <v>0</v>
      </c>
      <c r="R946" s="43">
        <v>0</v>
      </c>
      <c r="S946" s="43">
        <v>0</v>
      </c>
      <c r="T946" s="43">
        <v>0</v>
      </c>
      <c r="U946" s="19" t="s">
        <v>295</v>
      </c>
      <c r="V946" s="13">
        <f t="shared" si="101"/>
        <v>158469.45000000001</v>
      </c>
      <c r="W946" s="13"/>
      <c r="X946" s="13"/>
      <c r="Y946" s="13">
        <f>61511.87/2</f>
        <v>30755.935000000001</v>
      </c>
      <c r="Z946" s="13" t="s">
        <v>303</v>
      </c>
      <c r="AA946" s="22">
        <v>45809</v>
      </c>
      <c r="AB946" s="22" cm="1">
        <f t="array" ref="AB9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46" s="4"/>
      <c r="AD946" s="4"/>
      <c r="AE946" s="2"/>
      <c r="AF946" s="3"/>
      <c r="AG946" s="3"/>
      <c r="AH946" s="3"/>
      <c r="AI946" s="3"/>
      <c r="AJ946" s="2">
        <f t="shared" si="102"/>
        <v>0</v>
      </c>
      <c r="AK946" s="2">
        <f t="shared" si="104"/>
        <v>0</v>
      </c>
      <c r="AL946" s="2">
        <f t="shared" si="103"/>
        <v>0</v>
      </c>
      <c r="AM946" s="88"/>
      <c r="AN946" s="157" t="s">
        <v>774</v>
      </c>
    </row>
    <row r="947" spans="2:40" ht="23.15" customHeight="1" thickBot="1">
      <c r="B947" s="87">
        <v>45880</v>
      </c>
      <c r="C947" s="2" t="s">
        <v>295</v>
      </c>
      <c r="D947" s="15" t="s">
        <v>21</v>
      </c>
      <c r="E947" s="20" t="s">
        <v>28</v>
      </c>
      <c r="F947" s="20" t="s">
        <v>95</v>
      </c>
      <c r="G947" s="11">
        <v>19</v>
      </c>
      <c r="H947" s="11">
        <v>19</v>
      </c>
      <c r="I947" s="18">
        <v>0</v>
      </c>
      <c r="J947" s="18">
        <v>0</v>
      </c>
      <c r="K947" s="19">
        <v>158469.45000000001</v>
      </c>
      <c r="L947" s="41">
        <v>0</v>
      </c>
      <c r="M947" s="41">
        <v>0</v>
      </c>
      <c r="N947" s="41">
        <v>0</v>
      </c>
      <c r="O947" s="41">
        <v>0</v>
      </c>
      <c r="P947" s="41">
        <v>0</v>
      </c>
      <c r="Q947" s="43">
        <v>0</v>
      </c>
      <c r="R947" s="43">
        <v>0</v>
      </c>
      <c r="S947" s="43">
        <v>0</v>
      </c>
      <c r="T947" s="43">
        <v>0</v>
      </c>
      <c r="U947" s="19" t="s">
        <v>295</v>
      </c>
      <c r="V947" s="13">
        <f t="shared" si="101"/>
        <v>158469.45000000001</v>
      </c>
      <c r="W947" s="13"/>
      <c r="X947" s="13"/>
      <c r="Y947" s="13">
        <f>61511.87/2</f>
        <v>30755.935000000001</v>
      </c>
      <c r="Z947" s="13" t="s">
        <v>305</v>
      </c>
      <c r="AA947" s="22">
        <v>45839</v>
      </c>
      <c r="AB947" s="22" cm="1">
        <f t="array" ref="AB9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47" s="4">
        <v>2900</v>
      </c>
      <c r="AD947" s="4">
        <v>2900</v>
      </c>
      <c r="AE947" s="2"/>
      <c r="AF947" s="3"/>
      <c r="AG947" s="3"/>
      <c r="AH947" s="3"/>
      <c r="AI947" s="3"/>
      <c r="AJ947" s="2">
        <f t="shared" si="102"/>
        <v>0</v>
      </c>
      <c r="AK947" s="2">
        <f t="shared" si="104"/>
        <v>0</v>
      </c>
      <c r="AL947" s="2">
        <f t="shared" si="103"/>
        <v>0</v>
      </c>
      <c r="AM947" s="88"/>
      <c r="AN947" s="157" t="s">
        <v>774</v>
      </c>
    </row>
    <row r="948" spans="2:40" ht="23.15" customHeight="1" thickBot="1">
      <c r="B948" s="87">
        <v>45792</v>
      </c>
      <c r="C948" s="2" t="s">
        <v>295</v>
      </c>
      <c r="D948" s="15" t="s">
        <v>21</v>
      </c>
      <c r="E948" s="20" t="s">
        <v>25</v>
      </c>
      <c r="F948" s="20" t="s">
        <v>41</v>
      </c>
      <c r="G948" s="11">
        <v>29</v>
      </c>
      <c r="H948" s="11">
        <v>20</v>
      </c>
      <c r="I948" s="18">
        <v>0</v>
      </c>
      <c r="J948" s="18">
        <v>0</v>
      </c>
      <c r="K948" s="19">
        <v>170030.44</v>
      </c>
      <c r="L948" s="41">
        <v>0</v>
      </c>
      <c r="M948" s="41">
        <v>0</v>
      </c>
      <c r="N948" s="41">
        <v>0</v>
      </c>
      <c r="O948" s="41">
        <v>0</v>
      </c>
      <c r="P948" s="41">
        <v>0</v>
      </c>
      <c r="Q948" s="43">
        <v>0</v>
      </c>
      <c r="R948" s="41">
        <v>0</v>
      </c>
      <c r="S948" s="43">
        <v>0</v>
      </c>
      <c r="T948" s="43">
        <v>0</v>
      </c>
      <c r="U948" s="19" t="s">
        <v>295</v>
      </c>
      <c r="V948" s="13">
        <f t="shared" si="101"/>
        <v>170030.44</v>
      </c>
      <c r="W948" s="13"/>
      <c r="X948" s="13"/>
      <c r="Y948" s="47">
        <f>133062.91*Tab_Faturamento_RJ[[#This Row],[Parcela
(x/x)]]</f>
        <v>44354.30333333333</v>
      </c>
      <c r="Z948" s="45">
        <v>0.33333333333333331</v>
      </c>
      <c r="AA948" s="22">
        <v>45748</v>
      </c>
      <c r="AB948" s="22" cm="1">
        <f t="array" ref="AB9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48" s="4">
        <v>18045.28</v>
      </c>
      <c r="AD948" s="4">
        <v>16169.402790366632</v>
      </c>
      <c r="AE948" s="2"/>
      <c r="AF948" s="3"/>
      <c r="AG948" s="3"/>
      <c r="AH948" s="3"/>
      <c r="AI948" s="3"/>
      <c r="AJ948" s="2">
        <f t="shared" si="102"/>
        <v>0</v>
      </c>
      <c r="AK948" s="2">
        <f t="shared" si="104"/>
        <v>1875.8772096333669</v>
      </c>
      <c r="AL948" s="2">
        <f t="shared" si="103"/>
        <v>0</v>
      </c>
      <c r="AM948" s="88"/>
      <c r="AN948" s="157" t="s">
        <v>774</v>
      </c>
    </row>
    <row r="949" spans="2:40" ht="23.15" customHeight="1" thickBot="1">
      <c r="B949" s="87">
        <v>45786</v>
      </c>
      <c r="C949" s="2" t="s">
        <v>295</v>
      </c>
      <c r="D949" s="15" t="s">
        <v>21</v>
      </c>
      <c r="E949" s="20" t="s">
        <v>25</v>
      </c>
      <c r="F949" s="20" t="s">
        <v>41</v>
      </c>
      <c r="G949" s="11">
        <v>29</v>
      </c>
      <c r="H949" s="11">
        <v>20</v>
      </c>
      <c r="I949" s="18">
        <v>0</v>
      </c>
      <c r="J949" s="18">
        <v>0</v>
      </c>
      <c r="K949" s="19">
        <v>170030.44</v>
      </c>
      <c r="L949" s="41">
        <v>0</v>
      </c>
      <c r="M949" s="41">
        <v>0</v>
      </c>
      <c r="N949" s="41">
        <v>0</v>
      </c>
      <c r="O949" s="41">
        <v>0</v>
      </c>
      <c r="P949" s="41">
        <v>0</v>
      </c>
      <c r="Q949" s="43">
        <v>0</v>
      </c>
      <c r="R949" s="41">
        <v>0</v>
      </c>
      <c r="S949" s="43">
        <v>0</v>
      </c>
      <c r="T949" s="43">
        <v>0</v>
      </c>
      <c r="U949" s="19" t="s">
        <v>292</v>
      </c>
      <c r="V949" s="13">
        <f t="shared" si="101"/>
        <v>170030.44</v>
      </c>
      <c r="W949" s="13"/>
      <c r="X949" s="13"/>
      <c r="Y949" s="13"/>
      <c r="Z949" s="13"/>
      <c r="AA949" s="22">
        <v>45778</v>
      </c>
      <c r="AB949" s="22" cm="1">
        <f t="array" ref="AB9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49" s="4"/>
      <c r="AD949" s="4"/>
      <c r="AE949" s="2"/>
      <c r="AF949" s="3"/>
      <c r="AG949" s="3"/>
      <c r="AH949" s="3"/>
      <c r="AI949" s="3"/>
      <c r="AJ949" s="2">
        <f t="shared" si="102"/>
        <v>0</v>
      </c>
      <c r="AK949" s="2">
        <f t="shared" si="104"/>
        <v>0</v>
      </c>
      <c r="AL949" s="2">
        <f t="shared" si="103"/>
        <v>0</v>
      </c>
      <c r="AM949" s="88"/>
      <c r="AN949" s="157" t="s">
        <v>774</v>
      </c>
    </row>
    <row r="950" spans="2:40" ht="23.15" customHeight="1" thickBot="1">
      <c r="B950" s="87">
        <v>45847</v>
      </c>
      <c r="C950" s="2" t="s">
        <v>295</v>
      </c>
      <c r="D950" s="15" t="s">
        <v>21</v>
      </c>
      <c r="E950" s="20" t="s">
        <v>25</v>
      </c>
      <c r="F950" s="20" t="s">
        <v>41</v>
      </c>
      <c r="G950" s="11">
        <v>29</v>
      </c>
      <c r="H950" s="11">
        <v>20</v>
      </c>
      <c r="I950" s="18">
        <v>0</v>
      </c>
      <c r="J950" s="18">
        <v>0</v>
      </c>
      <c r="K950" s="19">
        <v>170853.61402845196</v>
      </c>
      <c r="L950" s="41">
        <v>0</v>
      </c>
      <c r="M950" s="41">
        <v>0</v>
      </c>
      <c r="N950" s="41">
        <v>0</v>
      </c>
      <c r="O950" s="41">
        <v>0</v>
      </c>
      <c r="P950" s="41">
        <v>0</v>
      </c>
      <c r="Q950" s="43">
        <v>0</v>
      </c>
      <c r="R950" s="41">
        <v>0</v>
      </c>
      <c r="S950" s="43">
        <v>0</v>
      </c>
      <c r="T950" s="43">
        <v>0</v>
      </c>
      <c r="U950" s="19" t="s">
        <v>295</v>
      </c>
      <c r="V950" s="13">
        <f t="shared" si="101"/>
        <v>170853.61402845196</v>
      </c>
      <c r="W950" s="13"/>
      <c r="X950" s="13"/>
      <c r="Y950" s="13"/>
      <c r="Z950" s="13"/>
      <c r="AA950" s="22">
        <v>45809</v>
      </c>
      <c r="AB950" s="22" cm="1">
        <f t="array" ref="AB9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50" s="4">
        <f>19111.74+29784.12</f>
        <v>48895.86</v>
      </c>
      <c r="AD950" s="4">
        <f>19111.74+29784.12</f>
        <v>48895.86</v>
      </c>
      <c r="AE950" s="2"/>
      <c r="AF950" s="3"/>
      <c r="AG950" s="3"/>
      <c r="AH950" s="3"/>
      <c r="AI950" s="3"/>
      <c r="AJ950" s="2">
        <f t="shared" si="102"/>
        <v>0</v>
      </c>
      <c r="AK950" s="2">
        <f t="shared" si="104"/>
        <v>0</v>
      </c>
      <c r="AL950" s="2">
        <f t="shared" si="103"/>
        <v>0</v>
      </c>
      <c r="AM950" s="88"/>
      <c r="AN950" s="157" t="s">
        <v>774</v>
      </c>
    </row>
    <row r="951" spans="2:40" ht="23.15" customHeight="1" thickBot="1">
      <c r="B951" s="87">
        <v>45880</v>
      </c>
      <c r="C951" s="2" t="s">
        <v>295</v>
      </c>
      <c r="D951" s="15" t="s">
        <v>21</v>
      </c>
      <c r="E951" s="20" t="s">
        <v>25</v>
      </c>
      <c r="F951" s="20" t="s">
        <v>41</v>
      </c>
      <c r="G951" s="11">
        <v>29</v>
      </c>
      <c r="H951" s="11">
        <v>20</v>
      </c>
      <c r="I951" s="18">
        <v>0</v>
      </c>
      <c r="J951" s="18">
        <v>0</v>
      </c>
      <c r="K951" s="19">
        <v>171190.3</v>
      </c>
      <c r="L951" s="41">
        <v>0</v>
      </c>
      <c r="M951" s="41">
        <v>0</v>
      </c>
      <c r="N951" s="41">
        <v>0</v>
      </c>
      <c r="O951" s="41">
        <v>0</v>
      </c>
      <c r="P951" s="41">
        <v>0</v>
      </c>
      <c r="Q951" s="43">
        <v>0</v>
      </c>
      <c r="R951" s="41">
        <v>0</v>
      </c>
      <c r="S951" s="43">
        <v>0</v>
      </c>
      <c r="T951" s="43">
        <f>-16203.32</f>
        <v>-16203.32</v>
      </c>
      <c r="U951" s="19" t="s">
        <v>295</v>
      </c>
      <c r="V951" s="13">
        <f t="shared" si="101"/>
        <v>154986.97999999998</v>
      </c>
      <c r="W951" s="13"/>
      <c r="X951" s="13"/>
      <c r="Y951" s="13"/>
      <c r="Z951" s="13"/>
      <c r="AA951" s="22">
        <v>45839</v>
      </c>
      <c r="AB951" s="22" cm="1">
        <f t="array" ref="AB9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51" s="4"/>
      <c r="AD951" s="4"/>
      <c r="AE951" s="2"/>
      <c r="AF951" s="3"/>
      <c r="AG951" s="3"/>
      <c r="AH951" s="3"/>
      <c r="AI951" s="3"/>
      <c r="AJ951" s="2">
        <f t="shared" si="102"/>
        <v>0</v>
      </c>
      <c r="AK951" s="2">
        <f t="shared" si="104"/>
        <v>0</v>
      </c>
      <c r="AL951" s="2">
        <f t="shared" si="103"/>
        <v>16203.320000000007</v>
      </c>
      <c r="AM951" s="88"/>
      <c r="AN951" s="157" t="s">
        <v>774</v>
      </c>
    </row>
    <row r="952" spans="2:40" ht="23.15" customHeight="1" thickBot="1">
      <c r="B952" s="87">
        <v>45936</v>
      </c>
      <c r="C952" s="2" t="s">
        <v>295</v>
      </c>
      <c r="D952" s="15" t="s">
        <v>21</v>
      </c>
      <c r="E952" s="20" t="s">
        <v>30</v>
      </c>
      <c r="F952" s="20" t="s">
        <v>40</v>
      </c>
      <c r="G952" s="11">
        <v>54</v>
      </c>
      <c r="H952" s="11">
        <v>64</v>
      </c>
      <c r="I952" s="18">
        <v>0</v>
      </c>
      <c r="J952" s="18">
        <v>0</v>
      </c>
      <c r="K952" s="19">
        <v>382212.88</v>
      </c>
      <c r="L952" s="41">
        <v>0</v>
      </c>
      <c r="M952" s="41">
        <v>0</v>
      </c>
      <c r="N952" s="41">
        <v>0</v>
      </c>
      <c r="O952" s="41">
        <v>0</v>
      </c>
      <c r="P952" s="41">
        <v>-3965.49</v>
      </c>
      <c r="Q952" s="43">
        <v>0</v>
      </c>
      <c r="R952" s="41">
        <v>0</v>
      </c>
      <c r="S952" s="43">
        <v>0</v>
      </c>
      <c r="T952" s="43">
        <v>0</v>
      </c>
      <c r="U952" s="19" t="s">
        <v>295</v>
      </c>
      <c r="V952" s="13">
        <f t="shared" si="101"/>
        <v>378247.39</v>
      </c>
      <c r="W952" s="13"/>
      <c r="X952" s="13"/>
      <c r="Y952" s="13"/>
      <c r="Z952" s="13"/>
      <c r="AA952" s="22">
        <v>45901</v>
      </c>
      <c r="AB952" s="22" cm="1">
        <f t="array" ref="AB9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52" s="4"/>
      <c r="AD952" s="4">
        <v>30296.080000000002</v>
      </c>
      <c r="AE952" s="2"/>
      <c r="AF952" s="3"/>
      <c r="AG952" s="3"/>
      <c r="AH952" s="3"/>
      <c r="AI952" s="3"/>
      <c r="AJ952" s="2">
        <f t="shared" si="102"/>
        <v>0</v>
      </c>
      <c r="AK952" s="2">
        <f t="shared" si="104"/>
        <v>-30296.080000000002</v>
      </c>
      <c r="AL952" s="2">
        <f t="shared" si="103"/>
        <v>3965.4899999999907</v>
      </c>
      <c r="AM952" s="88"/>
      <c r="AN952" s="157" t="s">
        <v>774</v>
      </c>
    </row>
    <row r="953" spans="2:40" ht="23.15" customHeight="1" thickBot="1">
      <c r="B953" s="87"/>
      <c r="C953" s="2" t="s">
        <v>292</v>
      </c>
      <c r="D953" s="15" t="s">
        <v>21</v>
      </c>
      <c r="E953" s="20" t="s">
        <v>30</v>
      </c>
      <c r="F953" s="20" t="s">
        <v>40</v>
      </c>
      <c r="G953" s="11">
        <v>54</v>
      </c>
      <c r="H953" s="11"/>
      <c r="I953" s="18" t="s">
        <v>294</v>
      </c>
      <c r="J953" s="18" t="s">
        <v>294</v>
      </c>
      <c r="K953" s="19">
        <v>382212.88</v>
      </c>
      <c r="L953" s="41"/>
      <c r="M953" s="41" t="s">
        <v>294</v>
      </c>
      <c r="N953" s="41"/>
      <c r="O953" s="41" t="s">
        <v>294</v>
      </c>
      <c r="P953" s="41" t="s">
        <v>301</v>
      </c>
      <c r="Q953" s="43"/>
      <c r="R953" s="41"/>
      <c r="S953" s="43"/>
      <c r="T953" s="43"/>
      <c r="U953" s="19"/>
      <c r="V953" s="13">
        <f t="shared" si="101"/>
        <v>382212.88</v>
      </c>
      <c r="W953" s="13"/>
      <c r="X953" s="13"/>
      <c r="Y953" s="13"/>
      <c r="Z953" s="13"/>
      <c r="AA953" s="22">
        <v>45931</v>
      </c>
      <c r="AB953" s="22" cm="1">
        <f t="array" ref="AB9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53" s="4"/>
      <c r="AD953" s="4"/>
      <c r="AE953" s="2"/>
      <c r="AF953" s="3"/>
      <c r="AG953" s="3"/>
      <c r="AH953" s="3"/>
      <c r="AI953" s="3"/>
      <c r="AJ953" s="2">
        <f t="shared" si="102"/>
        <v>0</v>
      </c>
      <c r="AK953" s="2">
        <f t="shared" si="104"/>
        <v>0</v>
      </c>
      <c r="AL953" s="2">
        <f t="shared" si="103"/>
        <v>0</v>
      </c>
      <c r="AM953" s="88"/>
      <c r="AN953" s="157" t="s">
        <v>774</v>
      </c>
    </row>
    <row r="954" spans="2:40" ht="23.15" customHeight="1" thickBot="1">
      <c r="B954" s="87">
        <v>45700</v>
      </c>
      <c r="C954" s="2" t="s">
        <v>295</v>
      </c>
      <c r="D954" s="15" t="s">
        <v>21</v>
      </c>
      <c r="E954" s="20" t="s">
        <v>30</v>
      </c>
      <c r="F954" s="20" t="s">
        <v>40</v>
      </c>
      <c r="G954" s="11">
        <v>54</v>
      </c>
      <c r="H954" s="11">
        <v>59</v>
      </c>
      <c r="I954" s="18">
        <v>88</v>
      </c>
      <c r="J954" s="18">
        <v>0</v>
      </c>
      <c r="K954" s="19">
        <f>339969.57*15/30.4375+314070.31/30.4375*16</f>
        <v>332637.97979466117</v>
      </c>
      <c r="L954" s="41">
        <v>0</v>
      </c>
      <c r="M954" s="41">
        <v>-12782.22</v>
      </c>
      <c r="N954" s="41">
        <v>0</v>
      </c>
      <c r="O954" s="41">
        <v>0</v>
      </c>
      <c r="P954" s="41">
        <v>-4712.3713804243598</v>
      </c>
      <c r="Q954" s="43">
        <v>0</v>
      </c>
      <c r="R954" s="41">
        <v>0</v>
      </c>
      <c r="S954" s="43">
        <v>0</v>
      </c>
      <c r="T954" s="43">
        <v>0</v>
      </c>
      <c r="U954" s="19" t="s">
        <v>295</v>
      </c>
      <c r="V954" s="13">
        <f t="shared" si="101"/>
        <v>315143.38841423683</v>
      </c>
      <c r="W954" s="13"/>
      <c r="X954" s="13"/>
      <c r="Y954" s="13"/>
      <c r="Z954" s="13"/>
      <c r="AA954" s="22">
        <v>45658</v>
      </c>
      <c r="AB954" s="22" cm="1">
        <f t="array" ref="AB9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54" s="4"/>
      <c r="AD954" s="4"/>
      <c r="AE954" s="2"/>
      <c r="AF954" s="3"/>
      <c r="AG954" s="3"/>
      <c r="AH954" s="3"/>
      <c r="AI954" s="3"/>
      <c r="AJ954" s="2">
        <f t="shared" si="102"/>
        <v>12782.22</v>
      </c>
      <c r="AK954" s="2">
        <f t="shared" si="104"/>
        <v>0</v>
      </c>
      <c r="AL954" s="2">
        <f t="shared" si="103"/>
        <v>17494.591380424332</v>
      </c>
      <c r="AM954" s="88"/>
      <c r="AN954" s="157" t="s">
        <v>774</v>
      </c>
    </row>
    <row r="955" spans="2:40" ht="23.15" customHeight="1" thickBot="1">
      <c r="B955" s="87">
        <v>45726</v>
      </c>
      <c r="C955" s="2" t="s">
        <v>295</v>
      </c>
      <c r="D955" s="15" t="s">
        <v>21</v>
      </c>
      <c r="E955" s="20" t="s">
        <v>30</v>
      </c>
      <c r="F955" s="20" t="s">
        <v>40</v>
      </c>
      <c r="G955" s="11">
        <v>54</v>
      </c>
      <c r="H955" s="11">
        <v>59</v>
      </c>
      <c r="I955" s="18">
        <v>219</v>
      </c>
      <c r="J955" s="18">
        <v>0</v>
      </c>
      <c r="K955" s="19">
        <f>339969.57</f>
        <v>339969.57</v>
      </c>
      <c r="L955" s="41">
        <v>0</v>
      </c>
      <c r="M955" s="41">
        <v>-33555.449999999997</v>
      </c>
      <c r="N955" s="41">
        <v>0</v>
      </c>
      <c r="O955" s="41">
        <v>0</v>
      </c>
      <c r="P955" s="41">
        <v>-2266.46</v>
      </c>
      <c r="Q955" s="43">
        <v>0</v>
      </c>
      <c r="R955" s="41">
        <v>0</v>
      </c>
      <c r="S955" s="43">
        <v>0</v>
      </c>
      <c r="T955" s="43">
        <v>0</v>
      </c>
      <c r="U955" s="19" t="s">
        <v>295</v>
      </c>
      <c r="V955" s="13">
        <f t="shared" si="101"/>
        <v>304147.65999999997</v>
      </c>
      <c r="W955" s="13"/>
      <c r="X955" s="13"/>
      <c r="Y955" s="13"/>
      <c r="Z955" s="13"/>
      <c r="AA955" s="22">
        <v>45689</v>
      </c>
      <c r="AB955" s="22" cm="1">
        <f t="array" ref="AB9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55" s="4">
        <v>2997.62</v>
      </c>
      <c r="AD955" s="4">
        <v>2997.62</v>
      </c>
      <c r="AE955" s="2"/>
      <c r="AF955" s="3"/>
      <c r="AG955" s="3"/>
      <c r="AH955" s="3"/>
      <c r="AI955" s="3"/>
      <c r="AJ955" s="2">
        <f t="shared" si="102"/>
        <v>33555.449999999997</v>
      </c>
      <c r="AK955" s="2">
        <f t="shared" si="104"/>
        <v>0</v>
      </c>
      <c r="AL955" s="2">
        <f t="shared" si="103"/>
        <v>35821.910000000033</v>
      </c>
      <c r="AM955" s="88"/>
      <c r="AN955" s="157" t="s">
        <v>774</v>
      </c>
    </row>
    <row r="956" spans="2:40" ht="23.15" customHeight="1" thickBot="1">
      <c r="B956" s="87">
        <v>45756</v>
      </c>
      <c r="C956" s="2" t="s">
        <v>295</v>
      </c>
      <c r="D956" s="15" t="s">
        <v>21</v>
      </c>
      <c r="E956" s="20" t="s">
        <v>30</v>
      </c>
      <c r="F956" s="20" t="s">
        <v>40</v>
      </c>
      <c r="G956" s="11">
        <v>54</v>
      </c>
      <c r="H956" s="11">
        <v>59</v>
      </c>
      <c r="I956" s="18">
        <v>185</v>
      </c>
      <c r="J956" s="18">
        <v>0</v>
      </c>
      <c r="K956" s="19">
        <v>339969.57</v>
      </c>
      <c r="L956" s="41">
        <v>0</v>
      </c>
      <c r="M956" s="41">
        <v>-28168.11</v>
      </c>
      <c r="N956" s="41">
        <v>0</v>
      </c>
      <c r="O956" s="41">
        <v>0</v>
      </c>
      <c r="P956" s="41">
        <v>-1699.85</v>
      </c>
      <c r="Q956" s="43">
        <v>0</v>
      </c>
      <c r="R956" s="41">
        <v>0</v>
      </c>
      <c r="S956" s="43">
        <v>0</v>
      </c>
      <c r="T956" s="43">
        <v>0</v>
      </c>
      <c r="U956" s="19" t="s">
        <v>295</v>
      </c>
      <c r="V956" s="13">
        <f t="shared" si="101"/>
        <v>310101.61000000004</v>
      </c>
      <c r="W956" s="13"/>
      <c r="X956" s="13"/>
      <c r="Y956" s="47"/>
      <c r="Z956" s="13"/>
      <c r="AA956" s="22">
        <v>45717</v>
      </c>
      <c r="AB956" s="22" cm="1">
        <f t="array" ref="AB9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56" s="4">
        <v>8832.4500000000007</v>
      </c>
      <c r="AD956" s="4">
        <v>6474.33</v>
      </c>
      <c r="AE956" s="2"/>
      <c r="AF956" s="3"/>
      <c r="AG956" s="3"/>
      <c r="AH956" s="3"/>
      <c r="AI956" s="3"/>
      <c r="AJ956" s="2">
        <f t="shared" si="102"/>
        <v>28168.11</v>
      </c>
      <c r="AK956" s="2">
        <f t="shared" si="104"/>
        <v>2358.1200000000008</v>
      </c>
      <c r="AL956" s="2">
        <f t="shared" si="103"/>
        <v>29867.959999999963</v>
      </c>
      <c r="AM956" s="88"/>
      <c r="AN956" s="157" t="s">
        <v>774</v>
      </c>
    </row>
    <row r="957" spans="2:40" ht="23.15" customHeight="1" thickBot="1">
      <c r="B957" s="87">
        <v>45817</v>
      </c>
      <c r="C957" s="2" t="s">
        <v>295</v>
      </c>
      <c r="D957" s="15" t="s">
        <v>21</v>
      </c>
      <c r="E957" s="20" t="s">
        <v>30</v>
      </c>
      <c r="F957" s="20" t="s">
        <v>40</v>
      </c>
      <c r="G957" s="11">
        <v>54</v>
      </c>
      <c r="H957" s="11">
        <v>64</v>
      </c>
      <c r="I957" s="18">
        <v>67</v>
      </c>
      <c r="J957" s="18">
        <v>0</v>
      </c>
      <c r="K957" s="19">
        <v>382212.88</v>
      </c>
      <c r="L957" s="41">
        <v>0</v>
      </c>
      <c r="M957" s="41">
        <v>-11536.73</v>
      </c>
      <c r="N957" s="41">
        <v>0</v>
      </c>
      <c r="O957" s="41">
        <v>0</v>
      </c>
      <c r="P957" s="41">
        <f>-4956.86</f>
        <v>-4956.8599999999997</v>
      </c>
      <c r="Q957" s="43">
        <v>0</v>
      </c>
      <c r="R957" s="41">
        <v>0</v>
      </c>
      <c r="S957" s="43">
        <v>0</v>
      </c>
      <c r="T957" s="43">
        <v>0</v>
      </c>
      <c r="U957" s="19" t="s">
        <v>295</v>
      </c>
      <c r="V957" s="13">
        <f t="shared" si="101"/>
        <v>365719.29000000004</v>
      </c>
      <c r="W957" s="13"/>
      <c r="X957" s="13"/>
      <c r="Y957" s="13"/>
      <c r="Z957" s="13"/>
      <c r="AA957" s="22">
        <v>45778</v>
      </c>
      <c r="AB957" s="22" cm="1">
        <f t="array" ref="AB9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57" s="4">
        <f>17442.04+28609.21</f>
        <v>46051.25</v>
      </c>
      <c r="AD957" s="4">
        <f>20361.648366246+28609.21</f>
        <v>48970.858366246001</v>
      </c>
      <c r="AE957" s="2"/>
      <c r="AF957" s="3"/>
      <c r="AG957" s="3"/>
      <c r="AH957" s="3"/>
      <c r="AI957" s="3"/>
      <c r="AJ957" s="2">
        <f t="shared" si="102"/>
        <v>11536.73</v>
      </c>
      <c r="AK957" s="2">
        <f t="shared" si="104"/>
        <v>-2919.6083662460005</v>
      </c>
      <c r="AL957" s="2">
        <f t="shared" si="103"/>
        <v>16493.589999999967</v>
      </c>
      <c r="AM957" s="88"/>
      <c r="AN957" s="157" t="s">
        <v>774</v>
      </c>
    </row>
    <row r="958" spans="2:40" ht="23.15" customHeight="1" thickBot="1">
      <c r="B958" s="87">
        <v>45847</v>
      </c>
      <c r="C958" s="2" t="s">
        <v>295</v>
      </c>
      <c r="D958" s="15" t="s">
        <v>21</v>
      </c>
      <c r="E958" s="20" t="s">
        <v>30</v>
      </c>
      <c r="F958" s="20" t="s">
        <v>40</v>
      </c>
      <c r="G958" s="11">
        <v>54</v>
      </c>
      <c r="H958" s="11">
        <v>64</v>
      </c>
      <c r="I958" s="18">
        <v>93</v>
      </c>
      <c r="J958" s="18">
        <v>0</v>
      </c>
      <c r="K958" s="19">
        <v>382212.88</v>
      </c>
      <c r="L958" s="41">
        <v>0</v>
      </c>
      <c r="M958" s="41">
        <f>-15937.88</f>
        <v>-15937.88</v>
      </c>
      <c r="N958" s="41">
        <v>0</v>
      </c>
      <c r="O958" s="41">
        <v>0</v>
      </c>
      <c r="P958" s="41">
        <f>-3503.62</f>
        <v>-3503.62</v>
      </c>
      <c r="Q958" s="43">
        <v>0</v>
      </c>
      <c r="R958" s="41">
        <v>0</v>
      </c>
      <c r="S958" s="43">
        <v>0</v>
      </c>
      <c r="T958" s="43">
        <v>0</v>
      </c>
      <c r="U958" s="19" t="s">
        <v>295</v>
      </c>
      <c r="V958" s="13">
        <f t="shared" si="101"/>
        <v>362771.38</v>
      </c>
      <c r="W958" s="13"/>
      <c r="X958" s="13"/>
      <c r="Y958" s="13"/>
      <c r="Z958" s="13"/>
      <c r="AA958" s="22">
        <v>45809</v>
      </c>
      <c r="AB958" s="22" cm="1">
        <f t="array" ref="AB9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58" s="4">
        <f>21502.8+7344.7</f>
        <v>28847.5</v>
      </c>
      <c r="AD958" s="4">
        <f>5261.53232290456+15623.89</f>
        <v>20885.42232290456</v>
      </c>
      <c r="AE958" s="2"/>
      <c r="AF958" s="3"/>
      <c r="AG958" s="3"/>
      <c r="AH958" s="3"/>
      <c r="AI958" s="3"/>
      <c r="AJ958" s="2">
        <f t="shared" si="102"/>
        <v>15937.88</v>
      </c>
      <c r="AK958" s="2">
        <f t="shared" si="104"/>
        <v>7962.0776770954399</v>
      </c>
      <c r="AL958" s="2">
        <f t="shared" si="103"/>
        <v>19441.5</v>
      </c>
      <c r="AM958" s="88"/>
      <c r="AN958" s="157" t="s">
        <v>774</v>
      </c>
    </row>
    <row r="959" spans="2:40" ht="23.15" customHeight="1" thickBot="1">
      <c r="B959" s="87">
        <v>45792</v>
      </c>
      <c r="C959" s="2" t="s">
        <v>295</v>
      </c>
      <c r="D959" s="15" t="s">
        <v>21</v>
      </c>
      <c r="E959" s="20" t="s">
        <v>30</v>
      </c>
      <c r="F959" s="20" t="s">
        <v>40</v>
      </c>
      <c r="G959" s="11">
        <v>54</v>
      </c>
      <c r="H959" s="11">
        <v>64</v>
      </c>
      <c r="I959" s="18">
        <v>13</v>
      </c>
      <c r="J959" s="18">
        <v>0</v>
      </c>
      <c r="K959" s="19">
        <v>382212.88</v>
      </c>
      <c r="L959" s="41">
        <v>0</v>
      </c>
      <c r="M959" s="41">
        <v>-2281.59</v>
      </c>
      <c r="N959" s="41">
        <v>0</v>
      </c>
      <c r="O959" s="41">
        <v>0</v>
      </c>
      <c r="P959" s="41">
        <v>-991.37</v>
      </c>
      <c r="Q959" s="43">
        <v>0</v>
      </c>
      <c r="R959" s="43">
        <v>0</v>
      </c>
      <c r="S959" s="43">
        <v>0</v>
      </c>
      <c r="T959" s="43">
        <v>0</v>
      </c>
      <c r="U959" s="19" t="s">
        <v>295</v>
      </c>
      <c r="V959" s="13">
        <f t="shared" si="101"/>
        <v>378939.92</v>
      </c>
      <c r="W959" s="13"/>
      <c r="X959" s="13"/>
      <c r="Y959" s="47"/>
      <c r="Z959" s="13"/>
      <c r="AA959" s="22">
        <v>45748</v>
      </c>
      <c r="AB959" s="22" cm="1">
        <f t="array" ref="AB9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59" s="4">
        <v>6941.22</v>
      </c>
      <c r="AD959" s="4">
        <v>7590.6365701344021</v>
      </c>
      <c r="AE959" s="2"/>
      <c r="AF959" s="3"/>
      <c r="AG959" s="3"/>
      <c r="AH959" s="3"/>
      <c r="AI959" s="3"/>
      <c r="AJ959" s="2">
        <f t="shared" si="102"/>
        <v>2281.59</v>
      </c>
      <c r="AK959" s="2">
        <f t="shared" si="104"/>
        <v>-649.41657013440181</v>
      </c>
      <c r="AL959" s="2">
        <f t="shared" si="103"/>
        <v>3272.960000000021</v>
      </c>
      <c r="AM959" s="88"/>
      <c r="AN959" s="157" t="s">
        <v>774</v>
      </c>
    </row>
    <row r="960" spans="2:40" ht="23.15" customHeight="1" thickBot="1">
      <c r="B960" s="87">
        <v>45909</v>
      </c>
      <c r="C960" s="2" t="s">
        <v>295</v>
      </c>
      <c r="D960" s="15" t="s">
        <v>21</v>
      </c>
      <c r="E960" s="20" t="s">
        <v>25</v>
      </c>
      <c r="F960" s="20" t="s">
        <v>41</v>
      </c>
      <c r="G960" s="11">
        <v>29</v>
      </c>
      <c r="H960" s="11">
        <v>20</v>
      </c>
      <c r="I960" s="18">
        <v>0</v>
      </c>
      <c r="J960" s="18">
        <v>0</v>
      </c>
      <c r="K960" s="10">
        <v>171190.3</v>
      </c>
      <c r="L960" s="41">
        <v>0</v>
      </c>
      <c r="M960" s="41">
        <v>0</v>
      </c>
      <c r="N960" s="41">
        <v>0</v>
      </c>
      <c r="O960" s="41">
        <v>0</v>
      </c>
      <c r="P960" s="41">
        <v>-1569.24</v>
      </c>
      <c r="Q960" s="41">
        <v>0</v>
      </c>
      <c r="R960" s="41">
        <v>0</v>
      </c>
      <c r="S960" s="41">
        <v>0</v>
      </c>
      <c r="T960" s="41">
        <v>0</v>
      </c>
      <c r="U960" s="19" t="s">
        <v>295</v>
      </c>
      <c r="V960" s="13">
        <f t="shared" si="101"/>
        <v>169621.06</v>
      </c>
      <c r="W960" s="13"/>
      <c r="X960" s="13"/>
      <c r="Y960" s="13"/>
      <c r="Z960" s="13"/>
      <c r="AA960" s="22">
        <v>45870</v>
      </c>
      <c r="AB960" s="22" cm="1">
        <f t="array" ref="AB9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60" s="4"/>
      <c r="AD960" s="4"/>
      <c r="AE960" s="2"/>
      <c r="AF960" s="3"/>
      <c r="AG960" s="3"/>
      <c r="AH960" s="3"/>
      <c r="AI960" s="3"/>
      <c r="AJ960" s="2">
        <f t="shared" si="102"/>
        <v>0</v>
      </c>
      <c r="AK960" s="2">
        <f t="shared" si="104"/>
        <v>0</v>
      </c>
      <c r="AL960" s="2">
        <f t="shared" si="103"/>
        <v>1569.2399999999907</v>
      </c>
      <c r="AM960" s="88"/>
      <c r="AN960" s="157" t="s">
        <v>774</v>
      </c>
    </row>
    <row r="961" spans="2:40" ht="23.15" customHeight="1" thickBot="1">
      <c r="B961" s="87">
        <v>45936</v>
      </c>
      <c r="C961" s="2" t="s">
        <v>295</v>
      </c>
      <c r="D961" s="15" t="s">
        <v>21</v>
      </c>
      <c r="E961" s="20" t="s">
        <v>25</v>
      </c>
      <c r="F961" s="20" t="s">
        <v>41</v>
      </c>
      <c r="G961" s="11">
        <v>29</v>
      </c>
      <c r="H961" s="11">
        <v>20</v>
      </c>
      <c r="I961" s="18">
        <v>0</v>
      </c>
      <c r="J961" s="18">
        <v>0</v>
      </c>
      <c r="K961" s="19">
        <v>189181.28389419883</v>
      </c>
      <c r="L961" s="41">
        <v>0</v>
      </c>
      <c r="M961" s="41">
        <v>0</v>
      </c>
      <c r="N961" s="41">
        <v>0</v>
      </c>
      <c r="O961" s="41">
        <v>0</v>
      </c>
      <c r="P961" s="41">
        <v>-1997.22</v>
      </c>
      <c r="Q961" s="43">
        <v>0</v>
      </c>
      <c r="R961" s="43">
        <v>0</v>
      </c>
      <c r="S961" s="43">
        <v>0</v>
      </c>
      <c r="T961" s="43">
        <v>0</v>
      </c>
      <c r="U961" s="19" t="s">
        <v>295</v>
      </c>
      <c r="V961" s="13">
        <f t="shared" si="101"/>
        <v>187184.06389419883</v>
      </c>
      <c r="W961" s="13"/>
      <c r="X961" s="13"/>
      <c r="Y961" s="47">
        <f>SUBTOTAL(109,Tabela1[Retroativo])</f>
        <v>2907.6091956360833</v>
      </c>
      <c r="Z961" s="45" t="s">
        <v>302</v>
      </c>
      <c r="AA961" s="22">
        <v>45901</v>
      </c>
      <c r="AB961" s="22" cm="1">
        <f t="array" ref="AB9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61" s="4"/>
      <c r="AD961" s="4"/>
      <c r="AE961" s="2"/>
      <c r="AF961" s="3"/>
      <c r="AG961" s="3"/>
      <c r="AH961" s="3"/>
      <c r="AI961" s="3"/>
      <c r="AJ961" s="2">
        <f t="shared" si="102"/>
        <v>0</v>
      </c>
      <c r="AK961" s="2">
        <f t="shared" si="104"/>
        <v>0</v>
      </c>
      <c r="AL961" s="2">
        <f t="shared" si="103"/>
        <v>1997.2200000000012</v>
      </c>
      <c r="AM961" s="88"/>
      <c r="AN961" s="157" t="s">
        <v>774</v>
      </c>
    </row>
    <row r="962" spans="2:40" ht="23.15" customHeight="1" thickBot="1">
      <c r="B962" s="87"/>
      <c r="C962" s="2" t="s">
        <v>292</v>
      </c>
      <c r="D962" s="15" t="s">
        <v>21</v>
      </c>
      <c r="E962" s="20" t="s">
        <v>25</v>
      </c>
      <c r="F962" s="20" t="s">
        <v>41</v>
      </c>
      <c r="G962" s="11">
        <v>29</v>
      </c>
      <c r="H962" s="11"/>
      <c r="I962" s="18" t="s">
        <v>294</v>
      </c>
      <c r="J962" s="18" t="s">
        <v>294</v>
      </c>
      <c r="K962" s="19">
        <v>189181.28389419883</v>
      </c>
      <c r="L962" s="41"/>
      <c r="M962" s="41" t="s">
        <v>294</v>
      </c>
      <c r="N962" s="41"/>
      <c r="O962" s="41" t="s">
        <v>294</v>
      </c>
      <c r="P962" s="41" t="s">
        <v>301</v>
      </c>
      <c r="Q962" s="43"/>
      <c r="R962" s="43"/>
      <c r="S962" s="43"/>
      <c r="T962" s="43"/>
      <c r="U962" s="19"/>
      <c r="V962" s="13">
        <f t="shared" si="101"/>
        <v>189181.28389419883</v>
      </c>
      <c r="W962" s="13"/>
      <c r="X962" s="13"/>
      <c r="Y962" s="13"/>
      <c r="Z962" s="261"/>
      <c r="AA962" s="22">
        <v>45931</v>
      </c>
      <c r="AB962" s="22" cm="1">
        <f t="array" ref="AB9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62" s="4"/>
      <c r="AD962" s="4"/>
      <c r="AE962" s="2"/>
      <c r="AF962" s="3"/>
      <c r="AG962" s="3"/>
      <c r="AH962" s="3"/>
      <c r="AI962" s="3"/>
      <c r="AJ962" s="2">
        <f t="shared" si="102"/>
        <v>0</v>
      </c>
      <c r="AK962" s="2">
        <f t="shared" si="104"/>
        <v>0</v>
      </c>
      <c r="AL962" s="2">
        <f t="shared" si="103"/>
        <v>0</v>
      </c>
      <c r="AM962" s="88"/>
      <c r="AN962" s="157" t="s">
        <v>774</v>
      </c>
    </row>
    <row r="963" spans="2:40" ht="23.15" customHeight="1" thickBot="1">
      <c r="B963" s="87">
        <v>45909</v>
      </c>
      <c r="C963" s="2" t="s">
        <v>295</v>
      </c>
      <c r="D963" s="15" t="s">
        <v>21</v>
      </c>
      <c r="E963" s="20" t="s">
        <v>26</v>
      </c>
      <c r="F963" s="20" t="s">
        <v>41</v>
      </c>
      <c r="G963" s="11">
        <v>4</v>
      </c>
      <c r="H963" s="11">
        <v>4</v>
      </c>
      <c r="I963" s="18">
        <v>0</v>
      </c>
      <c r="J963" s="18">
        <v>0</v>
      </c>
      <c r="K963" s="19">
        <v>23179.89</v>
      </c>
      <c r="L963" s="41">
        <v>0</v>
      </c>
      <c r="M963" s="41">
        <v>0</v>
      </c>
      <c r="N963" s="41">
        <v>0</v>
      </c>
      <c r="O963" s="41">
        <v>0</v>
      </c>
      <c r="P963" s="41">
        <v>-289.75</v>
      </c>
      <c r="Q963" s="43">
        <v>0</v>
      </c>
      <c r="R963" s="43">
        <v>0</v>
      </c>
      <c r="S963" s="43">
        <v>0</v>
      </c>
      <c r="T963" s="43">
        <v>0</v>
      </c>
      <c r="U963" s="19" t="s">
        <v>295</v>
      </c>
      <c r="V963" s="13">
        <f t="shared" si="101"/>
        <v>22890.14</v>
      </c>
      <c r="W963" s="13"/>
      <c r="X963" s="13"/>
      <c r="Y963" s="13"/>
      <c r="Z963" s="13"/>
      <c r="AA963" s="22">
        <v>45870</v>
      </c>
      <c r="AB963" s="22" cm="1">
        <f t="array" ref="AB9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63" s="4"/>
      <c r="AD963" s="4"/>
      <c r="AE963" s="2"/>
      <c r="AF963" s="3"/>
      <c r="AG963" s="3"/>
      <c r="AH963" s="3"/>
      <c r="AI963" s="3"/>
      <c r="AJ963" s="2">
        <f t="shared" si="102"/>
        <v>0</v>
      </c>
      <c r="AK963" s="2">
        <f t="shared" si="104"/>
        <v>0</v>
      </c>
      <c r="AL963" s="2">
        <f t="shared" si="103"/>
        <v>289.75</v>
      </c>
      <c r="AM963" s="88"/>
      <c r="AN963" s="157" t="s">
        <v>774</v>
      </c>
    </row>
    <row r="964" spans="2:40" ht="23.15" customHeight="1" thickBot="1">
      <c r="B964" s="87">
        <v>45936</v>
      </c>
      <c r="C964" s="2" t="s">
        <v>295</v>
      </c>
      <c r="D964" s="15" t="s">
        <v>21</v>
      </c>
      <c r="E964" s="20" t="s">
        <v>26</v>
      </c>
      <c r="F964" s="20" t="s">
        <v>41</v>
      </c>
      <c r="G964" s="11">
        <v>4</v>
      </c>
      <c r="H964" s="11">
        <v>4</v>
      </c>
      <c r="I964" s="18">
        <v>0</v>
      </c>
      <c r="J964" s="18">
        <v>0</v>
      </c>
      <c r="K964" s="19">
        <v>25771.06060299306</v>
      </c>
      <c r="L964" s="41">
        <v>0</v>
      </c>
      <c r="M964" s="41">
        <v>0</v>
      </c>
      <c r="N964" s="41">
        <v>0</v>
      </c>
      <c r="O964" s="41">
        <v>0</v>
      </c>
      <c r="P964" s="41">
        <v>-270.43</v>
      </c>
      <c r="Q964" s="41">
        <v>0</v>
      </c>
      <c r="R964" s="41">
        <v>0</v>
      </c>
      <c r="S964" s="41">
        <v>0</v>
      </c>
      <c r="T964" s="41">
        <v>0</v>
      </c>
      <c r="U964" s="19" t="s">
        <v>295</v>
      </c>
      <c r="V964" s="13">
        <f t="shared" si="101"/>
        <v>25500.63060299306</v>
      </c>
      <c r="W964" s="13"/>
      <c r="X964" s="13"/>
      <c r="Y964" s="13">
        <f>SUBTOTAL(109,Tabela1[Retroativo])</f>
        <v>2907.6091956360833</v>
      </c>
      <c r="Z964" s="13" t="s">
        <v>302</v>
      </c>
      <c r="AA964" s="22">
        <v>45901</v>
      </c>
      <c r="AB964" s="22" cm="1">
        <f t="array" ref="AB9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64" s="4"/>
      <c r="AD964" s="4"/>
      <c r="AE964" s="2"/>
      <c r="AF964" s="3"/>
      <c r="AG964" s="3"/>
      <c r="AH964" s="3"/>
      <c r="AI964" s="3"/>
      <c r="AJ964" s="2">
        <f t="shared" si="102"/>
        <v>0</v>
      </c>
      <c r="AK964" s="2">
        <f t="shared" si="104"/>
        <v>0</v>
      </c>
      <c r="AL964" s="2">
        <f t="shared" si="103"/>
        <v>270.43000000000029</v>
      </c>
      <c r="AM964" s="88"/>
      <c r="AN964" s="157" t="s">
        <v>774</v>
      </c>
    </row>
    <row r="965" spans="2:40" ht="23.15" customHeight="1" thickBot="1">
      <c r="B965" s="87"/>
      <c r="C965" s="2" t="s">
        <v>292</v>
      </c>
      <c r="D965" s="15" t="s">
        <v>21</v>
      </c>
      <c r="E965" s="20" t="s">
        <v>26</v>
      </c>
      <c r="F965" s="20" t="s">
        <v>41</v>
      </c>
      <c r="G965" s="11">
        <v>4</v>
      </c>
      <c r="H965" s="11"/>
      <c r="I965" s="18" t="s">
        <v>294</v>
      </c>
      <c r="J965" s="18" t="s">
        <v>294</v>
      </c>
      <c r="K965" s="19">
        <v>25771.06060299306</v>
      </c>
      <c r="L965" s="41"/>
      <c r="M965" s="41" t="s">
        <v>294</v>
      </c>
      <c r="N965" s="41"/>
      <c r="O965" s="41" t="s">
        <v>294</v>
      </c>
      <c r="P965" s="41" t="s">
        <v>301</v>
      </c>
      <c r="Q965" s="41"/>
      <c r="R965" s="41"/>
      <c r="S965" s="41"/>
      <c r="T965" s="41"/>
      <c r="U965" s="19"/>
      <c r="V965" s="13">
        <f t="shared" si="101"/>
        <v>25771.06060299306</v>
      </c>
      <c r="W965" s="13"/>
      <c r="X965" s="13"/>
      <c r="Y965" s="13"/>
      <c r="Z965" s="13"/>
      <c r="AA965" s="22">
        <v>45931</v>
      </c>
      <c r="AB965" s="22" cm="1">
        <f t="array" ref="AB9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65" s="4"/>
      <c r="AD965" s="4"/>
      <c r="AE965" s="2"/>
      <c r="AF965" s="3"/>
      <c r="AG965" s="3"/>
      <c r="AH965" s="3"/>
      <c r="AI965" s="3"/>
      <c r="AJ965" s="2">
        <f t="shared" si="102"/>
        <v>0</v>
      </c>
      <c r="AK965" s="2">
        <f t="shared" si="104"/>
        <v>0</v>
      </c>
      <c r="AL965" s="2">
        <f t="shared" si="103"/>
        <v>0</v>
      </c>
      <c r="AM965" s="88"/>
      <c r="AN965" s="157" t="s">
        <v>774</v>
      </c>
    </row>
    <row r="966" spans="2:40" ht="23.15" customHeight="1" thickBot="1">
      <c r="B966" s="87">
        <v>45909</v>
      </c>
      <c r="C966" s="2" t="s">
        <v>295</v>
      </c>
      <c r="D966" s="15" t="s">
        <v>21</v>
      </c>
      <c r="E966" s="20" t="s">
        <v>31</v>
      </c>
      <c r="F966" s="20" t="s">
        <v>40</v>
      </c>
      <c r="G966" s="11">
        <v>23</v>
      </c>
      <c r="H966" s="11">
        <v>24</v>
      </c>
      <c r="I966" s="18">
        <v>0</v>
      </c>
      <c r="J966" s="18">
        <v>0</v>
      </c>
      <c r="K966" s="19">
        <v>112345.65</v>
      </c>
      <c r="L966" s="41">
        <v>0</v>
      </c>
      <c r="M966" s="41">
        <v>0</v>
      </c>
      <c r="N966" s="41">
        <v>0</v>
      </c>
      <c r="O966" s="41">
        <v>0</v>
      </c>
      <c r="P966" s="41">
        <v>0</v>
      </c>
      <c r="Q966" s="41">
        <v>0</v>
      </c>
      <c r="R966" s="41">
        <v>0</v>
      </c>
      <c r="S966" s="41">
        <v>0</v>
      </c>
      <c r="T966" s="41">
        <v>0</v>
      </c>
      <c r="U966" s="19"/>
      <c r="V966" s="13">
        <f t="shared" si="101"/>
        <v>112345.65</v>
      </c>
      <c r="W966" s="13"/>
      <c r="X966" s="13"/>
      <c r="Y966" s="13"/>
      <c r="Z966" s="13"/>
      <c r="AA966" s="22">
        <v>45870</v>
      </c>
      <c r="AB966" s="22" cm="1">
        <f t="array" ref="AB9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66" s="4"/>
      <c r="AD966" s="4"/>
      <c r="AE966" s="2"/>
      <c r="AF966" s="3"/>
      <c r="AG966" s="3"/>
      <c r="AH966" s="3"/>
      <c r="AI966" s="3"/>
      <c r="AJ966" s="2">
        <f t="shared" si="102"/>
        <v>0</v>
      </c>
      <c r="AK966" s="2">
        <f t="shared" si="104"/>
        <v>0</v>
      </c>
      <c r="AL966" s="2">
        <f t="shared" si="103"/>
        <v>0</v>
      </c>
      <c r="AM966" s="88"/>
      <c r="AN966" s="157" t="s">
        <v>774</v>
      </c>
    </row>
    <row r="967" spans="2:40" ht="23.15" customHeight="1" thickBot="1">
      <c r="B967" s="87">
        <v>45936</v>
      </c>
      <c r="C967" s="2" t="s">
        <v>295</v>
      </c>
      <c r="D967" s="15" t="s">
        <v>21</v>
      </c>
      <c r="E967" s="20" t="s">
        <v>31</v>
      </c>
      <c r="F967" s="20" t="s">
        <v>40</v>
      </c>
      <c r="G967" s="11">
        <v>23</v>
      </c>
      <c r="H967" s="11">
        <v>24</v>
      </c>
      <c r="I967" s="18">
        <v>0</v>
      </c>
      <c r="J967" s="18">
        <v>25.5</v>
      </c>
      <c r="K967" s="19">
        <v>112345.65</v>
      </c>
      <c r="L967" s="41">
        <v>0</v>
      </c>
      <c r="M967" s="41">
        <v>0</v>
      </c>
      <c r="N967" s="41">
        <v>0</v>
      </c>
      <c r="O967" s="41">
        <v>-517.45500000000004</v>
      </c>
      <c r="P967" s="41">
        <v>0</v>
      </c>
      <c r="Q967" s="43">
        <v>0</v>
      </c>
      <c r="R967" s="43">
        <v>-1079</v>
      </c>
      <c r="S967" s="43">
        <v>0</v>
      </c>
      <c r="T967" s="43">
        <v>0</v>
      </c>
      <c r="U967" s="19" t="s">
        <v>295</v>
      </c>
      <c r="V967" s="13">
        <f t="shared" si="101"/>
        <v>110749.19499999999</v>
      </c>
      <c r="W967" s="13"/>
      <c r="X967" s="13"/>
      <c r="Y967" s="13">
        <v>2591.1706029930574</v>
      </c>
      <c r="Z967" s="13"/>
      <c r="AA967" s="22">
        <v>45901</v>
      </c>
      <c r="AB967" s="22" cm="1">
        <f t="array" ref="AB9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67" s="4"/>
      <c r="AD967" s="4"/>
      <c r="AE967" s="2"/>
      <c r="AF967" s="3"/>
      <c r="AG967" s="3"/>
      <c r="AH967" s="3"/>
      <c r="AI967" s="3"/>
      <c r="AJ967" s="2">
        <f t="shared" si="102"/>
        <v>0</v>
      </c>
      <c r="AK967" s="2">
        <f t="shared" si="104"/>
        <v>0</v>
      </c>
      <c r="AL967" s="2">
        <f t="shared" si="103"/>
        <v>1596.4550000000017</v>
      </c>
      <c r="AM967" s="88"/>
      <c r="AN967" s="157" t="s">
        <v>774</v>
      </c>
    </row>
    <row r="968" spans="2:40" ht="23.15" customHeight="1" thickBot="1">
      <c r="B968" s="87"/>
      <c r="C968" s="2" t="s">
        <v>292</v>
      </c>
      <c r="D968" s="15" t="s">
        <v>21</v>
      </c>
      <c r="E968" s="20" t="s">
        <v>31</v>
      </c>
      <c r="F968" s="20" t="s">
        <v>40</v>
      </c>
      <c r="G968" s="11">
        <v>23</v>
      </c>
      <c r="H968" s="11"/>
      <c r="I968" s="18" t="s">
        <v>294</v>
      </c>
      <c r="J968" s="18" t="s">
        <v>294</v>
      </c>
      <c r="K968" s="19">
        <v>112345.65</v>
      </c>
      <c r="L968" s="41"/>
      <c r="M968" s="41" t="s">
        <v>294</v>
      </c>
      <c r="N968" s="41"/>
      <c r="O968" s="41" t="s">
        <v>294</v>
      </c>
      <c r="P968" s="41" t="s">
        <v>301</v>
      </c>
      <c r="Q968" s="43"/>
      <c r="R968" s="43"/>
      <c r="S968" s="43"/>
      <c r="T968" s="43"/>
      <c r="U968" s="19"/>
      <c r="V968" s="13">
        <f t="shared" si="101"/>
        <v>112345.65</v>
      </c>
      <c r="W968" s="13"/>
      <c r="X968" s="13"/>
      <c r="Y968" s="13">
        <v>2591.1706029930574</v>
      </c>
      <c r="Z968" s="13"/>
      <c r="AA968" s="22">
        <v>45931</v>
      </c>
      <c r="AB968" s="22" cm="1">
        <f t="array" ref="AB9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68" s="4"/>
      <c r="AD968" s="4"/>
      <c r="AE968" s="2"/>
      <c r="AF968" s="3"/>
      <c r="AG968" s="3"/>
      <c r="AH968" s="3"/>
      <c r="AI968" s="3"/>
      <c r="AJ968" s="2">
        <f t="shared" si="102"/>
        <v>0</v>
      </c>
      <c r="AK968" s="2">
        <f t="shared" si="104"/>
        <v>0</v>
      </c>
      <c r="AL968" s="2">
        <f t="shared" si="103"/>
        <v>0</v>
      </c>
      <c r="AM968" s="88"/>
      <c r="AN968" s="157" t="s">
        <v>774</v>
      </c>
    </row>
    <row r="969" spans="2:40" ht="23.15" customHeight="1" thickBot="1">
      <c r="B969" s="87">
        <v>45909</v>
      </c>
      <c r="C969" s="2" t="s">
        <v>295</v>
      </c>
      <c r="D969" s="15" t="s">
        <v>21</v>
      </c>
      <c r="E969" s="20" t="s">
        <v>32</v>
      </c>
      <c r="F969" s="20" t="s">
        <v>40</v>
      </c>
      <c r="G969" s="11">
        <v>15</v>
      </c>
      <c r="H969" s="11">
        <v>18</v>
      </c>
      <c r="I969" s="18">
        <v>0</v>
      </c>
      <c r="J969" s="18">
        <v>0</v>
      </c>
      <c r="K969" s="19">
        <v>134113.76999999999</v>
      </c>
      <c r="L969" s="41">
        <v>0</v>
      </c>
      <c r="M969" s="41">
        <v>0</v>
      </c>
      <c r="N969" s="41">
        <v>0</v>
      </c>
      <c r="O969" s="41">
        <v>0</v>
      </c>
      <c r="P969" s="41">
        <v>0</v>
      </c>
      <c r="Q969" s="43">
        <v>0</v>
      </c>
      <c r="R969" s="43">
        <v>0</v>
      </c>
      <c r="S969" s="43">
        <v>0</v>
      </c>
      <c r="T969" s="43">
        <v>0</v>
      </c>
      <c r="U969" s="19"/>
      <c r="V969" s="13">
        <f t="shared" si="101"/>
        <v>134113.76999999999</v>
      </c>
      <c r="W969" s="13"/>
      <c r="X969" s="13"/>
      <c r="Y969" s="13"/>
      <c r="Z969" s="13"/>
      <c r="AA969" s="22">
        <v>45870</v>
      </c>
      <c r="AB969" s="22" cm="1">
        <f t="array" ref="AB9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69" s="4">
        <v>2087.6799999999998</v>
      </c>
      <c r="AD969" s="4">
        <v>1756.59</v>
      </c>
      <c r="AE969" s="2"/>
      <c r="AF969" s="3"/>
      <c r="AG969" s="3"/>
      <c r="AH969" s="3"/>
      <c r="AI969" s="3"/>
      <c r="AJ969" s="2">
        <f t="shared" si="102"/>
        <v>0</v>
      </c>
      <c r="AK969" s="2">
        <f t="shared" si="104"/>
        <v>331.08999999999992</v>
      </c>
      <c r="AL969" s="2">
        <f t="shared" si="103"/>
        <v>0</v>
      </c>
      <c r="AM969" s="88"/>
      <c r="AN969" s="157" t="s">
        <v>774</v>
      </c>
    </row>
    <row r="970" spans="2:40" ht="23.15" customHeight="1" thickBot="1">
      <c r="B970" s="87">
        <v>45936</v>
      </c>
      <c r="C970" s="2" t="s">
        <v>295</v>
      </c>
      <c r="D970" s="15" t="s">
        <v>21</v>
      </c>
      <c r="E970" s="20" t="s">
        <v>32</v>
      </c>
      <c r="F970" s="20" t="s">
        <v>40</v>
      </c>
      <c r="G970" s="11">
        <v>15</v>
      </c>
      <c r="H970" s="11">
        <v>18</v>
      </c>
      <c r="I970" s="18">
        <v>0</v>
      </c>
      <c r="J970" s="18">
        <v>0</v>
      </c>
      <c r="K970" s="19">
        <v>134113.76999999999</v>
      </c>
      <c r="L970" s="41">
        <v>0</v>
      </c>
      <c r="M970" s="41">
        <v>0</v>
      </c>
      <c r="N970" s="41">
        <v>0</v>
      </c>
      <c r="O970" s="41">
        <v>0</v>
      </c>
      <c r="P970" s="41">
        <v>0</v>
      </c>
      <c r="Q970" s="43">
        <v>0</v>
      </c>
      <c r="R970" s="43">
        <v>0</v>
      </c>
      <c r="S970" s="43">
        <v>0</v>
      </c>
      <c r="T970" s="43">
        <v>0</v>
      </c>
      <c r="U970" s="19" t="s">
        <v>295</v>
      </c>
      <c r="V970" s="13">
        <f t="shared" si="101"/>
        <v>134113.76999999999</v>
      </c>
      <c r="W970" s="13"/>
      <c r="X970" s="13"/>
      <c r="Y970" s="13">
        <v>2558.7808167508811</v>
      </c>
      <c r="Z970" s="13"/>
      <c r="AA970" s="22">
        <v>45901</v>
      </c>
      <c r="AB970" s="22" cm="1">
        <f t="array" ref="AB9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70" s="4"/>
      <c r="AD970" s="4">
        <v>1423.67</v>
      </c>
      <c r="AE970" s="2"/>
      <c r="AF970" s="3"/>
      <c r="AG970" s="3"/>
      <c r="AH970" s="3"/>
      <c r="AI970" s="3"/>
      <c r="AJ970" s="2">
        <f t="shared" si="102"/>
        <v>0</v>
      </c>
      <c r="AK970" s="2">
        <f t="shared" si="104"/>
        <v>-1423.67</v>
      </c>
      <c r="AL970" s="2">
        <f t="shared" si="103"/>
        <v>0</v>
      </c>
      <c r="AM970" s="88"/>
      <c r="AN970" s="157" t="s">
        <v>774</v>
      </c>
    </row>
    <row r="971" spans="2:40" ht="23.15" customHeight="1" thickBot="1">
      <c r="B971" s="87"/>
      <c r="C971" s="2" t="s">
        <v>292</v>
      </c>
      <c r="D971" s="15" t="s">
        <v>21</v>
      </c>
      <c r="E971" s="20" t="s">
        <v>32</v>
      </c>
      <c r="F971" s="20" t="s">
        <v>40</v>
      </c>
      <c r="G971" s="11">
        <v>15</v>
      </c>
      <c r="H971" s="11"/>
      <c r="I971" s="18" t="s">
        <v>294</v>
      </c>
      <c r="J971" s="18" t="s">
        <v>294</v>
      </c>
      <c r="K971" s="19">
        <v>134113.76999999999</v>
      </c>
      <c r="L971" s="41"/>
      <c r="M971" s="41" t="s">
        <v>294</v>
      </c>
      <c r="N971" s="41"/>
      <c r="O971" s="41" t="s">
        <v>294</v>
      </c>
      <c r="P971" s="41" t="s">
        <v>301</v>
      </c>
      <c r="Q971" s="43"/>
      <c r="R971" s="43"/>
      <c r="S971" s="43"/>
      <c r="T971" s="43"/>
      <c r="U971" s="19"/>
      <c r="V971" s="13">
        <f t="shared" si="101"/>
        <v>134113.76999999999</v>
      </c>
      <c r="W971" s="13"/>
      <c r="X971" s="13"/>
      <c r="Y971" s="13">
        <v>2558.7808167508811</v>
      </c>
      <c r="Z971" s="13"/>
      <c r="AA971" s="22">
        <v>45931</v>
      </c>
      <c r="AB971" s="22" cm="1">
        <f t="array" ref="AB9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71" s="4"/>
      <c r="AD971" s="4"/>
      <c r="AE971" s="2"/>
      <c r="AF971" s="3"/>
      <c r="AG971" s="3"/>
      <c r="AH971" s="3"/>
      <c r="AI971" s="3"/>
      <c r="AJ971" s="2">
        <f t="shared" si="102"/>
        <v>0</v>
      </c>
      <c r="AK971" s="2">
        <f t="shared" si="104"/>
        <v>0</v>
      </c>
      <c r="AL971" s="2">
        <f t="shared" si="103"/>
        <v>0</v>
      </c>
      <c r="AM971" s="88"/>
      <c r="AN971" s="157" t="s">
        <v>774</v>
      </c>
    </row>
    <row r="972" spans="2:40" ht="23.15" customHeight="1" thickBot="1">
      <c r="B972" s="87"/>
      <c r="C972" s="2"/>
      <c r="D972" s="15" t="s">
        <v>21</v>
      </c>
      <c r="E972" s="20" t="s">
        <v>28</v>
      </c>
      <c r="F972" s="20" t="s">
        <v>95</v>
      </c>
      <c r="G972" s="11">
        <v>19</v>
      </c>
      <c r="H972" s="11"/>
      <c r="I972" s="18"/>
      <c r="J972" s="18"/>
      <c r="K972" s="10"/>
      <c r="L972" s="41"/>
      <c r="M972" s="43"/>
      <c r="N972" s="41"/>
      <c r="O972" s="41"/>
      <c r="P972" s="41"/>
      <c r="Q972" s="43"/>
      <c r="R972" s="43"/>
      <c r="S972" s="43"/>
      <c r="T972" s="43"/>
      <c r="U972" s="19"/>
      <c r="V972" s="13">
        <f t="shared" ref="V972:V977" si="105">IFERROR((K972+M972+R972+S972+T972+O972)+IF(U972="Sim",P972+Q972,0),(K972+R972+S972+T972)+IF(U972="Sim",P972+Q972,0))</f>
        <v>0</v>
      </c>
      <c r="W972" s="13"/>
      <c r="X972" s="13"/>
      <c r="Y972" s="13"/>
      <c r="Z972" s="13"/>
      <c r="AA972" s="22">
        <v>45962</v>
      </c>
      <c r="AB972" s="22" cm="1">
        <f t="array" ref="AB9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2" s="4"/>
      <c r="AD972" s="4"/>
      <c r="AE972" s="2"/>
      <c r="AF972" s="3"/>
      <c r="AG972" s="3"/>
      <c r="AH972" s="3"/>
      <c r="AI972" s="3"/>
      <c r="AJ972" s="2">
        <f t="shared" ref="AJ972:AJ977" si="106">IFERROR(L972-M972,0)</f>
        <v>0</v>
      </c>
      <c r="AK972" s="2">
        <f t="shared" ref="AK972:AK977" si="107">AC972-AD972</f>
        <v>0</v>
      </c>
      <c r="AL972" s="2">
        <f t="shared" ref="AL972:AL977" si="108">K972-V972</f>
        <v>0</v>
      </c>
      <c r="AM972" s="88"/>
      <c r="AN972" s="157" t="s">
        <v>774</v>
      </c>
    </row>
    <row r="973" spans="2:40" ht="23.15" customHeight="1" thickBot="1">
      <c r="B973" s="87"/>
      <c r="C973" s="2"/>
      <c r="D973" s="15" t="s">
        <v>21</v>
      </c>
      <c r="E973" s="20" t="s">
        <v>30</v>
      </c>
      <c r="F973" s="20" t="s">
        <v>40</v>
      </c>
      <c r="G973" s="11">
        <v>54</v>
      </c>
      <c r="H973" s="11"/>
      <c r="I973" s="18"/>
      <c r="J973" s="18"/>
      <c r="K973" s="10"/>
      <c r="L973" s="41"/>
      <c r="M973" s="43"/>
      <c r="N973" s="41"/>
      <c r="O973" s="41"/>
      <c r="P973" s="41"/>
      <c r="Q973" s="43"/>
      <c r="R973" s="43"/>
      <c r="S973" s="43"/>
      <c r="T973" s="43"/>
      <c r="U973" s="19"/>
      <c r="V973" s="13">
        <f t="shared" si="105"/>
        <v>0</v>
      </c>
      <c r="W973" s="13"/>
      <c r="X973" s="13"/>
      <c r="Y973" s="13"/>
      <c r="Z973" s="13"/>
      <c r="AA973" s="22">
        <v>45962</v>
      </c>
      <c r="AB973" s="22" cm="1">
        <f t="array" ref="AB9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3" s="4"/>
      <c r="AD973" s="4"/>
      <c r="AE973" s="2"/>
      <c r="AF973" s="3"/>
      <c r="AG973" s="3"/>
      <c r="AH973" s="3"/>
      <c r="AI973" s="3"/>
      <c r="AJ973" s="2">
        <f t="shared" si="106"/>
        <v>0</v>
      </c>
      <c r="AK973" s="2">
        <f t="shared" si="107"/>
        <v>0</v>
      </c>
      <c r="AL973" s="2">
        <f t="shared" si="108"/>
        <v>0</v>
      </c>
      <c r="AM973" s="88"/>
      <c r="AN973" s="157" t="s">
        <v>774</v>
      </c>
    </row>
    <row r="974" spans="2:40" ht="23.15" customHeight="1" thickBot="1">
      <c r="B974" s="87"/>
      <c r="C974" s="2"/>
      <c r="D974" s="15" t="s">
        <v>21</v>
      </c>
      <c r="E974" s="20" t="s">
        <v>25</v>
      </c>
      <c r="F974" s="20" t="s">
        <v>41</v>
      </c>
      <c r="G974" s="11">
        <v>29</v>
      </c>
      <c r="H974" s="11"/>
      <c r="I974" s="18"/>
      <c r="J974" s="18"/>
      <c r="K974" s="10"/>
      <c r="L974" s="41"/>
      <c r="M974" s="43"/>
      <c r="N974" s="41"/>
      <c r="O974" s="41"/>
      <c r="P974" s="41"/>
      <c r="Q974" s="43"/>
      <c r="R974" s="43"/>
      <c r="S974" s="43"/>
      <c r="T974" s="43"/>
      <c r="U974" s="19"/>
      <c r="V974" s="13">
        <f t="shared" si="105"/>
        <v>0</v>
      </c>
      <c r="W974" s="13"/>
      <c r="X974" s="13"/>
      <c r="Y974" s="13">
        <v>84541.43</v>
      </c>
      <c r="Z974" s="13" t="s">
        <v>302</v>
      </c>
      <c r="AA974" s="22">
        <v>45962</v>
      </c>
      <c r="AB974" s="22" cm="1">
        <f t="array" ref="AB9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4" s="4"/>
      <c r="AD974" s="4"/>
      <c r="AE974" s="2"/>
      <c r="AF974" s="3"/>
      <c r="AG974" s="3"/>
      <c r="AH974" s="3"/>
      <c r="AI974" s="3"/>
      <c r="AJ974" s="2">
        <f t="shared" si="106"/>
        <v>0</v>
      </c>
      <c r="AK974" s="2">
        <f t="shared" si="107"/>
        <v>0</v>
      </c>
      <c r="AL974" s="2">
        <f t="shared" si="108"/>
        <v>0</v>
      </c>
      <c r="AM974" s="88"/>
      <c r="AN974" s="157" t="s">
        <v>774</v>
      </c>
    </row>
    <row r="975" spans="2:40" ht="23.15" customHeight="1" thickBot="1">
      <c r="B975" s="87"/>
      <c r="C975" s="2"/>
      <c r="D975" s="15" t="s">
        <v>21</v>
      </c>
      <c r="E975" s="20" t="s">
        <v>26</v>
      </c>
      <c r="F975" s="20" t="s">
        <v>41</v>
      </c>
      <c r="G975" s="11">
        <v>4</v>
      </c>
      <c r="H975" s="11"/>
      <c r="I975" s="18"/>
      <c r="J975" s="18"/>
      <c r="K975" s="10"/>
      <c r="L975" s="41"/>
      <c r="M975" s="41"/>
      <c r="N975" s="41"/>
      <c r="O975" s="41"/>
      <c r="P975" s="41"/>
      <c r="Q975" s="43"/>
      <c r="R975" s="43"/>
      <c r="S975" s="43"/>
      <c r="T975" s="43"/>
      <c r="U975" s="19"/>
      <c r="V975" s="13">
        <f t="shared" si="105"/>
        <v>0</v>
      </c>
      <c r="W975" s="13"/>
      <c r="X975" s="13"/>
      <c r="Y975" s="13"/>
      <c r="Z975" s="13"/>
      <c r="AA975" s="22">
        <v>45962</v>
      </c>
      <c r="AB975" s="22" cm="1">
        <f t="array" ref="AB9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5" s="4"/>
      <c r="AD975" s="4"/>
      <c r="AE975" s="2"/>
      <c r="AF975" s="3"/>
      <c r="AG975" s="3"/>
      <c r="AH975" s="3"/>
      <c r="AI975" s="3"/>
      <c r="AJ975" s="2">
        <f t="shared" si="106"/>
        <v>0</v>
      </c>
      <c r="AK975" s="2">
        <f t="shared" si="107"/>
        <v>0</v>
      </c>
      <c r="AL975" s="2">
        <f t="shared" si="108"/>
        <v>0</v>
      </c>
      <c r="AM975" s="88"/>
      <c r="AN975" s="157" t="s">
        <v>774</v>
      </c>
    </row>
    <row r="976" spans="2:40" ht="23.15" customHeight="1" thickBot="1">
      <c r="B976" s="87"/>
      <c r="C976" s="2"/>
      <c r="D976" s="15" t="s">
        <v>21</v>
      </c>
      <c r="E976" s="20" t="s">
        <v>31</v>
      </c>
      <c r="F976" s="20" t="s">
        <v>40</v>
      </c>
      <c r="G976" s="11">
        <v>23</v>
      </c>
      <c r="H976" s="11"/>
      <c r="I976" s="18"/>
      <c r="J976" s="18"/>
      <c r="K976" s="10"/>
      <c r="L976" s="41"/>
      <c r="M976" s="41"/>
      <c r="N976" s="41"/>
      <c r="O976" s="41"/>
      <c r="P976" s="41"/>
      <c r="Q976" s="41"/>
      <c r="R976" s="41"/>
      <c r="S976" s="41"/>
      <c r="T976" s="41"/>
      <c r="U976" s="19"/>
      <c r="V976" s="13">
        <f t="shared" si="105"/>
        <v>0</v>
      </c>
      <c r="W976" s="13"/>
      <c r="X976" s="13"/>
      <c r="Y976" s="13">
        <v>2591.1706029930574</v>
      </c>
      <c r="Z976" s="13"/>
      <c r="AA976" s="22">
        <v>45962</v>
      </c>
      <c r="AB976" s="22" cm="1">
        <f t="array" ref="AB9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6" s="4"/>
      <c r="AD976" s="4"/>
      <c r="AE976" s="2"/>
      <c r="AF976" s="3"/>
      <c r="AG976" s="3"/>
      <c r="AH976" s="3"/>
      <c r="AI976" s="3"/>
      <c r="AJ976" s="2">
        <f t="shared" si="106"/>
        <v>0</v>
      </c>
      <c r="AK976" s="2">
        <f t="shared" si="107"/>
        <v>0</v>
      </c>
      <c r="AL976" s="2">
        <f t="shared" si="108"/>
        <v>0</v>
      </c>
      <c r="AM976" s="88"/>
      <c r="AN976" s="157" t="s">
        <v>774</v>
      </c>
    </row>
    <row r="977" spans="2:40" ht="23.15" customHeight="1" thickBot="1">
      <c r="B977" s="87"/>
      <c r="C977" s="2"/>
      <c r="D977" s="15" t="s">
        <v>21</v>
      </c>
      <c r="E977" s="20" t="s">
        <v>32</v>
      </c>
      <c r="F977" s="20" t="s">
        <v>40</v>
      </c>
      <c r="G977" s="11">
        <v>15</v>
      </c>
      <c r="H977" s="11"/>
      <c r="I977" s="18"/>
      <c r="J977" s="18"/>
      <c r="K977" s="10"/>
      <c r="L977" s="41"/>
      <c r="M977" s="41"/>
      <c r="N977" s="41"/>
      <c r="O977" s="41"/>
      <c r="P977" s="41"/>
      <c r="Q977" s="43"/>
      <c r="R977" s="43"/>
      <c r="S977" s="43"/>
      <c r="T977" s="43"/>
      <c r="U977" s="19"/>
      <c r="V977" s="13">
        <f t="shared" si="105"/>
        <v>0</v>
      </c>
      <c r="W977" s="13"/>
      <c r="X977" s="13"/>
      <c r="Y977" s="13">
        <v>2558.7808167508811</v>
      </c>
      <c r="Z977" s="13"/>
      <c r="AA977" s="22">
        <v>45962</v>
      </c>
      <c r="AB977" s="22" cm="1">
        <f t="array" ref="AB9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7" s="4"/>
      <c r="AD977" s="4"/>
      <c r="AE977" s="2"/>
      <c r="AF977" s="3"/>
      <c r="AG977" s="3"/>
      <c r="AH977" s="3"/>
      <c r="AI977" s="3"/>
      <c r="AJ977" s="2">
        <f t="shared" si="106"/>
        <v>0</v>
      </c>
      <c r="AK977" s="2">
        <f t="shared" si="107"/>
        <v>0</v>
      </c>
      <c r="AL977" s="2">
        <f t="shared" si="108"/>
        <v>0</v>
      </c>
      <c r="AM977" s="88"/>
      <c r="AN977" s="157" t="s">
        <v>774</v>
      </c>
    </row>
    <row r="978" spans="2:40" ht="23.15" customHeight="1" thickBot="1">
      <c r="B978" s="87"/>
      <c r="C978" s="2"/>
      <c r="D978" s="15" t="s">
        <v>21</v>
      </c>
      <c r="E978" s="20" t="s">
        <v>28</v>
      </c>
      <c r="F978" s="20" t="s">
        <v>95</v>
      </c>
      <c r="G978" s="11">
        <v>19</v>
      </c>
      <c r="H978" s="11"/>
      <c r="I978" s="18"/>
      <c r="J978" s="18"/>
      <c r="K978" s="10"/>
      <c r="L978" s="41"/>
      <c r="M978" s="41"/>
      <c r="N978" s="41"/>
      <c r="O978" s="41"/>
      <c r="P978" s="41"/>
      <c r="Q978" s="41"/>
      <c r="R978" s="41"/>
      <c r="S978" s="41"/>
      <c r="T978" s="41"/>
      <c r="U978" s="19"/>
      <c r="V978" s="13">
        <f t="shared" si="101"/>
        <v>0</v>
      </c>
      <c r="W978" s="13"/>
      <c r="X978" s="13"/>
      <c r="Y978" s="13"/>
      <c r="Z978" s="13"/>
      <c r="AA978" s="22">
        <v>45992</v>
      </c>
      <c r="AB978" s="22" cm="1">
        <f t="array" ref="AB9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78" s="4"/>
      <c r="AD978" s="4"/>
      <c r="AE978" s="2"/>
      <c r="AF978" s="3"/>
      <c r="AG978" s="3"/>
      <c r="AH978" s="3"/>
      <c r="AI978" s="3"/>
      <c r="AJ978" s="2">
        <f t="shared" si="102"/>
        <v>0</v>
      </c>
      <c r="AK978" s="2">
        <f t="shared" ref="AK978:AK985" si="109">AC978-AD978</f>
        <v>0</v>
      </c>
      <c r="AL978" s="2">
        <f t="shared" si="103"/>
        <v>0</v>
      </c>
      <c r="AM978" s="88"/>
      <c r="AN978" s="157" t="s">
        <v>774</v>
      </c>
    </row>
    <row r="979" spans="2:40" ht="23.15" customHeight="1" thickBot="1">
      <c r="B979" s="87"/>
      <c r="C979" s="2"/>
      <c r="D979" s="15" t="s">
        <v>21</v>
      </c>
      <c r="E979" s="20" t="s">
        <v>30</v>
      </c>
      <c r="F979" s="20" t="s">
        <v>40</v>
      </c>
      <c r="G979" s="11">
        <v>54</v>
      </c>
      <c r="H979" s="11"/>
      <c r="I979" s="18"/>
      <c r="J979" s="18"/>
      <c r="K979" s="19"/>
      <c r="L979" s="41"/>
      <c r="M979" s="41"/>
      <c r="N979" s="41"/>
      <c r="O979" s="41"/>
      <c r="P979" s="41"/>
      <c r="Q979" s="43"/>
      <c r="R979" s="43"/>
      <c r="S979" s="43"/>
      <c r="T979" s="43"/>
      <c r="U979" s="19"/>
      <c r="V979" s="13">
        <f t="shared" si="101"/>
        <v>0</v>
      </c>
      <c r="W979" s="13"/>
      <c r="X979" s="13"/>
      <c r="Y979" s="13"/>
      <c r="Z979" s="13"/>
      <c r="AA979" s="22">
        <v>45992</v>
      </c>
      <c r="AB979" s="22" cm="1">
        <f t="array" ref="AB9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79" s="4"/>
      <c r="AD979" s="4"/>
      <c r="AE979" s="2"/>
      <c r="AF979" s="3"/>
      <c r="AG979" s="3"/>
      <c r="AH979" s="3"/>
      <c r="AI979" s="3"/>
      <c r="AJ979" s="2">
        <f t="shared" si="102"/>
        <v>0</v>
      </c>
      <c r="AK979" s="2">
        <f t="shared" si="109"/>
        <v>0</v>
      </c>
      <c r="AL979" s="2">
        <f t="shared" si="103"/>
        <v>0</v>
      </c>
      <c r="AM979" s="88"/>
      <c r="AN979" s="157" t="s">
        <v>774</v>
      </c>
    </row>
    <row r="980" spans="2:40" ht="23.15" customHeight="1" thickBot="1">
      <c r="B980" s="87"/>
      <c r="C980" s="2"/>
      <c r="D980" s="15" t="s">
        <v>21</v>
      </c>
      <c r="E980" s="20" t="s">
        <v>25</v>
      </c>
      <c r="F980" s="20" t="s">
        <v>41</v>
      </c>
      <c r="G980" s="11">
        <v>29</v>
      </c>
      <c r="H980" s="11"/>
      <c r="I980" s="18"/>
      <c r="J980" s="18"/>
      <c r="K980" s="19"/>
      <c r="L980" s="41"/>
      <c r="M980" s="41"/>
      <c r="N980" s="41"/>
      <c r="O980" s="41"/>
      <c r="P980" s="41"/>
      <c r="Q980" s="43"/>
      <c r="R980" s="43"/>
      <c r="S980" s="43"/>
      <c r="T980" s="43"/>
      <c r="U980" s="19"/>
      <c r="V980" s="13">
        <f t="shared" si="101"/>
        <v>0</v>
      </c>
      <c r="W980" s="13"/>
      <c r="X980" s="13"/>
      <c r="Y980" s="13"/>
      <c r="Z980" s="13"/>
      <c r="AA980" s="22">
        <v>45992</v>
      </c>
      <c r="AB980" s="22" cm="1">
        <f t="array" ref="AB9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80" s="4"/>
      <c r="AD980" s="4"/>
      <c r="AE980" s="2"/>
      <c r="AF980" s="3"/>
      <c r="AG980" s="3"/>
      <c r="AH980" s="3"/>
      <c r="AI980" s="3"/>
      <c r="AJ980" s="2">
        <f t="shared" si="102"/>
        <v>0</v>
      </c>
      <c r="AK980" s="2">
        <f t="shared" si="109"/>
        <v>0</v>
      </c>
      <c r="AL980" s="2">
        <f t="shared" si="103"/>
        <v>0</v>
      </c>
      <c r="AM980" s="88"/>
      <c r="AN980" s="157" t="s">
        <v>774</v>
      </c>
    </row>
    <row r="981" spans="2:40" ht="23.15" customHeight="1" thickBot="1">
      <c r="B981" s="87"/>
      <c r="C981" s="2"/>
      <c r="D981" s="15" t="s">
        <v>21</v>
      </c>
      <c r="E981" s="20" t="s">
        <v>26</v>
      </c>
      <c r="F981" s="20" t="s">
        <v>41</v>
      </c>
      <c r="G981" s="11">
        <v>4</v>
      </c>
      <c r="H981" s="11"/>
      <c r="I981" s="18"/>
      <c r="J981" s="18"/>
      <c r="K981" s="19"/>
      <c r="L981" s="41"/>
      <c r="M981" s="41"/>
      <c r="N981" s="41"/>
      <c r="O981" s="41"/>
      <c r="P981" s="41"/>
      <c r="Q981" s="43"/>
      <c r="R981" s="43"/>
      <c r="S981" s="43"/>
      <c r="T981" s="43"/>
      <c r="U981" s="19"/>
      <c r="V981" s="13">
        <f t="shared" si="101"/>
        <v>0</v>
      </c>
      <c r="W981" s="13"/>
      <c r="X981" s="13"/>
      <c r="Y981" s="13"/>
      <c r="Z981" s="13"/>
      <c r="AA981" s="22">
        <v>45992</v>
      </c>
      <c r="AB981" s="22" cm="1">
        <f t="array" ref="AB9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81" s="4"/>
      <c r="AD981" s="4"/>
      <c r="AE981" s="2"/>
      <c r="AF981" s="3"/>
      <c r="AG981" s="3"/>
      <c r="AH981" s="3"/>
      <c r="AI981" s="3"/>
      <c r="AJ981" s="2">
        <f t="shared" si="102"/>
        <v>0</v>
      </c>
      <c r="AK981" s="2">
        <f t="shared" si="109"/>
        <v>0</v>
      </c>
      <c r="AL981" s="2">
        <f t="shared" si="103"/>
        <v>0</v>
      </c>
      <c r="AM981" s="88"/>
      <c r="AN981" s="157" t="s">
        <v>774</v>
      </c>
    </row>
    <row r="982" spans="2:40" ht="23.15" customHeight="1" thickBot="1">
      <c r="B982" s="87"/>
      <c r="C982" s="2"/>
      <c r="D982" s="15" t="s">
        <v>21</v>
      </c>
      <c r="E982" s="20" t="s">
        <v>31</v>
      </c>
      <c r="F982" s="20" t="s">
        <v>40</v>
      </c>
      <c r="G982" s="11">
        <v>23</v>
      </c>
      <c r="H982" s="11"/>
      <c r="I982" s="18"/>
      <c r="J982" s="18"/>
      <c r="K982" s="19"/>
      <c r="L982" s="41"/>
      <c r="M982" s="41"/>
      <c r="N982" s="41"/>
      <c r="O982" s="41"/>
      <c r="P982" s="41"/>
      <c r="Q982" s="43"/>
      <c r="R982" s="43"/>
      <c r="S982" s="43"/>
      <c r="T982" s="43"/>
      <c r="U982" s="19"/>
      <c r="V982" s="13">
        <f t="shared" si="101"/>
        <v>0</v>
      </c>
      <c r="W982" s="13"/>
      <c r="X982" s="13"/>
      <c r="Y982" s="13">
        <v>2591.1706029930574</v>
      </c>
      <c r="Z982" s="13"/>
      <c r="AA982" s="22">
        <v>45992</v>
      </c>
      <c r="AB982" s="22" cm="1">
        <f t="array" ref="AB9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82" s="4"/>
      <c r="AD982" s="4"/>
      <c r="AE982" s="2"/>
      <c r="AF982" s="3"/>
      <c r="AG982" s="3"/>
      <c r="AH982" s="3"/>
      <c r="AI982" s="3"/>
      <c r="AJ982" s="2">
        <f t="shared" si="102"/>
        <v>0</v>
      </c>
      <c r="AK982" s="2">
        <f t="shared" si="109"/>
        <v>0</v>
      </c>
      <c r="AL982" s="2">
        <f t="shared" si="103"/>
        <v>0</v>
      </c>
      <c r="AM982" s="88"/>
      <c r="AN982" s="157" t="s">
        <v>774</v>
      </c>
    </row>
    <row r="983" spans="2:40" ht="23.15" customHeight="1" thickBot="1">
      <c r="B983" s="89"/>
      <c r="C983" s="90"/>
      <c r="D983" s="91" t="s">
        <v>21</v>
      </c>
      <c r="E983" s="29" t="s">
        <v>32</v>
      </c>
      <c r="F983" s="29" t="s">
        <v>40</v>
      </c>
      <c r="G983" s="25">
        <v>15</v>
      </c>
      <c r="H983" s="25"/>
      <c r="I983" s="92"/>
      <c r="J983" s="92"/>
      <c r="K983" s="93"/>
      <c r="L983" s="94"/>
      <c r="M983" s="18" t="s">
        <v>294</v>
      </c>
      <c r="N983" s="41"/>
      <c r="O983" s="41" t="s">
        <v>294</v>
      </c>
      <c r="P983" s="94"/>
      <c r="Q983" s="95"/>
      <c r="R983" s="95"/>
      <c r="S983" s="95"/>
      <c r="T983" s="95"/>
      <c r="U983" s="93"/>
      <c r="V983" s="13">
        <f t="shared" si="101"/>
        <v>0</v>
      </c>
      <c r="W983" s="30"/>
      <c r="X983" s="30"/>
      <c r="Y983" s="30">
        <v>2558.7808167508811</v>
      </c>
      <c r="Z983" s="13" t="s">
        <v>302</v>
      </c>
      <c r="AA983" s="31">
        <v>45992</v>
      </c>
      <c r="AB983" s="22" cm="1">
        <f t="array" ref="AB9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83" s="12"/>
      <c r="AD983" s="12"/>
      <c r="AE983" s="90"/>
      <c r="AF983" s="96"/>
      <c r="AG983" s="96"/>
      <c r="AH983" s="96"/>
      <c r="AI983" s="96"/>
      <c r="AJ983" s="90">
        <f t="shared" si="102"/>
        <v>0</v>
      </c>
      <c r="AK983" s="90">
        <f t="shared" si="109"/>
        <v>0</v>
      </c>
      <c r="AL983" s="90">
        <f t="shared" si="103"/>
        <v>0</v>
      </c>
      <c r="AM983" s="97"/>
      <c r="AN983" s="157" t="s">
        <v>774</v>
      </c>
    </row>
    <row r="984" spans="2:40" ht="20.9" customHeight="1" thickBot="1">
      <c r="B984" s="89"/>
      <c r="C984" s="90"/>
      <c r="D984" s="91"/>
      <c r="E984" s="29"/>
      <c r="F984" s="29"/>
      <c r="G984" s="25"/>
      <c r="H984" s="25"/>
      <c r="I984" s="92"/>
      <c r="J984" s="92"/>
      <c r="K984" s="93"/>
      <c r="L984" s="94"/>
      <c r="M984" s="94"/>
      <c r="N984" s="94"/>
      <c r="O984" s="41"/>
      <c r="P984" s="94"/>
      <c r="Q984" s="95"/>
      <c r="R984" s="95"/>
      <c r="S984" s="95"/>
      <c r="T984" s="95"/>
      <c r="U984" s="93"/>
      <c r="V984" s="30">
        <f t="shared" ref="V984:V985" si="110">IFERROR((K984+M984+R984+S984+T984+O984)+IF(U984="Sim",P984+Q984,0),(K984+R984+S984+T984)+IF(U984="Sim",P984+Q984,0))</f>
        <v>0</v>
      </c>
      <c r="W984" s="30"/>
      <c r="X984" s="30"/>
      <c r="Y984" s="30"/>
      <c r="Z984" s="30"/>
      <c r="AA984" s="31"/>
      <c r="AB984" s="31" cm="1">
        <f t="array" ref="AB9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31</v>
      </c>
      <c r="AC984" s="12"/>
      <c r="AD984" s="12"/>
      <c r="AE984" s="90"/>
      <c r="AF984" s="96"/>
      <c r="AG984" s="96"/>
      <c r="AH984" s="96"/>
      <c r="AI984" s="96"/>
      <c r="AJ984" s="90">
        <f t="shared" si="102"/>
        <v>0</v>
      </c>
      <c r="AK984" s="90">
        <f t="shared" si="109"/>
        <v>0</v>
      </c>
      <c r="AL984" s="90">
        <f t="shared" si="103"/>
        <v>0</v>
      </c>
      <c r="AM984" s="97"/>
      <c r="AN984" s="157" t="s">
        <v>774</v>
      </c>
    </row>
    <row r="985" spans="2:40" ht="20.9" customHeight="1" thickBot="1">
      <c r="B985" s="89">
        <v>45938</v>
      </c>
      <c r="C985" s="90" t="s">
        <v>295</v>
      </c>
      <c r="D985" s="91" t="s">
        <v>12</v>
      </c>
      <c r="E985" s="29" t="s">
        <v>32</v>
      </c>
      <c r="F985" s="29" t="s">
        <v>40</v>
      </c>
      <c r="G985" s="25">
        <v>14</v>
      </c>
      <c r="H985" s="25">
        <v>14</v>
      </c>
      <c r="I985" s="92">
        <v>0</v>
      </c>
      <c r="J985" s="92">
        <v>0</v>
      </c>
      <c r="K985" s="19">
        <v>546815.06999999995</v>
      </c>
      <c r="L985" s="94">
        <v>0</v>
      </c>
      <c r="M985" s="94">
        <v>0</v>
      </c>
      <c r="N985" s="94">
        <v>0</v>
      </c>
      <c r="O985" s="41">
        <v>0</v>
      </c>
      <c r="P985" s="41" t="s">
        <v>293</v>
      </c>
      <c r="Q985" s="95"/>
      <c r="R985" s="95">
        <v>0</v>
      </c>
      <c r="S985" s="95"/>
      <c r="T985" s="95"/>
      <c r="U985" s="93"/>
      <c r="V985" s="30">
        <f t="shared" si="110"/>
        <v>546815.06999999995</v>
      </c>
      <c r="W985" s="346">
        <v>2.8000000000000001E-2</v>
      </c>
      <c r="X985" s="347">
        <f>IF(K985="","",V985*(1+W985))</f>
        <v>562125.89195999992</v>
      </c>
      <c r="Y985" s="30"/>
      <c r="Z985" s="30"/>
      <c r="AA985" s="31">
        <v>45931</v>
      </c>
      <c r="AB985" s="31" cm="1">
        <f t="array" ref="AB9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85" s="12"/>
      <c r="AD985" s="12"/>
      <c r="AE985" s="90"/>
      <c r="AF985" s="96"/>
      <c r="AG985" s="96"/>
      <c r="AH985" s="96"/>
      <c r="AI985" s="96"/>
      <c r="AJ985" s="90">
        <f t="shared" si="102"/>
        <v>0</v>
      </c>
      <c r="AK985" s="90">
        <f t="shared" si="109"/>
        <v>0</v>
      </c>
      <c r="AL985" s="90">
        <f t="shared" si="103"/>
        <v>0</v>
      </c>
      <c r="AM985" s="97"/>
      <c r="AN985" s="157" t="s">
        <v>774</v>
      </c>
    </row>
    <row r="989" spans="2:40" ht="20.9" customHeight="1">
      <c r="Y989" s="37"/>
    </row>
    <row r="996" spans="1:11" ht="20.9" customHeight="1">
      <c r="K996"/>
    </row>
    <row r="1004" spans="1:11" ht="20.9" customHeight="1">
      <c r="A1004" s="143" t="s">
        <v>773</v>
      </c>
    </row>
  </sheetData>
  <sortState xmlns:xlrd2="http://schemas.microsoft.com/office/spreadsheetml/2017/richdata2" ref="C2:AA983">
    <sortCondition ref="D2:D983"/>
    <sortCondition ref="E2:E983"/>
    <sortCondition ref="AA2:AA983"/>
  </sortState>
  <phoneticPr fontId="5" type="noConversion"/>
  <conditionalFormatting sqref="I11">
    <cfRule type="cellIs" dxfId="585" priority="302" operator="equal">
      <formula>"Informação pendente"</formula>
    </cfRule>
    <cfRule type="cellIs" dxfId="584" priority="300" operator="equal">
      <formula>""</formula>
    </cfRule>
    <cfRule type="cellIs" dxfId="583" priority="299" operator="lessThan">
      <formula>0</formula>
    </cfRule>
  </conditionalFormatting>
  <conditionalFormatting sqref="I39">
    <cfRule type="cellIs" dxfId="582" priority="272" operator="equal">
      <formula>""</formula>
    </cfRule>
    <cfRule type="cellIs" dxfId="581" priority="271" operator="equal">
      <formula>"Informação pendente"</formula>
    </cfRule>
  </conditionalFormatting>
  <conditionalFormatting sqref="I56">
    <cfRule type="cellIs" dxfId="580" priority="1276" operator="equal">
      <formula>""</formula>
    </cfRule>
    <cfRule type="cellIs" dxfId="579" priority="1274" operator="lessThan">
      <formula>0</formula>
    </cfRule>
    <cfRule type="cellIs" dxfId="578" priority="1275" operator="equal">
      <formula>"Informação pendente"</formula>
    </cfRule>
  </conditionalFormatting>
  <conditionalFormatting sqref="I58:I60">
    <cfRule type="cellIs" dxfId="577" priority="1256" operator="lessThan">
      <formula>0</formula>
    </cfRule>
    <cfRule type="cellIs" dxfId="576" priority="1257" operator="equal">
      <formula>"Informação pendente"</formula>
    </cfRule>
    <cfRule type="cellIs" dxfId="575" priority="1258" operator="equal">
      <formula>""</formula>
    </cfRule>
  </conditionalFormatting>
  <conditionalFormatting sqref="I63">
    <cfRule type="cellIs" dxfId="574" priority="329" operator="equal">
      <formula>"Informação pendente"</formula>
    </cfRule>
    <cfRule type="cellIs" dxfId="573" priority="330" operator="equal">
      <formula>""</formula>
    </cfRule>
  </conditionalFormatting>
  <conditionalFormatting sqref="I78:I80 O199:T221 M215:M216 O241:T241 O242:S242 O243:T245 O267:T268 O269:Q269 S269:T269 O299:P299 O301:P301 P588:P589 S680:S701 T681:T701 P682:R684 Q685:R701 T942:T959 Q948:S958 Q959:T975">
    <cfRule type="cellIs" dxfId="572" priority="1325" operator="lessThan">
      <formula>0</formula>
    </cfRule>
  </conditionalFormatting>
  <conditionalFormatting sqref="I80 I932:J983">
    <cfRule type="cellIs" dxfId="571" priority="1327" operator="equal">
      <formula>"Informação pendente"</formula>
    </cfRule>
    <cfRule type="cellIs" dxfId="570" priority="1326" operator="equal">
      <formula>""</formula>
    </cfRule>
  </conditionalFormatting>
  <conditionalFormatting sqref="I135">
    <cfRule type="cellIs" dxfId="569" priority="1422" operator="lessThan">
      <formula>0</formula>
    </cfRule>
    <cfRule type="cellIs" dxfId="568" priority="1423" operator="equal">
      <formula>""</formula>
    </cfRule>
    <cfRule type="cellIs" dxfId="567" priority="1425" operator="equal">
      <formula>"Informação pendente"</formula>
    </cfRule>
  </conditionalFormatting>
  <conditionalFormatting sqref="I138:I143">
    <cfRule type="cellIs" dxfId="566" priority="1213" operator="equal">
      <formula>""</formula>
    </cfRule>
    <cfRule type="cellIs" dxfId="565" priority="1212" operator="equal">
      <formula>"Informação pendente"</formula>
    </cfRule>
    <cfRule type="cellIs" dxfId="564" priority="1211" operator="lessThan">
      <formula>0</formula>
    </cfRule>
  </conditionalFormatting>
  <conditionalFormatting sqref="I224">
    <cfRule type="cellIs" dxfId="563" priority="1409" operator="equal">
      <formula>"Informação pendente"</formula>
    </cfRule>
    <cfRule type="cellIs" dxfId="562" priority="1406" operator="lessThan">
      <formula>0</formula>
    </cfRule>
    <cfRule type="cellIs" dxfId="561" priority="1407" operator="equal">
      <formula>""</formula>
    </cfRule>
  </conditionalFormatting>
  <conditionalFormatting sqref="I229:I231">
    <cfRule type="cellIs" dxfId="560" priority="1197" operator="equal">
      <formula>"Informação pendente"</formula>
    </cfRule>
    <cfRule type="cellIs" dxfId="559" priority="1196" operator="lessThan">
      <formula>0</formula>
    </cfRule>
    <cfRule type="cellIs" dxfId="558" priority="1198" operator="equal">
      <formula>""</formula>
    </cfRule>
  </conditionalFormatting>
  <conditionalFormatting sqref="I233">
    <cfRule type="cellIs" dxfId="557" priority="1190" operator="lessThan">
      <formula>0</formula>
    </cfRule>
    <cfRule type="cellIs" dxfId="556" priority="1192" operator="equal">
      <formula>""</formula>
    </cfRule>
    <cfRule type="cellIs" dxfId="555" priority="1191" operator="equal">
      <formula>"Informação pendente"</formula>
    </cfRule>
  </conditionalFormatting>
  <conditionalFormatting sqref="I238">
    <cfRule type="cellIs" dxfId="554" priority="1181" operator="lessThan">
      <formula>0</formula>
    </cfRule>
    <cfRule type="cellIs" dxfId="553" priority="1183" operator="equal">
      <formula>""</formula>
    </cfRule>
    <cfRule type="cellIs" dxfId="552" priority="1182" operator="equal">
      <formula>"Informação pendente"</formula>
    </cfRule>
  </conditionalFormatting>
  <conditionalFormatting sqref="I243">
    <cfRule type="cellIs" dxfId="551" priority="240" operator="equal">
      <formula>""</formula>
    </cfRule>
    <cfRule type="cellIs" dxfId="550" priority="239" operator="equal">
      <formula>"Informação pendente"</formula>
    </cfRule>
  </conditionalFormatting>
  <conditionalFormatting sqref="I246:I248 R604:T604 Q605:T611 Q612">
    <cfRule type="cellIs" dxfId="549" priority="1322" operator="lessThan">
      <formula>0</formula>
    </cfRule>
  </conditionalFormatting>
  <conditionalFormatting sqref="I248">
    <cfRule type="cellIs" dxfId="548" priority="1323" operator="equal">
      <formula>""</formula>
    </cfRule>
    <cfRule type="cellIs" dxfId="547" priority="1324" operator="equal">
      <formula>"Informação pendente"</formula>
    </cfRule>
  </conditionalFormatting>
  <conditionalFormatting sqref="I271:I297 I304:I325 I527 I529:I570 I572:I586 I588:I618 I620:I621 I626 I628:I630 I634 I636:I639 I641:I656">
    <cfRule type="cellIs" dxfId="546" priority="1117" operator="equal">
      <formula>""</formula>
    </cfRule>
    <cfRule type="cellIs" dxfId="545" priority="1116" operator="equal">
      <formula>"Informação pendente"</formula>
    </cfRule>
  </conditionalFormatting>
  <conditionalFormatting sqref="I319:I321 I323">
    <cfRule type="cellIs" dxfId="544" priority="1166" operator="lessThan">
      <formula>0</formula>
    </cfRule>
  </conditionalFormatting>
  <conditionalFormatting sqref="I327:I519">
    <cfRule type="cellIs" dxfId="543" priority="118" operator="equal">
      <formula>"Informação pendente"</formula>
    </cfRule>
    <cfRule type="cellIs" dxfId="542" priority="119" operator="equal">
      <formula>""</formula>
    </cfRule>
  </conditionalFormatting>
  <conditionalFormatting sqref="I346">
    <cfRule type="cellIs" dxfId="541" priority="1319" operator="lessThan">
      <formula>0</formula>
    </cfRule>
  </conditionalFormatting>
  <conditionalFormatting sqref="I358">
    <cfRule type="cellIs" dxfId="540" priority="1286" operator="lessThan">
      <formula>0</formula>
    </cfRule>
  </conditionalFormatting>
  <conditionalFormatting sqref="I417:I426">
    <cfRule type="cellIs" dxfId="539" priority="960" operator="lessThan">
      <formula>0</formula>
    </cfRule>
  </conditionalFormatting>
  <conditionalFormatting sqref="I438">
    <cfRule type="cellIs" dxfId="538" priority="1398" operator="lessThan">
      <formula>0</formula>
    </cfRule>
  </conditionalFormatting>
  <conditionalFormatting sqref="I467:I519">
    <cfRule type="cellIs" dxfId="537" priority="117" operator="lessThan">
      <formula>0</formula>
    </cfRule>
  </conditionalFormatting>
  <conditionalFormatting sqref="I521:I523">
    <cfRule type="cellIs" dxfId="536" priority="111" operator="lessThan">
      <formula>0</formula>
    </cfRule>
    <cfRule type="cellIs" dxfId="535" priority="112" operator="equal">
      <formula>"Informação pendente"</formula>
    </cfRule>
    <cfRule type="cellIs" dxfId="534" priority="113" operator="equal">
      <formula>""</formula>
    </cfRule>
  </conditionalFormatting>
  <conditionalFormatting sqref="I525">
    <cfRule type="cellIs" dxfId="533" priority="102" operator="lessThan">
      <formula>0</formula>
    </cfRule>
    <cfRule type="cellIs" dxfId="532" priority="103" operator="equal">
      <formula>"Informação pendente"</formula>
    </cfRule>
    <cfRule type="cellIs" dxfId="531" priority="104" operator="equal">
      <formula>""</formula>
    </cfRule>
  </conditionalFormatting>
  <conditionalFormatting sqref="I527 I529:I570 I572:I586 I588:I618 I620:I621 I626 I628:I630 I634 I636:I639 I641:I656">
    <cfRule type="cellIs" dxfId="530" priority="965" operator="lessThan">
      <formula>0</formula>
    </cfRule>
  </conditionalFormatting>
  <conditionalFormatting sqref="I658:I746 I748:I912">
    <cfRule type="cellIs" dxfId="529" priority="655" operator="lessThan">
      <formula>0</formula>
    </cfRule>
  </conditionalFormatting>
  <conditionalFormatting sqref="I658:I912">
    <cfRule type="cellIs" dxfId="528" priority="264" operator="equal">
      <formula>""</formula>
    </cfRule>
    <cfRule type="cellIs" dxfId="527" priority="263" operator="equal">
      <formula>"Informação pendente"</formula>
    </cfRule>
  </conditionalFormatting>
  <conditionalFormatting sqref="I928">
    <cfRule type="cellIs" dxfId="526" priority="1759" operator="lessThan">
      <formula>0</formula>
    </cfRule>
  </conditionalFormatting>
  <conditionalFormatting sqref="I931">
    <cfRule type="cellIs" dxfId="525" priority="1333" operator="equal">
      <formula>"Informação pendente"</formula>
    </cfRule>
    <cfRule type="cellIs" dxfId="524" priority="1331" operator="lessThan">
      <formula>0</formula>
    </cfRule>
    <cfRule type="cellIs" dxfId="523" priority="1332" operator="equal">
      <formula>""</formula>
    </cfRule>
  </conditionalFormatting>
  <conditionalFormatting sqref="I952:I958">
    <cfRule type="cellIs" dxfId="522" priority="1107" operator="lessThan">
      <formula>0</formula>
    </cfRule>
  </conditionalFormatting>
  <conditionalFormatting sqref="I2:J10 N2:N142 I12:J38 I40:J55 I57:J57 I61:J62 I64:J79 I81:J134 I136:J137 I144:J223 N147:N326 Q214:T241 O214:O269 I225:J228 I232:J232 I234:J237 I239:J242 Q242:S242 Q243:T247 I244:J247 I249:J270 I298:J298 O298:O301 O305:O985 P591 Q592:T603 R604:T604 Q605:T611 Q612 Q636:T766 Q938:T959 M959:N959 Q961:T975">
    <cfRule type="cellIs" dxfId="521" priority="1479" operator="equal">
      <formula>"Informação pendente"</formula>
    </cfRule>
  </conditionalFormatting>
  <conditionalFormatting sqref="I30:J30">
    <cfRule type="cellIs" dxfId="520" priority="1795" operator="lessThan">
      <formula>0</formula>
    </cfRule>
  </conditionalFormatting>
  <conditionalFormatting sqref="I42:J43 I222:J223 J307:J308 J442">
    <cfRule type="cellIs" dxfId="519" priority="1522" operator="lessThan">
      <formula>0</formula>
    </cfRule>
  </conditionalFormatting>
  <conditionalFormatting sqref="I67:J67">
    <cfRule type="cellIs" dxfId="518" priority="1498" operator="lessThan">
      <formula>0</formula>
    </cfRule>
  </conditionalFormatting>
  <conditionalFormatting sqref="I162:J162">
    <cfRule type="cellIs" dxfId="517" priority="1789" operator="lessThan">
      <formula>0</formula>
    </cfRule>
  </conditionalFormatting>
  <conditionalFormatting sqref="I520:J520">
    <cfRule type="cellIs" dxfId="516" priority="507" operator="equal">
      <formula>""</formula>
    </cfRule>
    <cfRule type="cellIs" dxfId="515" priority="506" operator="equal">
      <formula>"Informação pendente"</formula>
    </cfRule>
  </conditionalFormatting>
  <conditionalFormatting sqref="I524:J524 I526:J526 I528:J528 I571:J571">
    <cfRule type="cellIs" dxfId="514" priority="505" operator="equal">
      <formula>""</formula>
    </cfRule>
    <cfRule type="cellIs" dxfId="513" priority="504" operator="equal">
      <formula>"Informação pendente"</formula>
    </cfRule>
  </conditionalFormatting>
  <conditionalFormatting sqref="I587:J587">
    <cfRule type="cellIs" dxfId="512" priority="503" operator="equal">
      <formula>""</formula>
    </cfRule>
    <cfRule type="cellIs" dxfId="511" priority="502" operator="equal">
      <formula>"Informação pendente"</formula>
    </cfRule>
  </conditionalFormatting>
  <conditionalFormatting sqref="I619:J619 I622:J625 I627:J627 I631:J633 I635:J635 I640:J640 I657:J657">
    <cfRule type="cellIs" dxfId="510" priority="501" operator="equal">
      <formula>""</formula>
    </cfRule>
    <cfRule type="cellIs" dxfId="509" priority="500" operator="equal">
      <formula>"Informação pendente"</formula>
    </cfRule>
  </conditionalFormatting>
  <conditionalFormatting sqref="I929:J929">
    <cfRule type="cellIs" dxfId="508" priority="1497" operator="lessThan">
      <formula>0</formula>
    </cfRule>
  </conditionalFormatting>
  <conditionalFormatting sqref="J11">
    <cfRule type="cellIs" dxfId="507" priority="306" operator="equal">
      <formula>"Informação pendente"</formula>
    </cfRule>
    <cfRule type="cellIs" dxfId="506" priority="304" operator="equal">
      <formula>""</formula>
    </cfRule>
    <cfRule type="cellIs" dxfId="505" priority="303" operator="lessThan">
      <formula>0</formula>
    </cfRule>
  </conditionalFormatting>
  <conditionalFormatting sqref="J39">
    <cfRule type="cellIs" dxfId="504" priority="273" operator="equal">
      <formula>"Informação pendente"</formula>
    </cfRule>
    <cfRule type="cellIs" dxfId="503" priority="274" operator="equal">
      <formula>""</formula>
    </cfRule>
  </conditionalFormatting>
  <conditionalFormatting sqref="J56">
    <cfRule type="cellIs" dxfId="502" priority="1272" operator="equal">
      <formula>"Informação pendente"</formula>
    </cfRule>
    <cfRule type="cellIs" dxfId="501" priority="1273" operator="equal">
      <formula>""</formula>
    </cfRule>
    <cfRule type="cellIs" dxfId="500" priority="1271" operator="lessThan">
      <formula>0</formula>
    </cfRule>
  </conditionalFormatting>
  <conditionalFormatting sqref="J58:J60">
    <cfRule type="cellIs" dxfId="499" priority="1253" operator="lessThan">
      <formula>0</formula>
    </cfRule>
    <cfRule type="cellIs" dxfId="498" priority="1254" operator="equal">
      <formula>"Informação pendente"</formula>
    </cfRule>
    <cfRule type="cellIs" dxfId="497" priority="1255" operator="equal">
      <formula>""</formula>
    </cfRule>
  </conditionalFormatting>
  <conditionalFormatting sqref="J63">
    <cfRule type="cellIs" dxfId="496" priority="331" operator="equal">
      <formula>"Informação pendente"</formula>
    </cfRule>
    <cfRule type="cellIs" dxfId="495" priority="332" operator="equal">
      <formula>""</formula>
    </cfRule>
  </conditionalFormatting>
  <conditionalFormatting sqref="J78:J80">
    <cfRule type="cellIs" dxfId="494" priority="1304" operator="lessThan">
      <formula>0</formula>
    </cfRule>
  </conditionalFormatting>
  <conditionalFormatting sqref="J80">
    <cfRule type="cellIs" dxfId="493" priority="1306" operator="equal">
      <formula>"Informação pendente"</formula>
    </cfRule>
    <cfRule type="cellIs" dxfId="492" priority="1305" operator="equal">
      <formula>""</formula>
    </cfRule>
  </conditionalFormatting>
  <conditionalFormatting sqref="J102:J103">
    <cfRule type="cellIs" dxfId="491" priority="1791" operator="lessThan">
      <formula>0</formula>
    </cfRule>
  </conditionalFormatting>
  <conditionalFormatting sqref="J135">
    <cfRule type="cellIs" dxfId="490" priority="1418" operator="lessThan">
      <formula>0</formula>
    </cfRule>
    <cfRule type="cellIs" dxfId="489" priority="1419" operator="equal">
      <formula>""</formula>
    </cfRule>
    <cfRule type="cellIs" dxfId="488" priority="1421" operator="equal">
      <formula>"Informação pendente"</formula>
    </cfRule>
  </conditionalFormatting>
  <conditionalFormatting sqref="J138:J143">
    <cfRule type="cellIs" dxfId="487" priority="1216" operator="equal">
      <formula>""</formula>
    </cfRule>
    <cfRule type="cellIs" dxfId="486" priority="1214" operator="lessThan">
      <formula>0</formula>
    </cfRule>
    <cfRule type="cellIs" dxfId="485" priority="1215" operator="equal">
      <formula>"Informação pendente"</formula>
    </cfRule>
  </conditionalFormatting>
  <conditionalFormatting sqref="J224">
    <cfRule type="cellIs" dxfId="484" priority="1403" operator="equal">
      <formula>""</formula>
    </cfRule>
    <cfRule type="cellIs" dxfId="483" priority="1405" operator="equal">
      <formula>"Informação pendente"</formula>
    </cfRule>
    <cfRule type="cellIs" dxfId="482" priority="1402" operator="lessThan">
      <formula>0</formula>
    </cfRule>
  </conditionalFormatting>
  <conditionalFormatting sqref="J229:J231">
    <cfRule type="cellIs" dxfId="481" priority="1195" operator="equal">
      <formula>""</formula>
    </cfRule>
    <cfRule type="cellIs" dxfId="480" priority="1193" operator="lessThan">
      <formula>0</formula>
    </cfRule>
    <cfRule type="cellIs" dxfId="479" priority="1194" operator="equal">
      <formula>"Informação pendente"</formula>
    </cfRule>
  </conditionalFormatting>
  <conditionalFormatting sqref="J233">
    <cfRule type="cellIs" dxfId="478" priority="1187" operator="lessThan">
      <formula>0</formula>
    </cfRule>
    <cfRule type="cellIs" dxfId="477" priority="1188" operator="equal">
      <formula>"Informação pendente"</formula>
    </cfRule>
    <cfRule type="cellIs" dxfId="476" priority="1189" operator="equal">
      <formula>""</formula>
    </cfRule>
  </conditionalFormatting>
  <conditionalFormatting sqref="J238">
    <cfRule type="cellIs" dxfId="475" priority="1185" operator="equal">
      <formula>"Informação pendente"</formula>
    </cfRule>
    <cfRule type="cellIs" dxfId="474" priority="1184" operator="lessThan">
      <formula>0</formula>
    </cfRule>
    <cfRule type="cellIs" dxfId="473" priority="1186" operator="equal">
      <formula>""</formula>
    </cfRule>
  </conditionalFormatting>
  <conditionalFormatting sqref="J243">
    <cfRule type="cellIs" dxfId="472" priority="237" operator="equal">
      <formula>"Informação pendente"</formula>
    </cfRule>
    <cfRule type="cellIs" dxfId="471" priority="238" operator="equal">
      <formula>""</formula>
    </cfRule>
  </conditionalFormatting>
  <conditionalFormatting sqref="J246:J248">
    <cfRule type="cellIs" dxfId="470" priority="1307" operator="lessThan">
      <formula>0</formula>
    </cfRule>
  </conditionalFormatting>
  <conditionalFormatting sqref="J248">
    <cfRule type="cellIs" dxfId="469" priority="1309" operator="equal">
      <formula>"Informação pendente"</formula>
    </cfRule>
    <cfRule type="cellIs" dxfId="468" priority="1308" operator="equal">
      <formula>""</formula>
    </cfRule>
  </conditionalFormatting>
  <conditionalFormatting sqref="J271:J297 J303:J325 J527 J529:J570 J620:J621 J626 J628:J630 J634 J636:J639">
    <cfRule type="cellIs" dxfId="467" priority="791" operator="equal">
      <formula>"Informação pendente"</formula>
    </cfRule>
    <cfRule type="cellIs" dxfId="466" priority="792" operator="equal">
      <formula>""</formula>
    </cfRule>
  </conditionalFormatting>
  <conditionalFormatting sqref="J319:J321 J323">
    <cfRule type="cellIs" dxfId="465" priority="1151" operator="lessThan">
      <formula>0</formula>
    </cfRule>
  </conditionalFormatting>
  <conditionalFormatting sqref="J327:J519">
    <cfRule type="cellIs" dxfId="464" priority="121" operator="equal">
      <formula>"Informação pendente"</formula>
    </cfRule>
    <cfRule type="cellIs" dxfId="463" priority="122" operator="equal">
      <formula>""</formula>
    </cfRule>
  </conditionalFormatting>
  <conditionalFormatting sqref="J344:J346">
    <cfRule type="cellIs" dxfId="462" priority="1310" operator="lessThan">
      <formula>0</formula>
    </cfRule>
  </conditionalFormatting>
  <conditionalFormatting sqref="J356">
    <cfRule type="cellIs" dxfId="461" priority="1782" operator="lessThan">
      <formula>0</formula>
    </cfRule>
  </conditionalFormatting>
  <conditionalFormatting sqref="J358">
    <cfRule type="cellIs" dxfId="460" priority="1487" operator="lessThan">
      <formula>0</formula>
    </cfRule>
  </conditionalFormatting>
  <conditionalFormatting sqref="J405:J406 J430:J431 J453:J454">
    <cfRule type="cellIs" dxfId="459" priority="1780" operator="lessThan">
      <formula>0</formula>
    </cfRule>
  </conditionalFormatting>
  <conditionalFormatting sqref="J417:J425">
    <cfRule type="cellIs" dxfId="458" priority="1145" operator="lessThan">
      <formula>0</formula>
    </cfRule>
  </conditionalFormatting>
  <conditionalFormatting sqref="J434">
    <cfRule type="cellIs" dxfId="457" priority="339" operator="lessThan">
      <formula>0</formula>
    </cfRule>
  </conditionalFormatting>
  <conditionalFormatting sqref="J467:J519">
    <cfRule type="cellIs" dxfId="456" priority="120" operator="lessThan">
      <formula>0</formula>
    </cfRule>
  </conditionalFormatting>
  <conditionalFormatting sqref="J521:J523">
    <cfRule type="cellIs" dxfId="455" priority="110" operator="equal">
      <formula>""</formula>
    </cfRule>
    <cfRule type="cellIs" dxfId="454" priority="109" operator="equal">
      <formula>"Informação pendente"</formula>
    </cfRule>
    <cfRule type="cellIs" dxfId="453" priority="108" operator="lessThan">
      <formula>0</formula>
    </cfRule>
  </conditionalFormatting>
  <conditionalFormatting sqref="J525">
    <cfRule type="cellIs" dxfId="452" priority="107" operator="equal">
      <formula>""</formula>
    </cfRule>
    <cfRule type="cellIs" dxfId="451" priority="105" operator="lessThan">
      <formula>0</formula>
    </cfRule>
    <cfRule type="cellIs" dxfId="450" priority="106" operator="equal">
      <formula>"Informação pendente"</formula>
    </cfRule>
  </conditionalFormatting>
  <conditionalFormatting sqref="J527 J529:J570">
    <cfRule type="cellIs" dxfId="449" priority="790" operator="lessThan">
      <formula>0</formula>
    </cfRule>
  </conditionalFormatting>
  <conditionalFormatting sqref="J572:J586">
    <cfRule type="cellIs" dxfId="448" priority="67" operator="equal">
      <formula>"Informação pendente"</formula>
    </cfRule>
    <cfRule type="cellIs" dxfId="447" priority="66" operator="lessThan">
      <formula>0</formula>
    </cfRule>
    <cfRule type="cellIs" dxfId="446" priority="68" operator="equal">
      <formula>""</formula>
    </cfRule>
  </conditionalFormatting>
  <conditionalFormatting sqref="J588:J613">
    <cfRule type="cellIs" dxfId="445" priority="51" operator="lessThan">
      <formula>0</formula>
    </cfRule>
  </conditionalFormatting>
  <conditionalFormatting sqref="J588:J618">
    <cfRule type="cellIs" dxfId="444" priority="46" operator="equal">
      <formula>"Informação pendente"</formula>
    </cfRule>
    <cfRule type="cellIs" dxfId="443" priority="47" operator="equal">
      <formula>""</formula>
    </cfRule>
  </conditionalFormatting>
  <conditionalFormatting sqref="J615">
    <cfRule type="cellIs" dxfId="442" priority="48" operator="lessThan">
      <formula>0</formula>
    </cfRule>
  </conditionalFormatting>
  <conditionalFormatting sqref="J618">
    <cfRule type="cellIs" dxfId="441" priority="45" operator="lessThan">
      <formula>0</formula>
    </cfRule>
  </conditionalFormatting>
  <conditionalFormatting sqref="J621">
    <cfRule type="cellIs" dxfId="440" priority="1773" operator="lessThan">
      <formula>0</formula>
    </cfRule>
  </conditionalFormatting>
  <conditionalFormatting sqref="J641:J656">
    <cfRule type="cellIs" dxfId="439" priority="777" operator="equal">
      <formula>""</formula>
    </cfRule>
    <cfRule type="cellIs" dxfId="438" priority="776" operator="equal">
      <formula>"Informação pendente"</formula>
    </cfRule>
  </conditionalFormatting>
  <conditionalFormatting sqref="J645">
    <cfRule type="cellIs" dxfId="437" priority="1770" operator="lessThan">
      <formula>0</formula>
    </cfRule>
  </conditionalFormatting>
  <conditionalFormatting sqref="J656">
    <cfRule type="cellIs" dxfId="436" priority="775" operator="lessThan">
      <formula>0</formula>
    </cfRule>
  </conditionalFormatting>
  <conditionalFormatting sqref="J658:J660">
    <cfRule type="cellIs" dxfId="435" priority="766" operator="lessThan">
      <formula>0</formula>
    </cfRule>
  </conditionalFormatting>
  <conditionalFormatting sqref="J658:J906">
    <cfRule type="cellIs" dxfId="434" priority="266" operator="equal">
      <formula>""</formula>
    </cfRule>
    <cfRule type="cellIs" dxfId="433" priority="265" operator="equal">
      <formula>"Informação pendente"</formula>
    </cfRule>
  </conditionalFormatting>
  <conditionalFormatting sqref="J663:J675">
    <cfRule type="cellIs" dxfId="432" priority="751" operator="lessThan">
      <formula>0</formula>
    </cfRule>
  </conditionalFormatting>
  <conditionalFormatting sqref="J677">
    <cfRule type="cellIs" dxfId="431" priority="748" operator="lessThan">
      <formula>0</formula>
    </cfRule>
  </conditionalFormatting>
  <conditionalFormatting sqref="J679:J725">
    <cfRule type="cellIs" dxfId="430" priority="703" operator="lessThan">
      <formula>0</formula>
    </cfRule>
  </conditionalFormatting>
  <conditionalFormatting sqref="J727:J730">
    <cfRule type="cellIs" dxfId="429" priority="718" operator="lessThan">
      <formula>0</formula>
    </cfRule>
  </conditionalFormatting>
  <conditionalFormatting sqref="J732:J738">
    <cfRule type="cellIs" dxfId="428" priority="652" operator="lessThan">
      <formula>0</formula>
    </cfRule>
  </conditionalFormatting>
  <conditionalFormatting sqref="J821:J823">
    <cfRule type="cellIs" dxfId="427" priority="1386" operator="lessThan">
      <formula>0</formula>
    </cfRule>
  </conditionalFormatting>
  <conditionalFormatting sqref="J832">
    <cfRule type="cellIs" dxfId="426" priority="1764" operator="lessThan">
      <formula>0</formula>
    </cfRule>
  </conditionalFormatting>
  <conditionalFormatting sqref="J857:J859">
    <cfRule type="cellIs" dxfId="425" priority="1356" operator="lessThan">
      <formula>0</formula>
    </cfRule>
  </conditionalFormatting>
  <conditionalFormatting sqref="J862:J870">
    <cfRule type="cellIs" dxfId="424" priority="1108" operator="lessThan">
      <formula>0</formula>
    </cfRule>
  </conditionalFormatting>
  <conditionalFormatting sqref="J908:J912 I913:J930">
    <cfRule type="cellIs" dxfId="423" priority="1469" operator="equal">
      <formula>""</formula>
    </cfRule>
    <cfRule type="cellIs" dxfId="422" priority="1470" operator="equal">
      <formula>"Informação pendente"</formula>
    </cfRule>
  </conditionalFormatting>
  <conditionalFormatting sqref="J928">
    <cfRule type="cellIs" dxfId="421" priority="1758" operator="lessThan">
      <formula>0</formula>
    </cfRule>
  </conditionalFormatting>
  <conditionalFormatting sqref="J931">
    <cfRule type="cellIs" dxfId="420" priority="1328" operator="lessThan">
      <formula>0</formula>
    </cfRule>
    <cfRule type="cellIs" dxfId="419" priority="1329" operator="equal">
      <formula>""</formula>
    </cfRule>
    <cfRule type="cellIs" dxfId="418" priority="1330" operator="equal">
      <formula>"Informação pendente"</formula>
    </cfRule>
  </conditionalFormatting>
  <conditionalFormatting sqref="J952:J958">
    <cfRule type="cellIs" dxfId="417" priority="1106" operator="lessThan">
      <formula>0</formula>
    </cfRule>
  </conditionalFormatting>
  <conditionalFormatting sqref="L11:L970">
    <cfRule type="cellIs" dxfId="416" priority="6" operator="lessThan">
      <formula>0</formula>
    </cfRule>
  </conditionalFormatting>
  <conditionalFormatting sqref="L38:L865">
    <cfRule type="cellIs" dxfId="415" priority="7" operator="equal">
      <formula>"Informação pendente"</formula>
    </cfRule>
  </conditionalFormatting>
  <conditionalFormatting sqref="L877">
    <cfRule type="cellIs" dxfId="414" priority="415" operator="equal">
      <formula>"Informação pendente"</formula>
    </cfRule>
  </conditionalFormatting>
  <conditionalFormatting sqref="L882">
    <cfRule type="cellIs" dxfId="413" priority="1" operator="equal">
      <formula>"Informação pendente"</formula>
    </cfRule>
  </conditionalFormatting>
  <conditionalFormatting sqref="L955:L958">
    <cfRule type="cellIs" dxfId="412" priority="418" operator="equal">
      <formula>"Informação pendente"</formula>
    </cfRule>
  </conditionalFormatting>
  <conditionalFormatting sqref="L976">
    <cfRule type="cellIs" dxfId="411" priority="1643" operator="equal">
      <formula>"Informação pendente"</formula>
    </cfRule>
  </conditionalFormatting>
  <conditionalFormatting sqref="L976:L978">
    <cfRule type="cellIs" dxfId="410" priority="1641" operator="lessThan">
      <formula>0</formula>
    </cfRule>
  </conditionalFormatting>
  <conditionalFormatting sqref="L978 O128:T128 O128:P137 P92:T93 P95:T115 O116:T126 P127 O170:T170 Q198:T200 Q368:T369 Q380:T380 P497:T498 P504:Q514 P515:R515 T515 P516:T516 P517:Q517 S517:T517 P563:T566 P567 P568:T580 Q581:T582 P583:T584 P585 P586:T587 Q621:T621 T643 S766:T766 P785:T785 Q803:T803 Q827:T828 P829:T831 P833:T833 Q834:T834 P835:T851">
    <cfRule type="cellIs" dxfId="409" priority="2058" operator="equal">
      <formula>""</formula>
    </cfRule>
  </conditionalFormatting>
  <conditionalFormatting sqref="L978">
    <cfRule type="cellIs" dxfId="408" priority="1967" operator="equal">
      <formula>"Informação pendente"</formula>
    </cfRule>
    <cfRule type="cellIs" dxfId="407" priority="1969" stopIfTrue="1" operator="equal">
      <formula>""</formula>
    </cfRule>
  </conditionalFormatting>
  <conditionalFormatting sqref="L19:N20 N23:T23 M27:T27 O270:O283 M889:N911 Q3:T13 O38:T38 P169:T169 O170:T170 Q264:T283 Q285:T303 Q405:T426 P790:T792 P797:T797 M888 P888:P889 M912:M914 Q917:T918 Q928:T936 M972:M974">
    <cfRule type="cellIs" dxfId="406" priority="1982" operator="equal">
      <formula>"Informação pendente"</formula>
    </cfRule>
  </conditionalFormatting>
  <conditionalFormatting sqref="L878:N879 L906:N911 L929:N936 L942:N947 L951:N951 L963:N971 T18:T19 T150 Q228:T228 O246:P247 O248:T251 P252:T254 O255:T257 O258:P258 T282:T283 T381 P484:T484 P491:T491 P790:S790 T796 Q804:T804 Q806:T806 Q808:T808 Q810:T811 Q813:T813 P816 Q816:T817 Q819:T819 Q825:T825 T841:T850 P887:T887 T889:T894 T896:T898 T900:T904 T906:T910 T926:T927 T929:T936 T938:T939">
    <cfRule type="cellIs" dxfId="405" priority="2075" operator="lessThan">
      <formula>0</formula>
    </cfRule>
  </conditionalFormatting>
  <conditionalFormatting sqref="L959:N959">
    <cfRule type="cellIs" dxfId="404" priority="1783" operator="lessThan">
      <formula>0</formula>
    </cfRule>
  </conditionalFormatting>
  <conditionalFormatting sqref="L2:T17 N2:N142 L19:P19 L20:T29 M30:T30 L31:T37 O128:T133 N147:N326 P162:T163 Q163:T164 M165:M214 N328:N516 L18:M18 O18:P18 S19:T20 T30:T31 O102:P102 O103:T113 O114:P114 P127:T127 O134:Q134 O135:T142 M143:T143 P144:T144 M145:T146 P147:T147 O148:T149 P150:T150 O151:T152 P153:T153 O154:T161 O164:T185 O186:P187 O189:T197 O198:P198 O222:P222 O223:T227 Q269:R269 Q270:T270 P357:S357 Q404:T405 Q416:Q426 Q476:T477 P478:T478 Q479:T483 Q497:T502 Q503:Q515 T503:T524 Q515:R515 Q516:T516 Q517 S517:T517 Q518:T551 Q585:T585 Q588:Q603 Q644:T645 Q664:Q667 Q705:T735 Q738:Q755 Q783:T784 Q832:T832 Q852:Q871">
    <cfRule type="cellIs" dxfId="403" priority="1900" operator="lessThan">
      <formula>0</formula>
    </cfRule>
  </conditionalFormatting>
  <conditionalFormatting sqref="L23:T24 L27:T27">
    <cfRule type="cellIs" dxfId="402" priority="2034" operator="equal">
      <formula>"Informação pendente"</formula>
    </cfRule>
  </conditionalFormatting>
  <conditionalFormatting sqref="M11">
    <cfRule type="cellIs" dxfId="401" priority="307" operator="lessThan">
      <formula>0</formula>
    </cfRule>
  </conditionalFormatting>
  <conditionalFormatting sqref="M38 M40:M50 M52:M62 M64:M93 M95:M126 M128:M142 M148:M149 M151:M152 M154:M164">
    <cfRule type="cellIs" dxfId="400" priority="780" operator="lessThan">
      <formula>0</formula>
    </cfRule>
  </conditionalFormatting>
  <conditionalFormatting sqref="M38:M47">
    <cfRule type="cellIs" dxfId="399" priority="314" operator="equal">
      <formula>""</formula>
    </cfRule>
  </conditionalFormatting>
  <conditionalFormatting sqref="M38:M142">
    <cfRule type="cellIs" dxfId="398" priority="253" operator="equal">
      <formula>"Informação pendente"</formula>
    </cfRule>
  </conditionalFormatting>
  <conditionalFormatting sqref="M51:M142">
    <cfRule type="cellIs" dxfId="397" priority="254" operator="equal">
      <formula>""</formula>
    </cfRule>
  </conditionalFormatting>
  <conditionalFormatting sqref="M144">
    <cfRule type="cellIs" dxfId="396" priority="256" operator="equal">
      <formula>""</formula>
    </cfRule>
    <cfRule type="cellIs" dxfId="395" priority="255" operator="equal">
      <formula>"Informação pendente"</formula>
    </cfRule>
  </conditionalFormatting>
  <conditionalFormatting sqref="M147:M164">
    <cfRule type="cellIs" dxfId="394" priority="257" operator="equal">
      <formula>"Informação pendente"</formula>
    </cfRule>
  </conditionalFormatting>
  <conditionalFormatting sqref="M147:M326">
    <cfRule type="cellIs" dxfId="393" priority="198" operator="equal">
      <formula>""</formula>
    </cfRule>
  </conditionalFormatting>
  <conditionalFormatting sqref="M180">
    <cfRule type="cellIs" dxfId="392" priority="211" operator="equal">
      <formula>"Informação pendente"</formula>
    </cfRule>
    <cfRule type="cellIs" dxfId="391" priority="210" operator="lessThan">
      <formula>0</formula>
    </cfRule>
  </conditionalFormatting>
  <conditionalFormatting sqref="M214:M326">
    <cfRule type="cellIs" dxfId="390" priority="199" operator="equal">
      <formula>"Informação pendente"</formula>
    </cfRule>
  </conditionalFormatting>
  <conditionalFormatting sqref="M218:M234 M236:M242 M244:M246 M248:M254">
    <cfRule type="cellIs" dxfId="389" priority="363" operator="lessThan">
      <formula>0</formula>
    </cfRule>
  </conditionalFormatting>
  <conditionalFormatting sqref="M256:M326">
    <cfRule type="cellIs" dxfId="388" priority="197" operator="lessThan">
      <formula>0</formula>
    </cfRule>
  </conditionalFormatting>
  <conditionalFormatting sqref="M328:M519">
    <cfRule type="cellIs" dxfId="387" priority="202" operator="lessThan">
      <formula>0</formula>
    </cfRule>
  </conditionalFormatting>
  <conditionalFormatting sqref="M328:M810">
    <cfRule type="cellIs" dxfId="386" priority="36" operator="equal">
      <formula>""</formula>
    </cfRule>
    <cfRule type="cellIs" dxfId="385" priority="34" operator="equal">
      <formula>"Informação pendente"</formula>
    </cfRule>
  </conditionalFormatting>
  <conditionalFormatting sqref="M521:M523">
    <cfRule type="cellIs" dxfId="384" priority="89" operator="lessThan">
      <formula>0</formula>
    </cfRule>
  </conditionalFormatting>
  <conditionalFormatting sqref="M525">
    <cfRule type="cellIs" dxfId="383" priority="82" operator="lessThan">
      <formula>0</formula>
    </cfRule>
  </conditionalFormatting>
  <conditionalFormatting sqref="M529:M570">
    <cfRule type="cellIs" dxfId="382" priority="1375" operator="lessThan">
      <formula>0</formula>
    </cfRule>
  </conditionalFormatting>
  <conditionalFormatting sqref="M572:M586">
    <cfRule type="cellIs" dxfId="381" priority="44" operator="lessThan">
      <formula>0</formula>
    </cfRule>
  </conditionalFormatting>
  <conditionalFormatting sqref="M588:M618">
    <cfRule type="cellIs" dxfId="380" priority="35" operator="lessThan">
      <formula>0</formula>
    </cfRule>
  </conditionalFormatting>
  <conditionalFormatting sqref="M641:M656">
    <cfRule type="cellIs" dxfId="379" priority="700" operator="lessThan">
      <formula>0</formula>
    </cfRule>
  </conditionalFormatting>
  <conditionalFormatting sqref="M658:M810">
    <cfRule type="cellIs" dxfId="378" priority="440" operator="lessThan">
      <formula>0</formula>
    </cfRule>
  </conditionalFormatting>
  <conditionalFormatting sqref="M812:M862">
    <cfRule type="cellIs" dxfId="377" priority="1081" operator="equal">
      <formula>"Informação pendente"</formula>
    </cfRule>
    <cfRule type="cellIs" dxfId="376" priority="1079" operator="equal">
      <formula>""</formula>
    </cfRule>
  </conditionalFormatting>
  <conditionalFormatting sqref="M812:M863">
    <cfRule type="cellIs" dxfId="375" priority="1080" operator="lessThan">
      <formula>0</formula>
    </cfRule>
  </conditionalFormatting>
  <conditionalFormatting sqref="M864:M865">
    <cfRule type="cellIs" dxfId="374" priority="2015" operator="equal">
      <formula>"Informação pendente"</formula>
    </cfRule>
  </conditionalFormatting>
  <conditionalFormatting sqref="M880:M886">
    <cfRule type="cellIs" dxfId="373" priority="359" operator="equal">
      <formula>""</formula>
    </cfRule>
    <cfRule type="cellIs" dxfId="372" priority="361" operator="equal">
      <formula>"Informação pendente"</formula>
    </cfRule>
  </conditionalFormatting>
  <conditionalFormatting sqref="M880:M887">
    <cfRule type="cellIs" dxfId="371" priority="360" operator="lessThan">
      <formula>0</formula>
    </cfRule>
  </conditionalFormatting>
  <conditionalFormatting sqref="M919:M970">
    <cfRule type="cellIs" dxfId="370" priority="1083" operator="lessThan">
      <formula>0</formula>
    </cfRule>
    <cfRule type="cellIs" dxfId="369" priority="1082" operator="equal">
      <formula>""</formula>
    </cfRule>
    <cfRule type="cellIs" dxfId="368" priority="1085" operator="equal">
      <formula>"Informação pendente"</formula>
    </cfRule>
  </conditionalFormatting>
  <conditionalFormatting sqref="M983">
    <cfRule type="cellIs" dxfId="367" priority="617" operator="lessThan">
      <formula>0</formula>
    </cfRule>
    <cfRule type="cellIs" dxfId="366" priority="618" operator="equal">
      <formula>"Informação pendente"</formula>
    </cfRule>
    <cfRule type="cellIs" dxfId="365" priority="619" operator="equal">
      <formula>""</formula>
    </cfRule>
  </conditionalFormatting>
  <conditionalFormatting sqref="M327:N327 P327:Q327 Q337:T403">
    <cfRule type="cellIs" dxfId="364" priority="1461" operator="equal">
      <formula>"Informação pendente"</formula>
    </cfRule>
  </conditionalFormatting>
  <conditionalFormatting sqref="M327:N327 P327:Q327">
    <cfRule type="cellIs" dxfId="363" priority="355" operator="equal">
      <formula>""</formula>
    </cfRule>
    <cfRule type="cellIs" dxfId="362" priority="354" operator="lessThan">
      <formula>0</formula>
    </cfRule>
  </conditionalFormatting>
  <conditionalFormatting sqref="M866:N867 M870:N870 M872:N879 N880:N882 Q796:T796 P816:T820 P824:T826 M864:M865 M868:M871 P872:T880">
    <cfRule type="cellIs" dxfId="361" priority="2016" operator="equal">
      <formula>""</formula>
    </cfRule>
  </conditionalFormatting>
  <conditionalFormatting sqref="M916:N916">
    <cfRule type="cellIs" dxfId="360" priority="1838" operator="equal">
      <formula>""</formula>
    </cfRule>
    <cfRule type="cellIs" dxfId="359" priority="1836" operator="lessThan">
      <formula>0</formula>
    </cfRule>
  </conditionalFormatting>
  <conditionalFormatting sqref="M976:N976 P976:S976">
    <cfRule type="cellIs" dxfId="358" priority="1818" operator="lessThan">
      <formula>0</formula>
    </cfRule>
  </conditionalFormatting>
  <conditionalFormatting sqref="M2:O17 N11:N18 M19:O37 N38:N142 N148:N326 Q163:T163 M165:M213 N328:N516 N518:N870 N892:N914 N928 N937:N942 O18:O19 M18:M19">
    <cfRule type="cellIs" dxfId="357" priority="1935" operator="equal">
      <formula>"Informação pendente"</formula>
    </cfRule>
  </conditionalFormatting>
  <conditionalFormatting sqref="M143:O143 N144 M145:O146 N147">
    <cfRule type="cellIs" dxfId="356" priority="374" operator="lessThan">
      <formula>0</formula>
    </cfRule>
  </conditionalFormatting>
  <conditionalFormatting sqref="M143:O143 N144 M145:O146 N147:N326">
    <cfRule type="cellIs" dxfId="355" priority="373" operator="equal">
      <formula>""</formula>
    </cfRule>
  </conditionalFormatting>
  <conditionalFormatting sqref="M143:O143 N144 M145:O146">
    <cfRule type="cellIs" dxfId="354" priority="1685" operator="equal">
      <formula>"Informação pendente"</formula>
    </cfRule>
  </conditionalFormatting>
  <conditionalFormatting sqref="M2:P17 M19:P37 M18 O18:P18 N38:N142 P162:P163 Q163:T163 O164:P187 O188 O189:P193 Q269:R269 Q270:T270 P443:T453 P466:T476 T478 Q498:T499 Q536:T537 Q644:T645 Q783:T784">
    <cfRule type="cellIs" dxfId="353" priority="1878" operator="equal">
      <formula>""</formula>
    </cfRule>
  </conditionalFormatting>
  <conditionalFormatting sqref="N2:N142 L19:N20 M23:T23 M27:T27 N148:N326 N328:N516 M917:N927 O38:T38 O55:O56 O194 O195:T197 O198:P198 O225:O228 Q228:T229 O237 O239:O240 O261:O266 O307:O308 P347:T355 T356 T359:T360 P370:T375 P377:T379 P395:T406 P407:R407 P407:P431 S407:T431 P408:Q415 R408:R431 Q453:T454 Q465:T465 R503:T514 Q585:T585 R588:T590 S591:T591 R664:T667 R738:T755 P787:T797 R852:T871 Q871:T871 M912:M914 Q917:T918 Q927:T928 M972:M974">
    <cfRule type="cellIs" dxfId="352" priority="1936" operator="equal">
      <formula>""</formula>
    </cfRule>
  </conditionalFormatting>
  <conditionalFormatting sqref="N2:N142 R163 N518:N983 O128:T128 O283 O269 P591 N148:N326 Q394:T394 S515 P635:T635 P978:T978 P767:T767 M183 N328:N516">
    <cfRule type="cellIs" dxfId="351" priority="1881" stopIfTrue="1" operator="equal">
      <formula>""</formula>
    </cfRule>
  </conditionalFormatting>
  <conditionalFormatting sqref="N2:N142">
    <cfRule type="cellIs" dxfId="350" priority="2291" operator="equal">
      <formula>"Informação pendente"</formula>
    </cfRule>
  </conditionalFormatting>
  <conditionalFormatting sqref="N30">
    <cfRule type="cellIs" dxfId="349" priority="1640" operator="lessThan">
      <formula>0</formula>
    </cfRule>
  </conditionalFormatting>
  <conditionalFormatting sqref="N328:N983">
    <cfRule type="cellIs" dxfId="348" priority="15" operator="equal">
      <formula>""</formula>
    </cfRule>
    <cfRule type="cellIs" dxfId="347" priority="2" operator="equal">
      <formula>"Informação pendente"</formula>
    </cfRule>
  </conditionalFormatting>
  <conditionalFormatting sqref="N360">
    <cfRule type="cellIs" dxfId="346" priority="26" operator="lessThan">
      <formula>0</formula>
    </cfRule>
  </conditionalFormatting>
  <conditionalFormatting sqref="N384">
    <cfRule type="cellIs" dxfId="345" priority="24" operator="lessThan">
      <formula>0</formula>
    </cfRule>
  </conditionalFormatting>
  <conditionalFormatting sqref="N408">
    <cfRule type="cellIs" dxfId="344" priority="22" operator="lessThan">
      <formula>0</formula>
    </cfRule>
  </conditionalFormatting>
  <conditionalFormatting sqref="N425">
    <cfRule type="cellIs" dxfId="343" priority="16" operator="lessThan">
      <formula>0</formula>
    </cfRule>
  </conditionalFormatting>
  <conditionalFormatting sqref="N437">
    <cfRule type="cellIs" dxfId="342" priority="14" operator="lessThan">
      <formula>0</formula>
    </cfRule>
  </conditionalFormatting>
  <conditionalFormatting sqref="N440">
    <cfRule type="cellIs" dxfId="341" priority="18" operator="lessThan">
      <formula>0</formula>
    </cfRule>
  </conditionalFormatting>
  <conditionalFormatting sqref="N443">
    <cfRule type="cellIs" dxfId="340" priority="20" operator="lessThan">
      <formula>0</formula>
    </cfRule>
  </conditionalFormatting>
  <conditionalFormatting sqref="N517:N983">
    <cfRule type="cellIs" dxfId="339" priority="376" operator="lessThan">
      <formula>0</formula>
    </cfRule>
  </conditionalFormatting>
  <conditionalFormatting sqref="N870 N895">
    <cfRule type="cellIs" dxfId="338" priority="2268" operator="equal">
      <formula>"'"</formula>
    </cfRule>
  </conditionalFormatting>
  <conditionalFormatting sqref="N870">
    <cfRule type="cellIs" dxfId="337" priority="2267" operator="equal">
      <formula>""</formula>
    </cfRule>
  </conditionalFormatting>
  <conditionalFormatting sqref="N872">
    <cfRule type="cellIs" dxfId="336" priority="2230" operator="equal">
      <formula>"'"</formula>
    </cfRule>
  </conditionalFormatting>
  <conditionalFormatting sqref="N872:N888 N919:N927 N929:N939 N970:N975 O263:T263 O284:T284 P286:T286 P290:T290 P798 N870 R14 R27 P515:R515 N866:N867 N979:N983 N896:N914 Q845:T845 R23 R48:R50 Q114:T117 Q198:T200 Q380:T380 Q621:T621 T766 Q262:T262 N892:N894 Q501:T502 P385:T385 N18:N19 L19:N20 R38 S743 Q258:T258 Q324:T324 Q334:T334 Q186:T186 R766 P766 M739">
    <cfRule type="cellIs" dxfId="335" priority="2244" stopIfTrue="1" operator="equal">
      <formula>""</formula>
    </cfRule>
  </conditionalFormatting>
  <conditionalFormatting sqref="N875:N877 Q704:T704">
    <cfRule type="cellIs" dxfId="334" priority="2227" operator="equal">
      <formula>"'"</formula>
    </cfRule>
  </conditionalFormatting>
  <conditionalFormatting sqref="N882:N888">
    <cfRule type="cellIs" dxfId="333" priority="2349" operator="equal">
      <formula>"'"</formula>
    </cfRule>
    <cfRule type="cellIs" dxfId="332" priority="2348" operator="equal">
      <formula>""</formula>
    </cfRule>
  </conditionalFormatting>
  <conditionalFormatting sqref="N889:N891">
    <cfRule type="cellIs" dxfId="331" priority="2126" operator="equal">
      <formula>"Pendente Preenchimento"</formula>
    </cfRule>
    <cfRule type="cellIs" dxfId="330" priority="2123" operator="equal">
      <formula>"Preenchimento pendente"</formula>
    </cfRule>
    <cfRule type="cellIs" dxfId="329" priority="2127" operator="equal">
      <formula>"Preenchimento Pendente "</formula>
    </cfRule>
  </conditionalFormatting>
  <conditionalFormatting sqref="N912:N914 M915:N915 M929:N936 N937:N939 M942:N947 N948:N950 M951:N951 N960:N962 M963:N971 N974 M975:N976 M979:N982 Q798:T798 P799:T814 Q815:T817 Q819:T819 Q825:T825 L887:M887 P976:T976 M977:M978">
    <cfRule type="cellIs" dxfId="328" priority="2076" operator="equal">
      <formula>""</formula>
    </cfRule>
  </conditionalFormatting>
  <conditionalFormatting sqref="N925 N935 N947 N970">
    <cfRule type="cellIs" dxfId="327" priority="2176" operator="equal">
      <formula>"'"</formula>
    </cfRule>
  </conditionalFormatting>
  <conditionalFormatting sqref="N940:N942">
    <cfRule type="cellIs" dxfId="326" priority="2369" operator="equal">
      <formula>"'"</formula>
    </cfRule>
  </conditionalFormatting>
  <conditionalFormatting sqref="N977 Q15:T38 R39:S39 Q40:T47 Q440:T441 Q476:T477 T478 Q479:T483 Q876:T881 Q884:T886 Q900:T915">
    <cfRule type="cellIs" dxfId="325" priority="1898" operator="equal">
      <formula>"Informação pendente"</formula>
    </cfRule>
  </conditionalFormatting>
  <conditionalFormatting sqref="N14:T14 N23:T23 N27:T27 N48:T50">
    <cfRule type="cellIs" dxfId="324" priority="2074" operator="lessThan">
      <formula>0</formula>
    </cfRule>
  </conditionalFormatting>
  <conditionalFormatting sqref="N14:T14 N27:T27 M866:N867 M870:N870 M872:N879 N880:N882 M915:N915 M929:N936 M942:N947 N948:N950 M951:N951 N960:N962 M963:N971 N974 M975:N976 M979:N982 N983 O263:T263 O284:T284 P286:T286 Q427 R427:R431 P515:R515 P615 P798 P870 L887:M887 P887:T887 P915 P976:T976 M977:M978">
    <cfRule type="cellIs" dxfId="323" priority="2114" operator="equal">
      <formula>"Informação pendente"</formula>
    </cfRule>
  </conditionalFormatting>
  <conditionalFormatting sqref="O2:O38 O40:O50 O52:O62 O64:O93 P110:P114 O115:T126">
    <cfRule type="cellIs" dxfId="322" priority="1785" operator="lessThan">
      <formula>0</formula>
    </cfRule>
  </conditionalFormatting>
  <conditionalFormatting sqref="O6:O7">
    <cfRule type="cellIs" dxfId="321" priority="1871" stopIfTrue="1" operator="equal">
      <formula>""</formula>
    </cfRule>
  </conditionalFormatting>
  <conditionalFormatting sqref="O19">
    <cfRule type="cellIs" dxfId="320" priority="1613" stopIfTrue="1" operator="equal">
      <formula>""</formula>
    </cfRule>
  </conditionalFormatting>
  <conditionalFormatting sqref="O38:O142">
    <cfRule type="cellIs" dxfId="319" priority="251" operator="equal">
      <formula>"Informação pendente"</formula>
    </cfRule>
  </conditionalFormatting>
  <conditionalFormatting sqref="O39">
    <cfRule type="cellIs" dxfId="318" priority="316" operator="equal">
      <formula>""</formula>
    </cfRule>
  </conditionalFormatting>
  <conditionalFormatting sqref="O51">
    <cfRule type="cellIs" dxfId="317" priority="326" operator="equal">
      <formula>""</formula>
    </cfRule>
  </conditionalFormatting>
  <conditionalFormatting sqref="O63">
    <cfRule type="cellIs" dxfId="316" priority="278" operator="equal">
      <formula>""</formula>
    </cfRule>
  </conditionalFormatting>
  <conditionalFormatting sqref="O94">
    <cfRule type="cellIs" dxfId="315" priority="296" operator="equal">
      <formula>""</formula>
    </cfRule>
  </conditionalFormatting>
  <conditionalFormatting sqref="O95:O115">
    <cfRule type="cellIs" dxfId="314" priority="784" operator="lessThan">
      <formula>0</formula>
    </cfRule>
  </conditionalFormatting>
  <conditionalFormatting sqref="O117:O126 O128:O142">
    <cfRule type="cellIs" dxfId="313" priority="1683" operator="lessThan">
      <formula>0</formula>
    </cfRule>
  </conditionalFormatting>
  <conditionalFormatting sqref="O127">
    <cfRule type="cellIs" dxfId="312" priority="252" operator="equal">
      <formula>""</formula>
    </cfRule>
  </conditionalFormatting>
  <conditionalFormatting sqref="O144">
    <cfRule type="cellIs" dxfId="311" priority="249" operator="equal">
      <formula>"Informação pendente"</formula>
    </cfRule>
    <cfRule type="cellIs" dxfId="310" priority="250" operator="equal">
      <formula>""</formula>
    </cfRule>
  </conditionalFormatting>
  <conditionalFormatting sqref="O147">
    <cfRule type="cellIs" dxfId="309" priority="248" operator="equal">
      <formula>""</formula>
    </cfRule>
  </conditionalFormatting>
  <conditionalFormatting sqref="O147:O211">
    <cfRule type="cellIs" dxfId="308" priority="243" operator="equal">
      <formula>"Informação pendente"</formula>
    </cfRule>
  </conditionalFormatting>
  <conditionalFormatting sqref="O148:O149 O151:O152 O154:O985">
    <cfRule type="cellIs" dxfId="307" priority="348" operator="lessThan">
      <formula>0</formula>
    </cfRule>
  </conditionalFormatting>
  <conditionalFormatting sqref="O150">
    <cfRule type="cellIs" dxfId="306" priority="246" operator="equal">
      <formula>""</formula>
    </cfRule>
  </conditionalFormatting>
  <conditionalFormatting sqref="O153">
    <cfRule type="cellIs" dxfId="305" priority="244" operator="equal">
      <formula>""</formula>
    </cfRule>
  </conditionalFormatting>
  <conditionalFormatting sqref="O235">
    <cfRule type="cellIs" dxfId="304" priority="231" operator="equal">
      <formula>""</formula>
    </cfRule>
  </conditionalFormatting>
  <conditionalFormatting sqref="O243">
    <cfRule type="cellIs" dxfId="303" priority="230" operator="equal">
      <formula>""</formula>
    </cfRule>
  </conditionalFormatting>
  <conditionalFormatting sqref="O247">
    <cfRule type="cellIs" dxfId="302" priority="229" operator="equal">
      <formula>""</formula>
    </cfRule>
  </conditionalFormatting>
  <conditionalFormatting sqref="O249:O255">
    <cfRule type="cellIs" dxfId="301" priority="228" operator="equal">
      <formula>""</formula>
    </cfRule>
  </conditionalFormatting>
  <conditionalFormatting sqref="O269 I167:J167">
    <cfRule type="cellIs" dxfId="300" priority="2070" operator="equal">
      <formula>"'"</formula>
    </cfRule>
  </conditionalFormatting>
  <conditionalFormatting sqref="O285:O297 O302:O304">
    <cfRule type="cellIs" dxfId="299" priority="1909" operator="equal">
      <formula>"Informação pendente"</formula>
    </cfRule>
  </conditionalFormatting>
  <conditionalFormatting sqref="O295 O302:P302 O310:P310">
    <cfRule type="cellIs" dxfId="298" priority="1907" operator="lessThan">
      <formula>0</formula>
    </cfRule>
  </conditionalFormatting>
  <conditionalFormatting sqref="O295 O302:P302 O309:T312 P313:T323">
    <cfRule type="cellIs" dxfId="297" priority="1906" operator="equal">
      <formula>""</formula>
    </cfRule>
  </conditionalFormatting>
  <conditionalFormatting sqref="O295 O302:P302 P591:P755 Q229:T229 Q241:T241 P253:T253 P265:T265 O310:P310 Q323:T323 P352:T352 P404:T404 Q442:T442 Q871:T871 R948:R958">
    <cfRule type="cellIs" dxfId="296" priority="1964" operator="equal">
      <formula>"Preenchimento pendente"</formula>
    </cfRule>
  </conditionalFormatting>
  <conditionalFormatting sqref="O295 O302:P302">
    <cfRule type="cellIs" dxfId="295" priority="1862" stopIfTrue="1" operator="equal">
      <formula>""</formula>
    </cfRule>
    <cfRule type="cellIs" dxfId="294" priority="1908" stopIfTrue="1" operator="equal">
      <formula>"Informação pendente"</formula>
    </cfRule>
  </conditionalFormatting>
  <conditionalFormatting sqref="O987:O988 O990:O1048576">
    <cfRule type="cellIs" dxfId="293" priority="1794" operator="lessThan">
      <formula>0</formula>
    </cfRule>
  </conditionalFormatting>
  <conditionalFormatting sqref="O255:P262 O239:P239 O241:P242 O244:P251 P527:T535">
    <cfRule type="cellIs" dxfId="292" priority="2081" operator="equal">
      <formula>""</formula>
    </cfRule>
  </conditionalFormatting>
  <conditionalFormatting sqref="O38:T38 P39 R39:S39 O40:T50 S51:T51 O52:T62 P63 O64:T93 P94 O95:T101 Q99:T103 I102:I103 S163 P246:T247 O305:T306 Q315:T321 Q323:T326 R327:T327 P328:P334 Q328:T351 P338:T339 P344:T345 Q353:T369 P364:T365 S407:S426 Q485:T487 S588:S603 S664:S667 P685:T738 S738:S755 P787:T797 S852:S871 Q871:T871 Q917:T947">
    <cfRule type="cellIs" dxfId="291" priority="1792" operator="lessThan">
      <formula>0</formula>
    </cfRule>
  </conditionalFormatting>
  <conditionalFormatting sqref="O48:T50">
    <cfRule type="cellIs" dxfId="290" priority="399" operator="equal">
      <formula>"Informação pendente"</formula>
    </cfRule>
  </conditionalFormatting>
  <conditionalFormatting sqref="O212:T213">
    <cfRule type="cellIs" dxfId="289" priority="2078" operator="equal">
      <formula>"Informação pendente"</formula>
    </cfRule>
  </conditionalFormatting>
  <conditionalFormatting sqref="O243:T243">
    <cfRule type="cellIs" dxfId="288" priority="402" operator="equal">
      <formula>""</formula>
    </cfRule>
  </conditionalFormatting>
  <conditionalFormatting sqref="O259:T263 O295 O302:P302 L866:N867 L870:N870 L872:N875 O309:T312 P313:T313 P325:T326 P347:R347 P427:T432 P433:Q433 S433:T433 P434:T437 Q438:T438 R439:S439 P440:T440 Q567:T567 L868:M868 P872:T875">
    <cfRule type="cellIs" dxfId="287" priority="2035" operator="lessThan">
      <formula>0</formula>
    </cfRule>
  </conditionalFormatting>
  <conditionalFormatting sqref="O263:T263 O284:T284 P286:T286 P798 N870 P290:T290 O269 O283">
    <cfRule type="cellIs" dxfId="286" priority="2141" stopIfTrue="1" operator="equal">
      <formula>"Informação pendente"</formula>
    </cfRule>
  </conditionalFormatting>
  <conditionalFormatting sqref="O263:T263 O284:T284 P286:T286 P290:T290 P798">
    <cfRule type="cellIs" dxfId="285" priority="2266" operator="equal">
      <formula>"Informação pendente"</formula>
    </cfRule>
  </conditionalFormatting>
  <conditionalFormatting sqref="O263:T263">
    <cfRule type="cellIs" dxfId="284" priority="2033" operator="equal">
      <formula>""</formula>
    </cfRule>
  </conditionalFormatting>
  <conditionalFormatting sqref="O270:T297 O302:T302 L889:N904 L915:N927 Q77:T79 O228:P228 O229:T233 O234:P235 O236:T239 Q245:T247 Q266:T266 O300:T300 P314:P321 P323:P324 P337:P343 P352:T352 P370:T375 T375:T379 P377:T379 P381:T393 P395:T403 P405:T406 P407:R407 P407:P427 P408:Q410 R408:R426 P412:Q415 T551:T559 P553:T559 P561:T561 T561:T563 Q562:T562 P563:T566 P567 P568:T580 Q581:T582 P583:T584 P585 P586:T587 T588:T603 P612:Q612 S612:T612 P613:T615 Q616:T617 P618:T620 M620:M621 P621 P622:T625 M626 P626 R626:T626 M628:M630 M634 M636:M639 P644:P645 P646:T654 Q655:T663 R664:R667 T664:T667 Q665:T677 P668:T680 Q680:Q682 R681:S701 T732 R733:T733 R738:R755 T738:T755 Q786:T786 P793:P801 R852:R871 T852:T874 P895:T895 M912:M914 M972:M975">
    <cfRule type="cellIs" dxfId="283" priority="1934" operator="lessThan">
      <formula>0</formula>
    </cfRule>
  </conditionalFormatting>
  <conditionalFormatting sqref="O304:T304 P314:T314 R364:S364">
    <cfRule type="cellIs" dxfId="282" priority="2030" operator="equal">
      <formula>"Informação pendente"</formula>
    </cfRule>
  </conditionalFormatting>
  <conditionalFormatting sqref="P2:P90">
    <cfRule type="cellIs" dxfId="281" priority="308" operator="equal">
      <formula>""</formula>
    </cfRule>
  </conditionalFormatting>
  <conditionalFormatting sqref="P2:P187">
    <cfRule type="cellIs" dxfId="280" priority="1902" operator="equal">
      <formula>"Preenchimento pendente"</formula>
    </cfRule>
  </conditionalFormatting>
  <conditionalFormatting sqref="P11">
    <cfRule type="cellIs" dxfId="279" priority="309" operator="lessThan">
      <formula>0</formula>
    </cfRule>
  </conditionalFormatting>
  <conditionalFormatting sqref="P51:P52">
    <cfRule type="cellIs" dxfId="278" priority="312" operator="lessThan">
      <formula>0</formula>
    </cfRule>
  </conditionalFormatting>
  <conditionalFormatting sqref="P52">
    <cfRule type="cellIs" dxfId="277" priority="991" operator="equal">
      <formula>"Preenchimento pendente"</formula>
    </cfRule>
  </conditionalFormatting>
  <conditionalFormatting sqref="P56">
    <cfRule type="cellIs" dxfId="276" priority="987" operator="equal">
      <formula>"Preenchimento pendente"</formula>
    </cfRule>
    <cfRule type="cellIs" dxfId="275" priority="988" operator="lessThan">
      <formula>0</formula>
    </cfRule>
  </conditionalFormatting>
  <conditionalFormatting sqref="P58:P60">
    <cfRule type="cellIs" dxfId="274" priority="976" operator="lessThan">
      <formula>0</formula>
    </cfRule>
    <cfRule type="cellIs" dxfId="273" priority="975" operator="equal">
      <formula>"Preenchimento pendente"</formula>
    </cfRule>
  </conditionalFormatting>
  <conditionalFormatting sqref="P135">
    <cfRule type="cellIs" dxfId="272" priority="1436" operator="equal">
      <formula>""</formula>
    </cfRule>
  </conditionalFormatting>
  <conditionalFormatting sqref="P138:P143">
    <cfRule type="cellIs" dxfId="271" priority="1000" operator="lessThan">
      <formula>0</formula>
    </cfRule>
    <cfRule type="cellIs" dxfId="270" priority="999" operator="equal">
      <formula>"Preenchimento pendente"</formula>
    </cfRule>
  </conditionalFormatting>
  <conditionalFormatting sqref="P138:P147">
    <cfRule type="cellIs" dxfId="269" priority="1001" operator="equal">
      <formula>""</formula>
    </cfRule>
  </conditionalFormatting>
  <conditionalFormatting sqref="P154">
    <cfRule type="cellIs" dxfId="268" priority="1494" operator="lessThan">
      <formula>0</formula>
    </cfRule>
    <cfRule type="cellIs" dxfId="267" priority="1495" operator="equal">
      <formula>"Informação pendente"</formula>
    </cfRule>
  </conditionalFormatting>
  <conditionalFormatting sqref="P169">
    <cfRule type="cellIs" dxfId="266" priority="1956" operator="equal">
      <formula>"Informação pendente"</formula>
    </cfRule>
  </conditionalFormatting>
  <conditionalFormatting sqref="P188">
    <cfRule type="cellIs" dxfId="265" priority="787" operator="lessThan">
      <formula>0</formula>
    </cfRule>
  </conditionalFormatting>
  <conditionalFormatting sqref="P188:P217">
    <cfRule type="cellIs" dxfId="264" priority="788" operator="equal">
      <formula>""</formula>
    </cfRule>
  </conditionalFormatting>
  <conditionalFormatting sqref="P188:P264">
    <cfRule type="cellIs" dxfId="263" priority="789" operator="equal">
      <formula>"Preenchimento pendente"</formula>
    </cfRule>
  </conditionalFormatting>
  <conditionalFormatting sqref="P219:P264">
    <cfRule type="cellIs" dxfId="262" priority="213" operator="equal">
      <formula>""</formula>
    </cfRule>
  </conditionalFormatting>
  <conditionalFormatting sqref="P220">
    <cfRule type="cellIs" dxfId="261" priority="1009" operator="lessThan">
      <formula>0</formula>
    </cfRule>
  </conditionalFormatting>
  <conditionalFormatting sqref="P235">
    <cfRule type="cellIs" dxfId="260" priority="222" operator="lessThan">
      <formula>0</formula>
    </cfRule>
  </conditionalFormatting>
  <conditionalFormatting sqref="P246:P248">
    <cfRule type="cellIs" dxfId="259" priority="217" operator="lessThan">
      <formula>0</formula>
    </cfRule>
  </conditionalFormatting>
  <conditionalFormatting sqref="P253:P255">
    <cfRule type="cellIs" dxfId="258" priority="214" operator="lessThan">
      <formula>0</formula>
    </cfRule>
  </conditionalFormatting>
  <conditionalFormatting sqref="P257">
    <cfRule type="cellIs" dxfId="257" priority="340" operator="lessThan">
      <formula>0</formula>
    </cfRule>
  </conditionalFormatting>
  <conditionalFormatting sqref="P261">
    <cfRule type="cellIs" dxfId="256" priority="2024" stopIfTrue="1" operator="equal">
      <formula>""</formula>
    </cfRule>
    <cfRule type="cellIs" dxfId="255" priority="2025" operator="equal">
      <formula>"Informação pendente"</formula>
    </cfRule>
    <cfRule type="cellIs" dxfId="254" priority="2022" operator="equal">
      <formula>"Informação pendente"</formula>
    </cfRule>
    <cfRule type="cellIs" dxfId="253" priority="2023" stopIfTrue="1" operator="equal">
      <formula>"Informação pendente"</formula>
    </cfRule>
  </conditionalFormatting>
  <conditionalFormatting sqref="P266">
    <cfRule type="cellIs" dxfId="252" priority="1800" operator="equal">
      <formula>""</formula>
    </cfRule>
    <cfRule type="cellIs" dxfId="251" priority="1799" operator="lessThan">
      <formula>0</formula>
    </cfRule>
  </conditionalFormatting>
  <conditionalFormatting sqref="P275">
    <cfRule type="cellIs" dxfId="250" priority="1957" operator="equal">
      <formula>"Informação pendente"</formula>
    </cfRule>
    <cfRule type="cellIs" dxfId="249" priority="1960" operator="equal">
      <formula>"Informação pendente"</formula>
    </cfRule>
    <cfRule type="cellIs" dxfId="248" priority="1959" stopIfTrue="1" operator="equal">
      <formula>""</formula>
    </cfRule>
    <cfRule type="cellIs" dxfId="247" priority="1958" stopIfTrue="1" operator="equal">
      <formula>"Informação pendente"</formula>
    </cfRule>
  </conditionalFormatting>
  <conditionalFormatting sqref="P298">
    <cfRule type="cellIs" dxfId="246" priority="351" operator="equal">
      <formula>""</formula>
    </cfRule>
  </conditionalFormatting>
  <conditionalFormatting sqref="P298:P304">
    <cfRule type="cellIs" dxfId="245" priority="350" operator="lessThan">
      <formula>0</formula>
    </cfRule>
    <cfRule type="cellIs" dxfId="244" priority="352" operator="equal">
      <formula>"Informação pendente"</formula>
    </cfRule>
  </conditionalFormatting>
  <conditionalFormatting sqref="P303">
    <cfRule type="cellIs" dxfId="243" priority="369" operator="equal">
      <formula>""</formula>
    </cfRule>
  </conditionalFormatting>
  <conditionalFormatting sqref="P304 P314">
    <cfRule type="cellIs" dxfId="242" priority="2029" stopIfTrue="1" operator="equal">
      <formula>""</formula>
    </cfRule>
  </conditionalFormatting>
  <conditionalFormatting sqref="P304:P306 P266:P297 O305 P328:P335 P353:P380 M364 P381:T381 Q846:T846">
    <cfRule type="cellIs" dxfId="241" priority="2082" operator="equal">
      <formula>"Preenchimento pendente"</formula>
    </cfRule>
  </conditionalFormatting>
  <conditionalFormatting sqref="P307:P308">
    <cfRule type="cellIs" dxfId="240" priority="1508" operator="lessThan">
      <formula>0</formula>
    </cfRule>
    <cfRule type="cellIs" dxfId="239" priority="1507" operator="equal">
      <formula>""</formula>
    </cfRule>
  </conditionalFormatting>
  <conditionalFormatting sqref="P307:P325">
    <cfRule type="cellIs" dxfId="238" priority="1047" operator="equal">
      <formula>"Preenchimento pendente"</formula>
    </cfRule>
  </conditionalFormatting>
  <conditionalFormatting sqref="P314 P304">
    <cfRule type="cellIs" dxfId="237" priority="2028" stopIfTrue="1" operator="equal">
      <formula>"Informação pendente"</formula>
    </cfRule>
  </conditionalFormatting>
  <conditionalFormatting sqref="P314">
    <cfRule type="cellIs" dxfId="236" priority="2027" operator="equal">
      <formula>"Informação pendente"</formula>
    </cfRule>
  </conditionalFormatting>
  <conditionalFormatting sqref="P314:P321 P323:P326 P328:P346">
    <cfRule type="cellIs" dxfId="235" priority="1048" operator="equal">
      <formula>""</formula>
    </cfRule>
  </conditionalFormatting>
  <conditionalFormatting sqref="P326">
    <cfRule type="cellIs" dxfId="234" priority="365" operator="equal">
      <formula>"Informação pendente"</formula>
    </cfRule>
    <cfRule type="cellIs" dxfId="233" priority="366" operator="lessThan">
      <formula>0</formula>
    </cfRule>
  </conditionalFormatting>
  <conditionalFormatting sqref="P337:P351">
    <cfRule type="cellIs" dxfId="232" priority="1301" operator="equal">
      <formula>"Preenchimento pendente"</formula>
    </cfRule>
  </conditionalFormatting>
  <conditionalFormatting sqref="P346:P351">
    <cfRule type="cellIs" dxfId="231" priority="1300" operator="lessThan">
      <formula>0</formula>
    </cfRule>
  </conditionalFormatting>
  <conditionalFormatting sqref="P353:P380">
    <cfRule type="cellIs" dxfId="230" priority="1490" operator="lessThan">
      <formula>0</formula>
    </cfRule>
  </conditionalFormatting>
  <conditionalFormatting sqref="P358">
    <cfRule type="cellIs" dxfId="229" priority="1489" operator="equal">
      <formula>"Informação pendente"</formula>
    </cfRule>
  </conditionalFormatting>
  <conditionalFormatting sqref="P382:P442">
    <cfRule type="cellIs" dxfId="228" priority="1432" operator="equal">
      <formula>"Preenchimento pendente"</formula>
    </cfRule>
  </conditionalFormatting>
  <conditionalFormatting sqref="P394">
    <cfRule type="cellIs" dxfId="227" priority="1447" operator="equal">
      <formula>""</formula>
    </cfRule>
  </conditionalFormatting>
  <conditionalFormatting sqref="P394:P404">
    <cfRule type="cellIs" dxfId="226" priority="1446" operator="lessThan">
      <formula>0</formula>
    </cfRule>
  </conditionalFormatting>
  <conditionalFormatting sqref="P406">
    <cfRule type="cellIs" dxfId="225" priority="1915" operator="equal">
      <formula>"Informação pendente"</formula>
    </cfRule>
  </conditionalFormatting>
  <conditionalFormatting sqref="P410">
    <cfRule type="cellIs" dxfId="224" priority="1914" operator="equal">
      <formula>"Informação pendente"</formula>
    </cfRule>
  </conditionalFormatting>
  <conditionalFormatting sqref="P416">
    <cfRule type="cellIs" dxfId="223" priority="2054" operator="equal">
      <formula>"Informação pendente"</formula>
    </cfRule>
  </conditionalFormatting>
  <conditionalFormatting sqref="P438:P439">
    <cfRule type="cellIs" dxfId="222" priority="1430" operator="equal">
      <formula>""</formula>
    </cfRule>
    <cfRule type="cellIs" dxfId="221" priority="1431" operator="lessThan">
      <formula>0</formula>
    </cfRule>
  </conditionalFormatting>
  <conditionalFormatting sqref="P441:P442">
    <cfRule type="cellIs" dxfId="220" priority="1516" operator="lessThan">
      <formula>0</formula>
    </cfRule>
  </conditionalFormatting>
  <conditionalFormatting sqref="P441:P474">
    <cfRule type="cellIs" dxfId="219" priority="138" operator="equal">
      <formula>""</formula>
    </cfRule>
  </conditionalFormatting>
  <conditionalFormatting sqref="P443:P474 M866:N867 M870:N870 M872:N879 N880:N882 M890:N894 T228 T240 T249:T257 T259:T262 Q407:R407 P466:Q466 P515:R515 M527 J887 P896:P898 R963 T975:T976">
    <cfRule type="cellIs" dxfId="218" priority="2056" operator="lessThan">
      <formula>0</formula>
    </cfRule>
  </conditionalFormatting>
  <conditionalFormatting sqref="P453">
    <cfRule type="cellIs" dxfId="217" priority="1975" operator="lessThan">
      <formula>0</formula>
    </cfRule>
  </conditionalFormatting>
  <conditionalFormatting sqref="P465 L23:T24 L27:T27 Q224:T225 P455:T464">
    <cfRule type="cellIs" dxfId="216" priority="2069" operator="equal">
      <formula>""</formula>
    </cfRule>
  </conditionalFormatting>
  <conditionalFormatting sqref="P465">
    <cfRule type="cellIs" dxfId="215" priority="2019" operator="equal">
      <formula>"Informação pendente"</formula>
    </cfRule>
    <cfRule type="cellIs" dxfId="214" priority="2018" stopIfTrue="1" operator="equal">
      <formula>""</formula>
    </cfRule>
  </conditionalFormatting>
  <conditionalFormatting sqref="P476:P483">
    <cfRule type="cellIs" dxfId="213" priority="1711" operator="equal">
      <formula>""</formula>
    </cfRule>
    <cfRule type="cellIs" dxfId="212" priority="1560" operator="lessThan">
      <formula>0</formula>
    </cfRule>
    <cfRule type="cellIs" dxfId="211" priority="1710" operator="equal">
      <formula>"Preenchimento pendente"</formula>
    </cfRule>
  </conditionalFormatting>
  <conditionalFormatting sqref="P485:P491">
    <cfRule type="cellIs" dxfId="210" priority="69" operator="equal">
      <formula>"Preenchimento pendente"</formula>
    </cfRule>
    <cfRule type="cellIs" dxfId="209" priority="70" operator="equal">
      <formula>""</formula>
    </cfRule>
    <cfRule type="cellIs" dxfId="208" priority="73" operator="lessThan">
      <formula>0</formula>
    </cfRule>
  </conditionalFormatting>
  <conditionalFormatting sqref="P489">
    <cfRule type="cellIs" dxfId="207" priority="71" operator="equal">
      <formula>"Informação pendente"</formula>
    </cfRule>
  </conditionalFormatting>
  <conditionalFormatting sqref="P494:P502">
    <cfRule type="cellIs" dxfId="206" priority="914" operator="equal">
      <formula>""</formula>
    </cfRule>
    <cfRule type="cellIs" dxfId="205" priority="913" operator="lessThan">
      <formula>0</formula>
    </cfRule>
    <cfRule type="cellIs" dxfId="204" priority="1458" operator="equal">
      <formula>"Preenchimento pendente"</formula>
    </cfRule>
  </conditionalFormatting>
  <conditionalFormatting sqref="P504:P514">
    <cfRule type="cellIs" dxfId="203" priority="1049" operator="lessThan">
      <formula>0</formula>
    </cfRule>
  </conditionalFormatting>
  <conditionalFormatting sqref="P504:P563">
    <cfRule type="cellIs" dxfId="202" priority="75" operator="equal">
      <formula>""</formula>
    </cfRule>
  </conditionalFormatting>
  <conditionalFormatting sqref="P504:P589">
    <cfRule type="cellIs" dxfId="201" priority="926" operator="equal">
      <formula>"Preenchimento pendente"</formula>
    </cfRule>
  </conditionalFormatting>
  <conditionalFormatting sqref="P510">
    <cfRule type="cellIs" dxfId="200" priority="74" operator="equal">
      <formula>"Informação pendente"</formula>
    </cfRule>
  </conditionalFormatting>
  <conditionalFormatting sqref="P516">
    <cfRule type="cellIs" dxfId="199" priority="76" operator="equal">
      <formula>"Informação pendente"</formula>
    </cfRule>
  </conditionalFormatting>
  <conditionalFormatting sqref="P516:P563">
    <cfRule type="cellIs" dxfId="198" priority="1512" operator="lessThan">
      <formula>0</formula>
    </cfRule>
  </conditionalFormatting>
  <conditionalFormatting sqref="P519">
    <cfRule type="cellIs" dxfId="197" priority="78" operator="equal">
      <formula>"Informação pendente"</formula>
    </cfRule>
  </conditionalFormatting>
  <conditionalFormatting sqref="P522">
    <cfRule type="cellIs" dxfId="196" priority="80" operator="equal">
      <formula>"Informação pendente"</formula>
    </cfRule>
  </conditionalFormatting>
  <conditionalFormatting sqref="P545:P548">
    <cfRule type="cellIs" dxfId="195" priority="1562" operator="equal">
      <formula>"Informação pendente"</formula>
    </cfRule>
  </conditionalFormatting>
  <conditionalFormatting sqref="P563">
    <cfRule type="cellIs" dxfId="194" priority="2009" operator="equal">
      <formula>"Informação pendente"</formula>
    </cfRule>
  </conditionalFormatting>
  <conditionalFormatting sqref="P581:P582">
    <cfRule type="cellIs" dxfId="193" priority="927" operator="equal">
      <formula>""</formula>
    </cfRule>
    <cfRule type="cellIs" dxfId="192" priority="928" operator="lessThan">
      <formula>0</formula>
    </cfRule>
  </conditionalFormatting>
  <conditionalFormatting sqref="P591:P611">
    <cfRule type="cellIs" dxfId="191" priority="934" operator="lessThan">
      <formula>0</formula>
    </cfRule>
  </conditionalFormatting>
  <conditionalFormatting sqref="P591:P612 I2:J10 L2:L977 I12:J38 I40:J55 I57:J57 I61:J62 I64:J79 I81:J134 I136:J137 I144:J223 O199:T221 I225:J228 I232:J232 I234:J237 Q234:T241 I239:J242 Q242:S242 I244:J247 I249:J270 O267:T268 O269:Q269 S269:T269 I298:J298 O298 O299:P302 O313:O985 P588:P589 R592:T604 Q605:T611 Q612 S680:S701 Q684:R701 Q948:T958 M959:N959 Q961:T975">
    <cfRule type="cellIs" dxfId="190" priority="1480" operator="equal">
      <formula>""</formula>
    </cfRule>
  </conditionalFormatting>
  <conditionalFormatting sqref="P601">
    <cfRule type="cellIs" dxfId="189" priority="935" operator="equal">
      <formula>"Informação pendente"</formula>
    </cfRule>
    <cfRule type="cellIs" dxfId="188" priority="937" operator="equal">
      <formula>"Informação pendente"</formula>
    </cfRule>
    <cfRule type="cellIs" dxfId="187" priority="936" stopIfTrue="1" operator="equal">
      <formula>""</formula>
    </cfRule>
  </conditionalFormatting>
  <conditionalFormatting sqref="P614:P618">
    <cfRule type="cellIs" dxfId="186" priority="946" operator="lessThan">
      <formula>0</formula>
    </cfRule>
  </conditionalFormatting>
  <conditionalFormatting sqref="P614:P766">
    <cfRule type="cellIs" dxfId="185" priority="639" operator="equal">
      <formula>""</formula>
    </cfRule>
  </conditionalFormatting>
  <conditionalFormatting sqref="P623">
    <cfRule type="cellIs" dxfId="184" priority="1278" operator="lessThan">
      <formula>0</formula>
    </cfRule>
  </conditionalFormatting>
  <conditionalFormatting sqref="P635">
    <cfRule type="cellIs" dxfId="183" priority="839" operator="lessThan">
      <formula>0</formula>
    </cfRule>
  </conditionalFormatting>
  <conditionalFormatting sqref="P640">
    <cfRule type="cellIs" dxfId="182" priority="838" operator="equal">
      <formula>"Preenchimento pendente"</formula>
    </cfRule>
    <cfRule type="cellIs" dxfId="181" priority="836" operator="equal">
      <formula>"Informação pendente"</formula>
    </cfRule>
    <cfRule type="cellIs" dxfId="180" priority="835" operator="lessThan">
      <formula>0</formula>
    </cfRule>
  </conditionalFormatting>
  <conditionalFormatting sqref="P655:P682">
    <cfRule type="cellIs" dxfId="179" priority="1071" operator="lessThan">
      <formula>0</formula>
    </cfRule>
  </conditionalFormatting>
  <conditionalFormatting sqref="P684:P755">
    <cfRule type="cellIs" dxfId="178" priority="638" operator="lessThan">
      <formula>0</formula>
    </cfRule>
  </conditionalFormatting>
  <conditionalFormatting sqref="P747:P895">
    <cfRule type="cellIs" dxfId="177" priority="1060" operator="equal">
      <formula>"Preenchimento pendente"</formula>
    </cfRule>
  </conditionalFormatting>
  <conditionalFormatting sqref="P768:P817">
    <cfRule type="cellIs" dxfId="176" priority="1597" operator="equal">
      <formula>""</formula>
    </cfRule>
  </conditionalFormatting>
  <conditionalFormatting sqref="P821:P823">
    <cfRule type="cellIs" dxfId="175" priority="1427" operator="lessThan">
      <formula>0</formula>
    </cfRule>
  </conditionalFormatting>
  <conditionalFormatting sqref="P821:P824">
    <cfRule type="cellIs" dxfId="174" priority="1426" operator="equal">
      <formula>""</formula>
    </cfRule>
  </conditionalFormatting>
  <conditionalFormatting sqref="P827:P894">
    <cfRule type="cellIs" dxfId="173" priority="1061" operator="equal">
      <formula>""</formula>
    </cfRule>
  </conditionalFormatting>
  <conditionalFormatting sqref="P832">
    <cfRule type="cellIs" dxfId="172" priority="1616" operator="lessThan">
      <formula>0</formula>
    </cfRule>
  </conditionalFormatting>
  <conditionalFormatting sqref="P834">
    <cfRule type="cellIs" dxfId="171" priority="1546" operator="lessThan">
      <formula>0</formula>
    </cfRule>
  </conditionalFormatting>
  <conditionalFormatting sqref="P852:P894">
    <cfRule type="cellIs" dxfId="170" priority="1059" operator="lessThan">
      <formula>0</formula>
    </cfRule>
  </conditionalFormatting>
  <conditionalFormatting sqref="P896:P914 P959:P963 P443:P474 Q325:T325 P326:T326 P335:T336 Q407:R407 R408:R426 Q414 Q491:T491 R503:R514 Q576:T577 R588:R590 R592:R603 R664:R667 R738:R755 Q792:T792 R852:R871 P973:P975">
    <cfRule type="cellIs" dxfId="169" priority="2077" operator="equal">
      <formula>"Preenchimento pendente"</formula>
    </cfRule>
  </conditionalFormatting>
  <conditionalFormatting sqref="P896:P915 P959:P963 O222:P222 O223:T227 O228:P228 O229:T233 O234:P235 O236:T238 P500:T502 Q502:T502 P518:T525 R538:T538 P612:Q612 S612:T612 P613:T615 Q616:T617 P618:T620 P622:T625 R626:T626 P646:T654 Q655:T663 T664:T667 Q665:T677 Q680:Q682 R681:S701 P682:R683 R716:T716 P977 P979:P983">
    <cfRule type="cellIs" dxfId="168" priority="2053" operator="equal">
      <formula>""</formula>
    </cfRule>
  </conditionalFormatting>
  <conditionalFormatting sqref="P917:P958">
    <cfRule type="cellIs" dxfId="167" priority="1055" operator="equal">
      <formula>""</formula>
    </cfRule>
    <cfRule type="cellIs" dxfId="166" priority="1054" operator="equal">
      <formula>"Preenchimento pendente"</formula>
    </cfRule>
  </conditionalFormatting>
  <conditionalFormatting sqref="P940:P941 P951:P952 P963 P975">
    <cfRule type="cellIs" dxfId="165" priority="1865" operator="equal">
      <formula>"Informação pendente"</formula>
    </cfRule>
  </conditionalFormatting>
  <conditionalFormatting sqref="P940:P941">
    <cfRule type="cellIs" dxfId="164" priority="1863" operator="lessThan">
      <formula>0</formula>
    </cfRule>
  </conditionalFormatting>
  <conditionalFormatting sqref="P951:P959">
    <cfRule type="cellIs" dxfId="163" priority="1053" operator="lessThan">
      <formula>0</formula>
    </cfRule>
  </conditionalFormatting>
  <conditionalFormatting sqref="P961:P975">
    <cfRule type="cellIs" dxfId="162" priority="1694" operator="lessThan">
      <formula>0</formula>
    </cfRule>
  </conditionalFormatting>
  <conditionalFormatting sqref="P963:P971">
    <cfRule type="cellIs" dxfId="161" priority="1692" operator="equal">
      <formula>"Preenchimento pendente"</formula>
    </cfRule>
  </conditionalFormatting>
  <conditionalFormatting sqref="P963:P975">
    <cfRule type="cellIs" dxfId="160" priority="1693" operator="equal">
      <formula>""</formula>
    </cfRule>
  </conditionalFormatting>
  <conditionalFormatting sqref="P977:P983">
    <cfRule type="cellIs" dxfId="159" priority="1453" operator="equal">
      <formula>"Preenchimento pendente"</formula>
    </cfRule>
  </conditionalFormatting>
  <conditionalFormatting sqref="P985">
    <cfRule type="cellIs" dxfId="158" priority="30" operator="lessThan">
      <formula>0</formula>
    </cfRule>
    <cfRule type="cellIs" dxfId="157" priority="29" operator="equal">
      <formula>"Preenchimento pendente"</formula>
    </cfRule>
    <cfRule type="cellIs" dxfId="156" priority="28" operator="equal">
      <formula>""</formula>
    </cfRule>
  </conditionalFormatting>
  <conditionalFormatting sqref="P347:R347 P385:T385 S427:T431 P428:Q429 Q430:Q431">
    <cfRule type="cellIs" dxfId="155" priority="2036" operator="equal">
      <formula>"Informação pendente"</formula>
    </cfRule>
  </conditionalFormatting>
  <conditionalFormatting sqref="P515:R515 P766 R766 T766">
    <cfRule type="cellIs" dxfId="154" priority="2334" operator="equal">
      <formula>"Informação pendente"</formula>
    </cfRule>
  </conditionalFormatting>
  <conditionalFormatting sqref="P916:S916">
    <cfRule type="cellIs" dxfId="153" priority="1832" operator="equal">
      <formula>""</formula>
    </cfRule>
    <cfRule type="cellIs" dxfId="152" priority="1833" operator="equal">
      <formula>"Informação pendente"</formula>
    </cfRule>
    <cfRule type="cellIs" dxfId="151" priority="1831" operator="lessThan">
      <formula>0</formula>
    </cfRule>
  </conditionalFormatting>
  <conditionalFormatting sqref="P976:S976">
    <cfRule type="cellIs" dxfId="150" priority="1815" operator="equal">
      <formula>"Informação pendente"</formula>
    </cfRule>
    <cfRule type="cellIs" dxfId="149" priority="1814" operator="equal">
      <formula>""</formula>
    </cfRule>
  </conditionalFormatting>
  <conditionalFormatting sqref="P48:T50">
    <cfRule type="cellIs" dxfId="148" priority="397" operator="equal">
      <formula>""</formula>
    </cfRule>
  </conditionalFormatting>
  <conditionalFormatting sqref="P135:T187 Q188:T194 O38:P38 O40:P50 L48:M50 S51:T51 O52:T62 O64:T91 O92:P93 P94 O95:P115 Q127:T127 P128:T133 P134:Q134 O162:O163 P246:T247 O270:T297 Q298:T303 O303 O304:T306 R327:T327 Q328:T333 P335:T343 Q343:T346 P356:P380 P357:T367 P382:P384 Q416:Q426 P478:S478 Q503:Q515 Q588:Q603 Q664:Q667 P668:T680 Q738:Q755 S738:S755 Q786:T786 Q852:Q871 P884:T899 L895:N895 L979:L983">
    <cfRule type="cellIs" dxfId="147" priority="1642" operator="equal">
      <formula>""</formula>
    </cfRule>
  </conditionalFormatting>
  <conditionalFormatting sqref="P229:T229 P240:T241 P264:T265">
    <cfRule type="cellIs" dxfId="146" priority="1884" operator="lessThan">
      <formula>0</formula>
    </cfRule>
  </conditionalFormatting>
  <conditionalFormatting sqref="P229:T229 P241:T241 P264:T265">
    <cfRule type="cellIs" dxfId="145" priority="1885" operator="equal">
      <formula>""</formula>
    </cfRule>
  </conditionalFormatting>
  <conditionalFormatting sqref="P290:T290">
    <cfRule type="cellIs" dxfId="144" priority="2080" operator="equal">
      <formula>"Informação pendente"</formula>
    </cfRule>
  </conditionalFormatting>
  <conditionalFormatting sqref="P322:T322">
    <cfRule type="cellIs" dxfId="143" priority="412" operator="lessThan">
      <formula>0</formula>
    </cfRule>
  </conditionalFormatting>
  <conditionalFormatting sqref="P325:T326 P427:Q429 Q430:Q431">
    <cfRule type="cellIs" dxfId="142" priority="2037" operator="equal">
      <formula>""</formula>
    </cfRule>
  </conditionalFormatting>
  <conditionalFormatting sqref="P381:T393 Q846:T846">
    <cfRule type="cellIs" dxfId="141" priority="1615" operator="equal">
      <formula>""</formula>
    </cfRule>
  </conditionalFormatting>
  <conditionalFormatting sqref="P385:T385">
    <cfRule type="cellIs" dxfId="140" priority="2253" operator="equal">
      <formula>"Informação pendente"</formula>
    </cfRule>
  </conditionalFormatting>
  <conditionalFormatting sqref="P432:T432 P433:Q433 S433:T433 P434:T437 Q438:T438 R439:S439 P440:T440 Q567:T567 Q576:T577">
    <cfRule type="cellIs" dxfId="139" priority="2017" operator="equal">
      <formula>""</formula>
    </cfRule>
  </conditionalFormatting>
  <conditionalFormatting sqref="P479:T487">
    <cfRule type="cellIs" dxfId="138" priority="1875" operator="equal">
      <formula>""</formula>
    </cfRule>
  </conditionalFormatting>
  <conditionalFormatting sqref="P549:T550">
    <cfRule type="cellIs" dxfId="137" priority="2059" operator="equal">
      <formula>"Informação pendente"</formula>
    </cfRule>
  </conditionalFormatting>
  <conditionalFormatting sqref="P561:T561 Q562:T562">
    <cfRule type="cellIs" dxfId="136" priority="2061" operator="equal">
      <formula>""</formula>
    </cfRule>
  </conditionalFormatting>
  <conditionalFormatting sqref="P756:T782 P978:T978">
    <cfRule type="cellIs" dxfId="135" priority="1449" operator="equal">
      <formula>""</formula>
    </cfRule>
    <cfRule type="cellIs" dxfId="134" priority="1452" operator="lessThan">
      <formula>0</formula>
    </cfRule>
  </conditionalFormatting>
  <conditionalFormatting sqref="P766:T767 P978:T978">
    <cfRule type="cellIs" dxfId="133" priority="1450" operator="equal">
      <formula>"Informação pendente"</formula>
    </cfRule>
  </conditionalFormatting>
  <conditionalFormatting sqref="P802:T802 M868:M869 M871">
    <cfRule type="cellIs" dxfId="132" priority="2064" operator="equal">
      <formula>"Informação pendente"</formula>
    </cfRule>
  </conditionalFormatting>
  <conditionalFormatting sqref="P899:T899 Q911:T911 P925:T925 P937:T937 P938:P951 S948 P960:T960 M896:N911 N912:N914 M915:N915 M919:N927 M929:N936 N937:N939 M942:N947 N948:N950 M951:N951 N960:N962 M963:N963 M970:N971 N972:N974 L975:N975 M976:N976 L979:N982 P335:T336 P900:P915 P917:P924 P926:P936 L972:L974 L977:M977 P977 M978 P979:P983 L983">
    <cfRule type="cellIs" dxfId="131" priority="2046" operator="lessThan">
      <formula>0</formula>
    </cfRule>
  </conditionalFormatting>
  <conditionalFormatting sqref="P899:T899 Q925:T925 Q911:T911">
    <cfRule type="cellIs" dxfId="130" priority="2045" stopIfTrue="1" operator="equal">
      <formula>""</formula>
    </cfRule>
  </conditionalFormatting>
  <conditionalFormatting sqref="P925:T925 P937:T937 P948 P960:T960 S948">
    <cfRule type="cellIs" dxfId="129" priority="2041" stopIfTrue="1" operator="equal">
      <formula>""</formula>
    </cfRule>
  </conditionalFormatting>
  <conditionalFormatting sqref="P925:T925 P937:T937 P948 P960:T960">
    <cfRule type="cellIs" dxfId="128" priority="2039" operator="equal">
      <formula>"Informação pendente"</formula>
    </cfRule>
  </conditionalFormatting>
  <conditionalFormatting sqref="Q16:Q38 Q42:T42 Q138:T138 Q222:T222 Q307:T308 Q441:T474 Q560:T560 Q681:R681 R682:R701 Q684:Q701 Q821:T823 Q876:T880 T877:T881 Q882:T894 Q896:T915">
    <cfRule type="cellIs" dxfId="127" priority="1636" operator="lessThan">
      <formula>0</formula>
    </cfRule>
  </conditionalFormatting>
  <conditionalFormatting sqref="Q39">
    <cfRule type="cellIs" dxfId="126" priority="270" operator="equal">
      <formula>""</formula>
    </cfRule>
    <cfRule type="cellIs" dxfId="125" priority="269" operator="equal">
      <formula>"Informação pendente"</formula>
    </cfRule>
  </conditionalFormatting>
  <conditionalFormatting sqref="Q51">
    <cfRule type="cellIs" dxfId="124" priority="322" operator="equal">
      <formula>""</formula>
    </cfRule>
    <cfRule type="cellIs" dxfId="123" priority="321" operator="equal">
      <formula>"Informação pendente"</formula>
    </cfRule>
  </conditionalFormatting>
  <conditionalFormatting sqref="Q63">
    <cfRule type="cellIs" dxfId="122" priority="284" operator="equal">
      <formula>""</formula>
    </cfRule>
    <cfRule type="cellIs" dxfId="121" priority="283" operator="equal">
      <formula>"Informação pendente"</formula>
    </cfRule>
  </conditionalFormatting>
  <conditionalFormatting sqref="Q94">
    <cfRule type="cellIs" dxfId="120" priority="293" operator="equal">
      <formula>"Informação pendente"</formula>
    </cfRule>
    <cfRule type="cellIs" dxfId="119" priority="294" operator="equal">
      <formula>""</formula>
    </cfRule>
  </conditionalFormatting>
  <conditionalFormatting sqref="Q274">
    <cfRule type="cellIs" dxfId="118" priority="2012" operator="equal">
      <formula>"Preenchimento pendente"</formula>
    </cfRule>
    <cfRule type="cellIs" dxfId="117" priority="2011" operator="equal">
      <formula>""</formula>
    </cfRule>
  </conditionalFormatting>
  <conditionalFormatting sqref="Q403 T403 T407:T427 Q411 Q413:Q414">
    <cfRule type="cellIs" dxfId="116" priority="1859" operator="lessThan">
      <formula>0</formula>
    </cfRule>
  </conditionalFormatting>
  <conditionalFormatting sqref="Q439 T439">
    <cfRule type="cellIs" dxfId="115" priority="1858" operator="equal">
      <formula>"Informação pendente"</formula>
    </cfRule>
    <cfRule type="cellIs" dxfId="114" priority="1857" operator="equal">
      <formula>""</formula>
    </cfRule>
  </conditionalFormatting>
  <conditionalFormatting sqref="Q515">
    <cfRule type="cellIs" dxfId="113" priority="1973" operator="equal">
      <formula>"Preenchimento pendente"</formula>
    </cfRule>
  </conditionalFormatting>
  <conditionalFormatting sqref="Q626">
    <cfRule type="cellIs" dxfId="112" priority="963" operator="lessThan">
      <formula>0</formula>
    </cfRule>
    <cfRule type="cellIs" dxfId="111" priority="961" operator="equal">
      <formula>"Preenchimento pendente"</formula>
    </cfRule>
    <cfRule type="cellIs" dxfId="110" priority="962" operator="equal">
      <formula>""</formula>
    </cfRule>
  </conditionalFormatting>
  <conditionalFormatting sqref="Q3:T38 R39:S39 Q40:T47 O138:T138 O139:P142 O148:P149 P150 O151:P152 P153 O154:P161 Q222:T222 Q307:T308 Q356:T356 Q441:T442 Q477:T477 Q525:T526 Q560:T560 Q681:R681 R682:R701 Q684:Q701 Q821:T823 Q832:T832 Q900:T915 Q940:T941 Q942:R942">
    <cfRule type="cellIs" dxfId="109" priority="1757" operator="equal">
      <formula>""</formula>
    </cfRule>
  </conditionalFormatting>
  <conditionalFormatting sqref="Q18:T19 Q150:T150 Q494:T495 P783:P789 P785:T785 J790:J792 Q798:T798 P799:T820 P824:T826 P827:P828 Q827:T828 P829:T831 P833:T833 Q834:T834 P835:T851 M868:M869 M871 Q881:S881 L884:M888 T912:T917 T919:T924 P976:T976 Q977:T977 Q979:T983">
    <cfRule type="cellIs" dxfId="108" priority="2010" operator="lessThan">
      <formula>0</formula>
    </cfRule>
  </conditionalFormatting>
  <conditionalFormatting sqref="Q114:T117 Q198:T200 Q258:T258 Q376:S376 Q380:T380 Q491:T491 Q552:S552 Q621:T621 Q845:T845">
    <cfRule type="cellIs" dxfId="107" priority="1928" operator="lessThan">
      <formula>0</formula>
    </cfRule>
  </conditionalFormatting>
  <conditionalFormatting sqref="Q135:T211 L30 S51:T51 Q52:T62 Q64:T93 Q95:T133 O128:T128 Q134">
    <cfRule type="cellIs" dxfId="106" priority="1691" operator="equal">
      <formula>"Informação pendente"</formula>
    </cfRule>
  </conditionalFormatting>
  <conditionalFormatting sqref="Q186:T188">
    <cfRule type="cellIs" dxfId="105" priority="1593" operator="lessThan">
      <formula>0</formula>
    </cfRule>
  </conditionalFormatting>
  <conditionalFormatting sqref="Q187:T188">
    <cfRule type="cellIs" dxfId="104" priority="1594" stopIfTrue="1" operator="equal">
      <formula>""</formula>
    </cfRule>
  </conditionalFormatting>
  <conditionalFormatting sqref="Q234:T235">
    <cfRule type="cellIs" dxfId="103" priority="1611" operator="lessThan">
      <formula>0</formula>
    </cfRule>
  </conditionalFormatting>
  <conditionalFormatting sqref="Q244:T245 Q248:T261">
    <cfRule type="cellIs" dxfId="102" priority="1612" operator="equal">
      <formula>""</formula>
    </cfRule>
  </conditionalFormatting>
  <conditionalFormatting sqref="Q249:T262 P484:T484 Q494:T514 Q515:R515 T515 Q516:T516 Q517 S517:T517 Q518:T548 Q551:T590 Q591 S591:T591 Q791:T850">
    <cfRule type="cellIs" dxfId="101" priority="1874" operator="equal">
      <formula>"Informação pendente"</formula>
    </cfRule>
  </conditionalFormatting>
  <conditionalFormatting sqref="Q255:T255">
    <cfRule type="cellIs" dxfId="100" priority="2336" operator="equal">
      <formula>"Preenchimento pendente"</formula>
    </cfRule>
    <cfRule type="cellIs" dxfId="99" priority="2337" operator="equal">
      <formula>"Pendente Preenchimento"</formula>
    </cfRule>
    <cfRule type="cellIs" dxfId="98" priority="2338" operator="equal">
      <formula>"Preenchimento Pendente "</formula>
    </cfRule>
  </conditionalFormatting>
  <conditionalFormatting sqref="Q265:T266">
    <cfRule type="cellIs" dxfId="97" priority="1883" operator="equal">
      <formula>""</formula>
    </cfRule>
  </conditionalFormatting>
  <conditionalFormatting sqref="Q282:T284 Q287:T287 Q289:T289 Q292:T292 Q295:T295 Q296 P315:Q315">
    <cfRule type="cellIs" dxfId="96" priority="1976" operator="equal">
      <formula>""</formula>
    </cfRule>
  </conditionalFormatting>
  <conditionalFormatting sqref="Q282:T284 Q287:T287 Q289:T289 Q292:T292 Q295:T295 Q296 Q298:T299 Q301:T303">
    <cfRule type="cellIs" dxfId="95" priority="1911" operator="lessThan">
      <formula>0</formula>
    </cfRule>
  </conditionalFormatting>
  <conditionalFormatting sqref="Q284:T284 Q286:T287 Q289:T290 Q292:T292 Q295:T296 Q299:T300 Q302:T303 Q364:T364">
    <cfRule type="cellIs" dxfId="94" priority="1910" operator="equal">
      <formula>"Preenchimento pendente"</formula>
    </cfRule>
  </conditionalFormatting>
  <conditionalFormatting sqref="Q305:T313 Q315:T324 R327:T327 Q328:T334 Q443:T474 Q478:S478 Q485:T489 S612:T612 Q613:T625 R626:T626 Q627:T634 Q768:T789 Q888:T898 M916:N927 L940:L942">
    <cfRule type="cellIs" dxfId="93" priority="1688" operator="equal">
      <formula>"Informação pendente"</formula>
    </cfRule>
  </conditionalFormatting>
  <conditionalFormatting sqref="Q310:T310">
    <cfRule type="cellIs" dxfId="92" priority="1905" operator="lessThan">
      <formula>0</formula>
    </cfRule>
    <cfRule type="cellIs" dxfId="91" priority="1904" operator="equal">
      <formula>"Preenchimento pendente"</formula>
    </cfRule>
  </conditionalFormatting>
  <conditionalFormatting sqref="Q352:T352">
    <cfRule type="cellIs" dxfId="90" priority="2165" operator="equal">
      <formula>""</formula>
    </cfRule>
  </conditionalFormatting>
  <conditionalFormatting sqref="Q376:T376 P538:T559">
    <cfRule type="cellIs" dxfId="89" priority="1923" operator="equal">
      <formula>""</formula>
    </cfRule>
  </conditionalFormatting>
  <conditionalFormatting sqref="Q394:T394">
    <cfRule type="cellIs" dxfId="88" priority="1463" operator="lessThan">
      <formula>0</formula>
    </cfRule>
    <cfRule type="cellIs" dxfId="87" priority="1460" operator="equal">
      <formula>""</formula>
    </cfRule>
  </conditionalFormatting>
  <conditionalFormatting sqref="Q432:T432 Q433 S433:T433 Q434:T438 R439:S439 P475:T475 Q490 S490:T490 P492:T493 P501:T501 P525:T525 P537 R538:T538">
    <cfRule type="cellIs" dxfId="86" priority="2052" operator="equal">
      <formula>"Informação pendente"</formula>
    </cfRule>
  </conditionalFormatting>
  <conditionalFormatting sqref="Q488:T489 Q490 S490:T490 P491:T495 Q496:T496">
    <cfRule type="cellIs" dxfId="85" priority="1897" operator="equal">
      <formula>""</formula>
    </cfRule>
  </conditionalFormatting>
  <conditionalFormatting sqref="Q491:T491">
    <cfRule type="cellIs" dxfId="84" priority="1974" operator="equal">
      <formula>""</formula>
    </cfRule>
  </conditionalFormatting>
  <conditionalFormatting sqref="Q620:T620 Q622:T622 Q634:T634 Q646:T646 Q670:T670 Q682:R682 T682 Q694:T694">
    <cfRule type="cellIs" dxfId="83" priority="2184" operator="equal">
      <formula>"'"</formula>
    </cfRule>
  </conditionalFormatting>
  <conditionalFormatting sqref="Q685:T738">
    <cfRule type="cellIs" dxfId="82" priority="1608" operator="equal">
      <formula>""</formula>
    </cfRule>
  </conditionalFormatting>
  <conditionalFormatting sqref="Q702:T702">
    <cfRule type="cellIs" dxfId="81" priority="2181" operator="equal">
      <formula>"'"</formula>
    </cfRule>
  </conditionalFormatting>
  <conditionalFormatting sqref="Q785:T785">
    <cfRule type="cellIs" dxfId="80" priority="2347" operator="equal">
      <formula>"Preenchimento Pendente "</formula>
    </cfRule>
    <cfRule type="cellIs" dxfId="79" priority="2345" operator="equal">
      <formula>"Preenchimento pendente"</formula>
    </cfRule>
    <cfRule type="cellIs" dxfId="78" priority="2346" operator="equal">
      <formula>"Pendente Preenchimento"</formula>
    </cfRule>
  </conditionalFormatting>
  <conditionalFormatting sqref="Q852:T874">
    <cfRule type="cellIs" dxfId="77" priority="1886" operator="equal">
      <formula>"Informação pendente"</formula>
    </cfRule>
  </conditionalFormatting>
  <conditionalFormatting sqref="Q881:T883">
    <cfRule type="cellIs" dxfId="76" priority="1570" operator="equal">
      <formula>""</formula>
    </cfRule>
  </conditionalFormatting>
  <conditionalFormatting sqref="Q882:T883">
    <cfRule type="cellIs" dxfId="75" priority="1568" operator="equal">
      <formula>"Preenchimento pendente"</formula>
    </cfRule>
  </conditionalFormatting>
  <conditionalFormatting sqref="Q919:T925 M889:N911 M888 Q977:T977 Q979:T983">
    <cfRule type="cellIs" dxfId="74" priority="2042" operator="equal">
      <formula>""</formula>
    </cfRule>
  </conditionalFormatting>
  <conditionalFormatting sqref="Q919:T927 P899:T899 T916">
    <cfRule type="cellIs" dxfId="73" priority="2043" operator="equal">
      <formula>"Informação pendente"</formula>
    </cfRule>
  </conditionalFormatting>
  <conditionalFormatting sqref="Q932:T932">
    <cfRule type="cellIs" dxfId="72" priority="2284" operator="equal">
      <formula>"'"</formula>
    </cfRule>
  </conditionalFormatting>
  <conditionalFormatting sqref="Q964:T966">
    <cfRule type="cellIs" dxfId="71" priority="1595" stopIfTrue="1" operator="equal">
      <formula>""</formula>
    </cfRule>
  </conditionalFormatting>
  <conditionalFormatting sqref="R51">
    <cfRule type="cellIs" dxfId="70" priority="319" operator="equal">
      <formula>"Informação pendente"</formula>
    </cfRule>
    <cfRule type="cellIs" dxfId="69" priority="320" operator="equal">
      <formula>""</formula>
    </cfRule>
  </conditionalFormatting>
  <conditionalFormatting sqref="R63">
    <cfRule type="cellIs" dxfId="68" priority="282" operator="equal">
      <formula>""</formula>
    </cfRule>
    <cfRule type="cellIs" dxfId="67" priority="281" operator="equal">
      <formula>"Informação pendente"</formula>
    </cfRule>
  </conditionalFormatting>
  <conditionalFormatting sqref="R94">
    <cfRule type="cellIs" dxfId="66" priority="291" operator="equal">
      <formula>"Informação pendente"</formula>
    </cfRule>
    <cfRule type="cellIs" dxfId="65" priority="292" operator="equal">
      <formula>""</formula>
    </cfRule>
  </conditionalFormatting>
  <conditionalFormatting sqref="R269">
    <cfRule type="cellIs" dxfId="64" priority="344" operator="equal">
      <formula>""</formula>
    </cfRule>
    <cfRule type="cellIs" dxfId="63" priority="345" operator="lessThan">
      <formula>0</formula>
    </cfRule>
  </conditionalFormatting>
  <conditionalFormatting sqref="R433">
    <cfRule type="cellIs" dxfId="62" priority="804" operator="lessThan">
      <formula>0</formula>
    </cfRule>
    <cfRule type="cellIs" dxfId="61" priority="807" operator="equal">
      <formula>"Informação pendente"</formula>
    </cfRule>
    <cfRule type="cellIs" dxfId="60" priority="806" operator="equal">
      <formula>""</formula>
    </cfRule>
    <cfRule type="cellIs" dxfId="59" priority="805" stopIfTrue="1" operator="equal">
      <formula>""</formula>
    </cfRule>
  </conditionalFormatting>
  <conditionalFormatting sqref="R489:R490">
    <cfRule type="cellIs" dxfId="58" priority="1585" operator="lessThan">
      <formula>0</formula>
    </cfRule>
    <cfRule type="cellIs" dxfId="57" priority="1589" operator="equal">
      <formula>"Informação pendente"</formula>
    </cfRule>
    <cfRule type="cellIs" dxfId="56" priority="1586" operator="equal">
      <formula>""</formula>
    </cfRule>
  </conditionalFormatting>
  <conditionalFormatting sqref="R503:R515">
    <cfRule type="cellIs" dxfId="55" priority="1787" operator="lessThan">
      <formula>0</formula>
    </cfRule>
  </conditionalFormatting>
  <conditionalFormatting sqref="R517">
    <cfRule type="cellIs" dxfId="54" priority="800" operator="lessThan">
      <formula>0</formula>
    </cfRule>
    <cfRule type="cellIs" dxfId="53" priority="802" operator="equal">
      <formula>""</formula>
    </cfRule>
    <cfRule type="cellIs" dxfId="52" priority="801" stopIfTrue="1" operator="equal">
      <formula>""</formula>
    </cfRule>
    <cfRule type="cellIs" dxfId="51" priority="803" operator="equal">
      <formula>"Informação pendente"</formula>
    </cfRule>
  </conditionalFormatting>
  <conditionalFormatting sqref="R588:R603">
    <cfRule type="cellIs" dxfId="50" priority="796" operator="lessThan">
      <formula>0</formula>
    </cfRule>
  </conditionalFormatting>
  <conditionalFormatting sqref="R591">
    <cfRule type="cellIs" dxfId="49" priority="797" stopIfTrue="1" operator="equal">
      <formula>""</formula>
    </cfRule>
    <cfRule type="cellIs" dxfId="48" priority="798" operator="equal">
      <formula>""</formula>
    </cfRule>
    <cfRule type="cellIs" dxfId="47" priority="799" operator="equal">
      <formula>"Informação pendente"</formula>
    </cfRule>
  </conditionalFormatting>
  <conditionalFormatting sqref="R612">
    <cfRule type="cellIs" dxfId="46" priority="915" operator="equal">
      <formula>"Informação pendente"</formula>
    </cfRule>
    <cfRule type="cellIs" dxfId="45" priority="917" operator="equal">
      <formula>""</formula>
    </cfRule>
    <cfRule type="cellIs" dxfId="44" priority="916" operator="lessThan">
      <formula>0</formula>
    </cfRule>
  </conditionalFormatting>
  <conditionalFormatting sqref="R809:S809 R822:S822">
    <cfRule type="cellIs" dxfId="43" priority="2331" operator="equal">
      <formula>"Preenchimento pendente"</formula>
    </cfRule>
    <cfRule type="cellIs" dxfId="42" priority="2332" operator="equal">
      <formula>"Pendente Preenchimento"</formula>
    </cfRule>
    <cfRule type="cellIs" dxfId="41" priority="2333" operator="equal">
      <formula>"Preenchimento Pendente "</formula>
    </cfRule>
  </conditionalFormatting>
  <conditionalFormatting sqref="R134:T134">
    <cfRule type="cellIs" dxfId="40" priority="1445" operator="equal">
      <formula>"Informação pendente"</formula>
    </cfRule>
    <cfRule type="cellIs" dxfId="39" priority="1443" operator="equal">
      <formula>""</formula>
    </cfRule>
    <cfRule type="cellIs" dxfId="38" priority="1442" operator="lessThan">
      <formula>0</formula>
    </cfRule>
  </conditionalFormatting>
  <conditionalFormatting sqref="R716:T716">
    <cfRule type="cellIs" dxfId="37" priority="1926" operator="equal">
      <formula>"Informação pendente"</formula>
    </cfRule>
  </conditionalFormatting>
  <conditionalFormatting sqref="R797:T798">
    <cfRule type="cellIs" dxfId="36" priority="2342" operator="equal">
      <formula>"Preenchimento pendente"</formula>
    </cfRule>
    <cfRule type="cellIs" dxfId="35" priority="2343" operator="equal">
      <formula>"Pendente Preenchimento"</formula>
    </cfRule>
    <cfRule type="cellIs" dxfId="34" priority="2344" operator="equal">
      <formula>"Preenchimento Pendente "</formula>
    </cfRule>
  </conditionalFormatting>
  <conditionalFormatting sqref="S63">
    <cfRule type="cellIs" dxfId="33" priority="280" operator="equal">
      <formula>""</formula>
    </cfRule>
    <cfRule type="cellIs" dxfId="32" priority="279" operator="equal">
      <formula>"Informação pendente"</formula>
    </cfRule>
  </conditionalFormatting>
  <conditionalFormatting sqref="S94">
    <cfRule type="cellIs" dxfId="31" priority="290" operator="equal">
      <formula>""</formula>
    </cfRule>
    <cfRule type="cellIs" dxfId="30" priority="289" operator="equal">
      <formula>"Informação pendente"</formula>
    </cfRule>
  </conditionalFormatting>
  <conditionalFormatting sqref="S217">
    <cfRule type="cellIs" dxfId="29" priority="1842" operator="equal">
      <formula>""</formula>
    </cfRule>
    <cfRule type="cellIs" dxfId="28" priority="1843" operator="equal">
      <formula>"Informação pendente"</formula>
    </cfRule>
  </conditionalFormatting>
  <conditionalFormatting sqref="S503:S515 P627:T643">
    <cfRule type="cellIs" dxfId="27" priority="1457" operator="lessThan">
      <formula>0</formula>
    </cfRule>
  </conditionalFormatting>
  <conditionalFormatting sqref="S515 P627:T643">
    <cfRule type="cellIs" dxfId="26" priority="1459" operator="equal">
      <formula>""</formula>
    </cfRule>
  </conditionalFormatting>
  <conditionalFormatting sqref="S515 P635:T635">
    <cfRule type="cellIs" dxfId="25" priority="1455" operator="equal">
      <formula>"Informação pendente"</formula>
    </cfRule>
  </conditionalFormatting>
  <conditionalFormatting sqref="S916">
    <cfRule type="cellIs" dxfId="24" priority="1837" operator="lessThan">
      <formula>0</formula>
    </cfRule>
  </conditionalFormatting>
  <conditionalFormatting sqref="S976">
    <cfRule type="cellIs" dxfId="23" priority="1819" operator="lessThan">
      <formula>0</formula>
    </cfRule>
  </conditionalFormatting>
  <conditionalFormatting sqref="S217:T217">
    <cfRule type="cellIs" dxfId="22" priority="1880" operator="equal">
      <formula>"Informação pendente"</formula>
    </cfRule>
    <cfRule type="cellIs" dxfId="21" priority="1879" operator="equal">
      <formula>""</formula>
    </cfRule>
  </conditionalFormatting>
  <conditionalFormatting sqref="T14 T23 T27 T38 T48:T50 Q248:T248 Q466 Q851:T851 Q875:T875">
    <cfRule type="cellIs" dxfId="20" priority="2084" operator="equal">
      <formula>"Preenchimento pendente"</formula>
    </cfRule>
  </conditionalFormatting>
  <conditionalFormatting sqref="T39">
    <cfRule type="cellIs" dxfId="19" priority="268" operator="equal">
      <formula>""</formula>
    </cfRule>
    <cfRule type="cellIs" dxfId="18" priority="267" operator="equal">
      <formula>"Informação pendente"</formula>
    </cfRule>
  </conditionalFormatting>
  <conditionalFormatting sqref="T63">
    <cfRule type="cellIs" dxfId="17" priority="286" operator="equal">
      <formula>""</formula>
    </cfRule>
    <cfRule type="cellIs" dxfId="16" priority="285" operator="equal">
      <formula>"Informação pendente"</formula>
    </cfRule>
  </conditionalFormatting>
  <conditionalFormatting sqref="T94">
    <cfRule type="cellIs" dxfId="15" priority="287" operator="equal">
      <formula>"Informação pendente"</formula>
    </cfRule>
    <cfRule type="cellIs" dxfId="14" priority="288" operator="equal">
      <formula>""</formula>
    </cfRule>
  </conditionalFormatting>
  <conditionalFormatting sqref="T265">
    <cfRule type="cellIs" dxfId="13" priority="1882" operator="lessThan">
      <formula>0</formula>
    </cfRule>
  </conditionalFormatting>
  <conditionalFormatting sqref="T432:T440 Q439 T443:T453 T455:T464 T466:T474 T567">
    <cfRule type="cellIs" dxfId="12" priority="1856" operator="lessThan">
      <formula>0</formula>
    </cfRule>
  </conditionalFormatting>
  <conditionalFormatting sqref="T476 T478:T483 T494:T495 T526:T535 T538:T548">
    <cfRule type="cellIs" dxfId="11" priority="2020" operator="lessThan">
      <formula>0</formula>
    </cfRule>
  </conditionalFormatting>
  <conditionalFormatting sqref="T680">
    <cfRule type="cellIs" dxfId="10" priority="911" operator="equal">
      <formula>"Informação pendente"</formula>
    </cfRule>
  </conditionalFormatting>
  <conditionalFormatting sqref="T680:T701">
    <cfRule type="cellIs" dxfId="9" priority="912" operator="equal">
      <formula>""</formula>
    </cfRule>
  </conditionalFormatting>
  <conditionalFormatting sqref="T916 P925:T927 P929:T939 P942:T947 P959:T960 T976">
    <cfRule type="cellIs" dxfId="8" priority="2038" operator="equal">
      <formula>""</formula>
    </cfRule>
  </conditionalFormatting>
  <conditionalFormatting sqref="T976 Q977:T977 Q979:T983">
    <cfRule type="cellIs" dxfId="7" priority="2013" operator="equal">
      <formula>"Informação pendente"</formula>
    </cfRule>
  </conditionalFormatting>
  <conditionalFormatting sqref="AB2:AB985">
    <cfRule type="expression" dxfId="6" priority="958">
      <formula>AA2&lt;&gt;AB2</formula>
    </cfRule>
    <cfRule type="expression" dxfId="5" priority="959">
      <formula>AA2 = AB2</formula>
    </cfRule>
  </conditionalFormatting>
  <dataValidations count="11">
    <dataValidation type="custom" allowBlank="1" showInputMessage="1" showErrorMessage="1" sqref="M484:T484 N915:P915 P975 T439 P940:P941 P951 P806 T681 Q403 T403 Q411 I862:J870 Q413:Q414 I323:J323 Q439 M588:M618 N916:S916 I596:J597 N976:T976 I30:J30 I78:J79 I162:J162 I222:J224 O748:O785 I307:J308 I344:J345 I356:J356 I405:J406 M393 I453:J454 I477:J477 I511:J511 I537:J537 I645:J645 I821:J823 I832:J832 Q42:T42 Q30 I560:J560 Q905:T905 Q138:T138 Q222:T222 Q307:T307 Q441:T441 Q560:T560 Q821:T821 I931:J931 L448:O448 P515:S515 I952:J958 N978:T978 P797:T797 N895:T895 L990:L2902 I929 Q635:T635 M990:O1048576 N896:O914 P358 I430:J430 Q394:T394 O636:O638 I42:J43 I562:J562 I67:J67 J928:J929 P767:T767 P128:T128 J621 I513:J514 N977:O977 O984:O988 I442:J442 N652 J358 N270:N483 I551:J552 I102:J104 P824 I135:J135 N787:O894 I857:J859 I568:J568 I467:J467 I586:J586 O676 I56:J56 I58:J60 I138:J143 I229:J231 I233:J233 I238:J238 I490 I505:J505 O445:O483 M525 O525 J517:J518 I610:J611 I518 J490:J491 O248:O254 I417:I424 I600 I543:J546 M661:M662 M676 M236:M242 N739:N786 L678:O678 O729 M729 M731 M984:M988 O731 N979:N988 O979:O982 L654 O661:O662 L449:L515 O516:O519 I509:J509 M485:O515 M521:M523 O521:O523 O527 O588:O614 M527 M516:M519 N572:N614 I607:J608 M572:M586 L572:L618 O572:O586 L620:O621 L626:O626 L628:O630 L634:O634 L636:L637 N636:N637 N639 M636:M639 L639 N654 L641:L645 L650 L652 M641:M655 O641:O655 N641:N645 N650 L517:L570 M529:M570 N517:N570 O529:O570 M748:M982 M154:M216 N615:O618 I319:J321 N244:N268 I246:J246 O151 O664 O40:O50 I11:J11 M430 J599:J602 N917:O975 M64:M93 J417:J425 O433:O434 M148:M149 M40:M50 L2:L232 N2:N232 O2:O38 M2:M38 O64:O93 M128:M143 O52:O62 M52:M62 M739:M746 M248:M254 M151:M152 M146 M95:M126 O95:O126 O128:O143 O145:O146 O148:O149 O739:O746 M218:M234 O154:O216 O218:O234 O236:O242 O244:O246 M256:M391 O256:O391 O393:O415 M395:M415 O417:O428 M417:M428 M433 O430:O431 M445:M483 L248:L447 M436:M437 O436:O437 O439:O440 M439:M440 M442:M443 O442:O443 J605 N234:N242 L234:L242 L244:M246 L739:L988" xr:uid="{B9E024F2-7DCA-4C81-8D8E-1CA03E06696B}">
      <formula1>OR(I2&lt;=0,I2="Informação pendente")</formula1>
    </dataValidation>
    <dataValidation type="custom" allowBlank="1" showInputMessage="1" showErrorMessage="1" sqref="I1:J1" xr:uid="{76A2D8AD-F2DE-486B-9BF8-EE0BCEC7066B}">
      <formula1>OR(I2&lt;=0,I2="Informação pendente")</formula1>
    </dataValidation>
    <dataValidation type="custom" allowBlank="1" showInputMessage="1" showErrorMessage="1" sqref="J241 I225:I228 J290 J284 J286 I324:I343 J403:J404 J352 J413 J578:J579 J570:J571 J576 J638 J650 I443:I452 I39:J39 I347:I355 N646:N649 M663:M675 I163:I221 I871:I928 I232 O587 I553:I559 J622:J627 I468:I476 I68:I77 I64:I66 J917:J918 J646 I538:J538 I598:J598 I526:I536 O747 I416:J416 I824:I831 I322 I136:I137 J732:J738 I144:J144 I309:I318 I247:J247 I425:I429 L571:O571 J479 I561 M679:O728 I860:I861 I407:I415 I12:I29 I274:I306 I105:I134 L247:M247 I563:I567 I455:I466 I930 J524 O444 I587:I595 I1000:J1048576 I57 I61:I62 I491:I504 I506:I508 I833:I856 J846 J512 L619:O619 I517 I959:I988 I990 J606 I601:I606 J591 J656:J660 J662:J675 J677 N233 J727:J730 J679:J725 L656:O656 N638 I747:J747 M657:M660 J235 M677:O677 L646:L649 L679:L738 N729:N738 O730 M730 M983 M732:M738 O732:O738 O983 O657:O660 I52:I55 J99 I478:I488 J520 I515 N516 L233 M520 O520 O524 O526 O528 M528 M526 M524 J526:J528 J587 I523:I524 N657:N676 N655 N653 N651 L657:L677 L655 L653 M587 J615:J620 L627:O627 L651 L622:O625 J631:J633 L640:O640 J635 L631:O633 L635:O635 L638 I612:J612 J640 I539:I542 I547:I550 O663 O665:O675 I932:I951 J999 I991:J998 I234:I237 I44:I50 I2:I10 I81:I101 J94 M94 O94 Q94:T94 Q63:T63 O63 M63 I31:I38 I40:I41 Q39 T39 J127 I150:J150 J147 I145:I149 I151:I161 J153 I646:I746 I748:I820 M747 M153 M150 M147 M144 M127 O127 O144 O147 O150 O153 I239:I242 I244:I245 I249:I272 J255 J217 I243:J243 M235 M217 O217 O235 L243:O243 O247 O255 M255 I435:J435 J438 J444 J441 I431:I434 I436:I441 J432 J429 J426 I357:I404 J392 M392 O392 O416 M416 O429 M429 M432 O432 O435 M435 M438 O438 O441 M441 M444 I520:I521 L516 I569:I585 I599 J603 I609:J609 I613:I644" xr:uid="{6C7CC9C9-CD83-41F0-AC65-F49632A346E9}">
      <formula1>OR(I2&gt;=0,I2="Informação pendente")</formula1>
    </dataValidation>
    <dataValidation type="decimal" allowBlank="1" showInputMessage="1" showErrorMessage="1" sqref="Q291:T295 Q301:T302 Q285:T285 Q287:T289 T395:T402 Q412:T412 Q395:Q402 S298:S299 Q440:Q441 T440 P916:T916 P976:T976 Q230:T240 R441:T441 Q768:T796 Q296 Q405:Q410 Q324:T351 Q896:T915 Q20:Q29 R413:S440 T129 Q138:T228 R395:S403 Q884:T894 Q415:Q438 Q485:S514 Q443:T483 Q353:T380 S871 Q129:S137 Q382:T393 T485:T634 Q977:T977 S812:S845 Q297:R299 T297:T299 Q798:R845 T798:T845 S798:S810 R611:S634 T413:T438 T131:T137 Q304:R322 T304:T322 Q636:T766 R405:T411 Q847:T870 Q872:T881 Q627:Q634 S304:S323 Q243:T283 Q2:T19 R604:S604 Q242:S242 Q991 Q979:T990 Q992:T1048576 S991:T991 Q917:T975 Q611:Q625 Q516:S603 Q605:S610 Q64:T93 R20:R50 Q95:T127 Q52:R62 Q40:Q50 Q31:Q38 S20:S62 T20:T38 T40:T62" xr:uid="{E6FF6831-40EA-41AA-A08B-F44456DBCE50}">
      <formula1>-100000000</formula1>
      <formula2>0</formula2>
    </dataValidation>
    <dataValidation type="custom" allowBlank="1" showInputMessage="1" showErrorMessage="1" sqref="J847:J856 J128:J134 J256:J283 J647:J649 J136:J137 J285 J287:J289 J225:J228 J407:J412 J347:J351 I51:J51 J580:J582 J577 J572:J575 J639 J427:J428 J651:J655 J726 J731 J95:J98 J569 J588:J590 J322 J353:J355 J445:J452 J12:J29 J871:J916 J553:J559 J523 J414:J415 J68:J77 J959:J983 J636:J637 J468:J476 J824:J831 J529:J536 J439:J440 J604 J919:J927 J218:J221 J436:J437 J678 J100:J101 J748:J820 J324:J343 J641:J644 J309:J318 J154:J161 J239:J240 I525:J525 J676 J584:J585 I516 J480:J489 J561 J860:J861 J515:J516 J357 J291:J306 J40:J41 J431 J563:J567 J455:J466 J930 I522:J522 J478 J592:J595 J236:J237 J57 J61:J66 J232 J492:J504 J506:J508 J661 J833:J845 J628:J630 J634 J539:J542 J547:J550 O39 J932:J951 J242 J244:J245 I63 J44:J50 J52:J55 M51 M39 Q51:R51 O51 J2:J10 J81:J93 J31:J38 J105:J126 J145:J146 J148:J149 J151:J152 J739:J746 J249:J254 J163:J216 J234 J433:J434 J443 J359:J391 J393:J402 I489 I510:J510 I519:J519 J521 J613:J614" xr:uid="{CFEEC34B-06D2-474C-91F8-A9BB01D214B2}">
      <formula1>OR(I2="Informação pendente",I2&gt;=0)</formula1>
    </dataValidation>
    <dataValidation type="list" allowBlank="1" showInputMessage="1" showErrorMessage="1" sqref="U466:U584 U333:U403 U406:U464 U586:U927 U2:U330 U929:U983" xr:uid="{FC29A803-2A05-492C-BE36-B7C181B785FD}">
      <formula1>"Sim, Não"</formula1>
    </dataValidation>
    <dataValidation type="list" allowBlank="1" showInputMessage="1" showErrorMessage="1" sqref="C1002:C1048576 C1:C1000" xr:uid="{6C22357D-AD44-4450-868A-5ACC25CA743E}">
      <formula1>"Sim,Não"</formula1>
    </dataValidation>
    <dataValidation type="date" operator="greaterThan" allowBlank="1" showInputMessage="1" showErrorMessage="1" sqref="B2:B489 B491:B1048576" xr:uid="{FD8DE6EA-026D-4C5C-A960-2FFB5109DC71}">
      <formula1>45657</formula1>
    </dataValidation>
    <dataValidation type="decimal" allowBlank="1" showInputMessage="1" showErrorMessage="1" sqref="G990:H1048576 G1:H988" xr:uid="{F871E08F-1563-4522-8CEF-9524923DB11C}">
      <formula1>0</formula1>
      <formula2>10000</formula2>
    </dataValidation>
    <dataValidation type="decimal" allowBlank="1" showInputMessage="1" showErrorMessage="1" sqref="K990:K1048576 K439:K988 K423:K436 K1:K420" xr:uid="{5A950137-6670-4037-B816-6A81F464F3AF}">
      <formula1>0</formula1>
      <formula2>100000000000</formula2>
    </dataValidation>
    <dataValidation type="decimal" allowBlank="1" showInputMessage="1" showErrorMessage="1" sqref="AC565:AD598 AD637:AD676 AC1:AD563 AD600:AD635 AC600:AC767 AC769:AC1048576 AD678:AD771 AD773:AD1048576" xr:uid="{0767CE08-2F69-4978-A530-AE7E67458D75}">
      <formula1>0</formula1>
      <formula2>1000000000000</formula2>
    </dataValidation>
  </dataValidations>
  <hyperlinks>
    <hyperlink ref="AN2" r:id="rId1" xr:uid="{43F2E2FB-E34F-4A00-BA4C-385A8939E0A7}"/>
    <hyperlink ref="AN3:AN985" r:id="rId2" display="kaike.costa@atlasinovacoes.com.br" xr:uid="{594EBAC8-4B0B-4681-A73D-5DA80CF7E4E5}"/>
  </hyperlinks>
  <pageMargins left="0.511811024" right="0.511811024" top="0.78740157499999996" bottom="0.78740157499999996" header="0.31496062000000002" footer="0.31496062000000002"/>
  <pageSetup paperSize="9" scale="10" fitToWidth="0" fitToHeight="0" orientation="portrait" r:id="rId3"/>
  <ignoredErrors>
    <ignoredError sqref="K992:AA993 Q989:X989 K988:O988 L986 L990:V990 X990:AA990 Z989:AA989 Q986:V986 L987 Q988:V988 K995:AA995 K994:T994 V994:AA994 K1004:AA1048576 K1003:U1003 W1003:AA1003 N986 K991:Q991 S991:AA991 K997:AA1002 L996:AA996 X986:AA986 X987:AA987 X988:AA988 N987:V987" listDataValidation="1"/>
  </ignoredErrors>
  <drawing r:id="rId4"/>
  <legacyDrawing r:id="rId5"/>
  <tableParts count="1">
    <tablePart r:id="rId6"/>
  </tableParts>
  <extLst>
    <ext xmlns:x14="http://schemas.microsoft.com/office/spreadsheetml/2009/9/main" uri="{CCE6A557-97BC-4b89-ADB6-D9C93CAAB3DF}">
      <x14:dataValidations xmlns:xm="http://schemas.microsoft.com/office/excel/2006/main" count="3">
        <x14:dataValidation type="list" allowBlank="1" showInputMessage="1" showErrorMessage="1" xr:uid="{262A6C9E-2537-4B1E-A7A2-9A2147A8E026}">
          <x14:formula1>
            <xm:f>'Categoria'!$A$2:$A$19</xm:f>
          </x14:formula1>
          <xm:sqref>E1:E1048576</xm:sqref>
        </x14:dataValidation>
        <x14:dataValidation type="list" allowBlank="1" showInputMessage="1" showErrorMessage="1" xr:uid="{43480F1A-9882-4B2A-B3B7-429541B2EF17}">
          <x14:formula1>
            <xm:f>Fornecedor!$A$2:$A$91</xm:f>
          </x14:formula1>
          <xm:sqref>F1:F1048576</xm:sqref>
        </x14:dataValidation>
        <x14:dataValidation type="list" allowBlank="1" showInputMessage="1" showErrorMessage="1" xr:uid="{83C83455-4EAD-4F6D-8645-09BA0C8D3004}">
          <x14:formula1>
            <xm:f>Unidade!$A:$A</xm:f>
          </x14:formula1>
          <xm:sqref>D1:D990 K996 H998:H999 D992:D993 D996:D1048576</xm:sqref>
        </x14:dataValidation>
      </x14:dataValidations>
    </ext>
    <ext xmlns:x15="http://schemas.microsoft.com/office/spreadsheetml/2010/11/main" uri="{3A4CF648-6AED-40f4-86FF-DC5316D8AED3}">
      <x14:slicerList xmlns:x14="http://schemas.microsoft.com/office/spreadsheetml/2009/9/main">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D81E-457F-44D3-B006-2BB249CB6139}">
  <sheetPr>
    <tabColor theme="9" tint="-0.249977111117893"/>
  </sheetPr>
  <dimension ref="A1:Y414"/>
  <sheetViews>
    <sheetView showGridLines="0" zoomScale="90" zoomScaleNormal="90" workbookViewId="0">
      <pane xSplit="1" topLeftCell="E1" activePane="topRight" state="frozen"/>
      <selection pane="topRight" activeCell="F408" sqref="F408"/>
    </sheetView>
  </sheetViews>
  <sheetFormatPr defaultRowHeight="14.5"/>
  <cols>
    <col min="1" max="1" width="28.54296875" style="143" customWidth="1"/>
    <col min="2" max="2" width="29.36328125" style="23" customWidth="1"/>
    <col min="3" max="3" width="17.54296875" style="23" customWidth="1"/>
    <col min="4" max="4" width="15.453125" style="23" customWidth="1"/>
    <col min="5" max="5" width="14.453125" style="23" customWidth="1"/>
    <col min="6" max="6" width="37.54296875" style="23" customWidth="1"/>
    <col min="7" max="7" width="13.36328125" style="23" customWidth="1"/>
    <col min="8" max="8" width="14.54296875" style="138" customWidth="1"/>
    <col min="9" max="9" width="13.36328125" style="138" customWidth="1"/>
    <col min="10" max="10" width="16.54296875" style="23" customWidth="1"/>
    <col min="11" max="11" width="16.6328125" style="127" customWidth="1"/>
    <col min="12" max="12" width="16.54296875" style="127" customWidth="1"/>
    <col min="13" max="13" width="15.54296875" style="23" customWidth="1"/>
    <col min="14" max="14" width="21.6328125" style="127" customWidth="1"/>
    <col min="15" max="15" width="16.453125" style="127" customWidth="1"/>
    <col min="16" max="16" width="28.453125" style="23" customWidth="1"/>
    <col min="17" max="17" width="24.54296875" style="23" customWidth="1"/>
    <col min="18" max="18" width="24.54296875" style="149" customWidth="1"/>
    <col min="19" max="19" width="24.6328125" style="149" customWidth="1"/>
    <col min="20" max="20" width="26.54296875" style="149" customWidth="1"/>
    <col min="21" max="21" width="24.54296875" style="149" customWidth="1"/>
    <col min="22" max="22" width="18.54296875" style="40" customWidth="1"/>
    <col min="23" max="23" width="20.453125" style="40" customWidth="1"/>
    <col min="24" max="24" width="12.453125" style="6" customWidth="1"/>
    <col min="25" max="25" width="19.6328125" style="5" customWidth="1"/>
  </cols>
  <sheetData>
    <row r="1" spans="2:25" s="110" customFormat="1" ht="29.5" thickBot="1">
      <c r="B1" s="111" t="s">
        <v>0</v>
      </c>
      <c r="C1" s="111" t="s">
        <v>22</v>
      </c>
      <c r="D1" s="111" t="s">
        <v>27</v>
      </c>
      <c r="E1" s="112" t="s">
        <v>311</v>
      </c>
      <c r="F1" s="121" t="s">
        <v>312</v>
      </c>
      <c r="G1" s="122" t="s">
        <v>313</v>
      </c>
      <c r="H1" s="136" t="s">
        <v>314</v>
      </c>
      <c r="I1" s="136" t="s">
        <v>315</v>
      </c>
      <c r="J1" s="122" t="s">
        <v>316</v>
      </c>
      <c r="K1" s="126" t="s">
        <v>317</v>
      </c>
      <c r="L1" s="126" t="s">
        <v>318</v>
      </c>
      <c r="M1" s="122" t="s">
        <v>319</v>
      </c>
      <c r="N1" s="126" t="s">
        <v>320</v>
      </c>
      <c r="O1" s="128" t="s">
        <v>321</v>
      </c>
      <c r="P1" s="122" t="s">
        <v>322</v>
      </c>
      <c r="Q1" s="122" t="s">
        <v>323</v>
      </c>
      <c r="R1" s="125" t="s">
        <v>324</v>
      </c>
      <c r="S1" s="125" t="s">
        <v>325</v>
      </c>
      <c r="T1" s="125" t="s">
        <v>326</v>
      </c>
      <c r="U1" s="125" t="s">
        <v>327</v>
      </c>
      <c r="V1" s="125" t="s">
        <v>328</v>
      </c>
      <c r="W1" s="125" t="s">
        <v>329</v>
      </c>
      <c r="X1" s="124" t="s">
        <v>330</v>
      </c>
      <c r="Y1" s="126" t="s">
        <v>331</v>
      </c>
    </row>
    <row r="2" spans="2:25" s="118" customFormat="1" ht="15" hidden="1" customHeight="1" thickBot="1">
      <c r="B2" s="113" t="s">
        <v>21</v>
      </c>
      <c r="C2" s="113" t="s">
        <v>30</v>
      </c>
      <c r="D2" s="113" t="s">
        <v>40</v>
      </c>
      <c r="E2" s="114">
        <v>45658</v>
      </c>
      <c r="F2" s="119" t="s">
        <v>332</v>
      </c>
      <c r="G2" s="113" t="s">
        <v>333</v>
      </c>
      <c r="H2" s="137">
        <v>0.91666666666666663</v>
      </c>
      <c r="I2" s="137" t="s">
        <v>334</v>
      </c>
      <c r="J2" s="115">
        <v>0</v>
      </c>
      <c r="K2" s="178">
        <v>19.5</v>
      </c>
      <c r="L2" s="117">
        <f t="shared" ref="L2:L65" si="0">J2*K2</f>
        <v>0</v>
      </c>
      <c r="M2" s="115">
        <v>1</v>
      </c>
      <c r="N2" s="178">
        <v>140.97</v>
      </c>
      <c r="O2" s="120">
        <f t="shared" ref="O2:O65" si="1">M2*N2</f>
        <v>140.97</v>
      </c>
      <c r="P2" s="115"/>
      <c r="Q2" s="115"/>
      <c r="R2" s="115"/>
      <c r="S2" s="115"/>
      <c r="T2" s="115">
        <f>Tabela4[[#This Row],[Valor do contrato sem o equipamento]]/30.4375*3</f>
        <v>0</v>
      </c>
      <c r="U2" s="115">
        <f>Tabela4[[#This Row],[Valor contrato]]*(30.4375-Tabela4[[#This Row],[Dias inoperantes]])/30.4375</f>
        <v>0</v>
      </c>
      <c r="V2" s="116"/>
      <c r="W2" s="123"/>
      <c r="X2" s="139"/>
      <c r="Y2" s="123">
        <f>Tabela4[[#This Row],[Diferença]]*Tabela4[[#This Row],[Quantidade]]</f>
        <v>0</v>
      </c>
    </row>
    <row r="3" spans="2:25" s="118" customFormat="1" ht="15" hidden="1" customHeight="1" thickBot="1">
      <c r="B3" s="113" t="s">
        <v>21</v>
      </c>
      <c r="C3" s="113" t="s">
        <v>30</v>
      </c>
      <c r="D3" s="113" t="s">
        <v>40</v>
      </c>
      <c r="E3" s="114">
        <v>45658</v>
      </c>
      <c r="F3" s="119" t="s">
        <v>332</v>
      </c>
      <c r="G3" s="113" t="s">
        <v>335</v>
      </c>
      <c r="H3" s="137">
        <v>0.58333333333333337</v>
      </c>
      <c r="I3" s="137" t="s">
        <v>336</v>
      </c>
      <c r="J3" s="115">
        <v>0</v>
      </c>
      <c r="K3" s="178">
        <v>19.55</v>
      </c>
      <c r="L3" s="117">
        <f t="shared" si="0"/>
        <v>0</v>
      </c>
      <c r="M3" s="115">
        <v>23</v>
      </c>
      <c r="N3" s="178">
        <v>141.31</v>
      </c>
      <c r="O3" s="120">
        <f t="shared" si="1"/>
        <v>3250.13</v>
      </c>
      <c r="P3" s="115"/>
      <c r="Q3" s="115"/>
      <c r="R3" s="115"/>
      <c r="S3" s="115"/>
      <c r="T3" s="115">
        <f>Tabela4[[#This Row],[Valor do contrato sem o equipamento]]/30.4375*3</f>
        <v>0</v>
      </c>
      <c r="U3" s="115">
        <f>Tabela4[[#This Row],[Valor contrato]]*(30.4375-Tabela4[[#This Row],[Dias inoperantes]])/30.4375</f>
        <v>0</v>
      </c>
      <c r="V3" s="116"/>
      <c r="W3" s="123"/>
      <c r="X3" s="139"/>
      <c r="Y3" s="123">
        <f>Tabela4[[#This Row],[Diferença]]*Tabela4[[#This Row],[Quantidade]]</f>
        <v>0</v>
      </c>
    </row>
    <row r="4" spans="2:25" s="118" customFormat="1" ht="15" hidden="1" customHeight="1" thickBot="1">
      <c r="B4" s="113" t="s">
        <v>21</v>
      </c>
      <c r="C4" s="113" t="s">
        <v>30</v>
      </c>
      <c r="D4" s="113" t="s">
        <v>40</v>
      </c>
      <c r="E4" s="114">
        <v>45658</v>
      </c>
      <c r="F4" s="119" t="s">
        <v>337</v>
      </c>
      <c r="G4" s="113" t="s">
        <v>335</v>
      </c>
      <c r="H4" s="137" t="s">
        <v>334</v>
      </c>
      <c r="I4" s="137" t="s">
        <v>338</v>
      </c>
      <c r="J4" s="115">
        <v>0</v>
      </c>
      <c r="K4" s="178">
        <v>23.17</v>
      </c>
      <c r="L4" s="117">
        <f t="shared" si="0"/>
        <v>0</v>
      </c>
      <c r="M4" s="115">
        <v>5</v>
      </c>
      <c r="N4" s="178">
        <v>167.5</v>
      </c>
      <c r="O4" s="120">
        <f t="shared" si="1"/>
        <v>837.5</v>
      </c>
      <c r="P4" s="115"/>
      <c r="Q4" s="115"/>
      <c r="R4" s="115"/>
      <c r="S4" s="115"/>
      <c r="T4" s="115">
        <f>Tabela4[[#This Row],[Valor do contrato sem o equipamento]]/30.4375*3</f>
        <v>0</v>
      </c>
      <c r="U4" s="115">
        <f>Tabela4[[#This Row],[Valor contrato]]*(30.4375-Tabela4[[#This Row],[Dias inoperantes]])/30.4375</f>
        <v>0</v>
      </c>
      <c r="V4" s="116"/>
      <c r="W4" s="123"/>
      <c r="X4" s="139"/>
      <c r="Y4" s="123">
        <f>Tabela4[[#This Row],[Diferença]]*Tabela4[[#This Row],[Quantidade]]</f>
        <v>0</v>
      </c>
    </row>
    <row r="5" spans="2:25" s="118" customFormat="1" ht="15" hidden="1" customHeight="1" thickBot="1">
      <c r="B5" s="113" t="s">
        <v>21</v>
      </c>
      <c r="C5" s="113" t="s">
        <v>30</v>
      </c>
      <c r="D5" s="113" t="s">
        <v>40</v>
      </c>
      <c r="E5" s="114">
        <v>45658</v>
      </c>
      <c r="F5" s="119" t="s">
        <v>339</v>
      </c>
      <c r="G5" s="113" t="s">
        <v>335</v>
      </c>
      <c r="H5" s="137" t="s">
        <v>340</v>
      </c>
      <c r="I5" s="137" t="s">
        <v>341</v>
      </c>
      <c r="J5" s="115">
        <v>0</v>
      </c>
      <c r="K5" s="178">
        <v>20.5</v>
      </c>
      <c r="L5" s="117">
        <f t="shared" si="0"/>
        <v>0</v>
      </c>
      <c r="M5" s="115">
        <v>16</v>
      </c>
      <c r="N5" s="178">
        <v>148.13999999999999</v>
      </c>
      <c r="O5" s="120">
        <f t="shared" si="1"/>
        <v>2370.2399999999998</v>
      </c>
      <c r="P5" s="115"/>
      <c r="Q5" s="115"/>
      <c r="R5" s="115"/>
      <c r="S5" s="115"/>
      <c r="T5" s="115">
        <f>Tabela4[[#This Row],[Valor do contrato sem o equipamento]]/30.4375*3</f>
        <v>0</v>
      </c>
      <c r="U5" s="115">
        <f>Tabela4[[#This Row],[Valor contrato]]*(30.4375-Tabela4[[#This Row],[Dias inoperantes]])/30.4375</f>
        <v>0</v>
      </c>
      <c r="V5" s="116"/>
      <c r="W5" s="123"/>
      <c r="X5" s="139"/>
      <c r="Y5" s="123">
        <f>Tabela4[[#This Row],[Diferença]]*Tabela4[[#This Row],[Quantidade]]</f>
        <v>0</v>
      </c>
    </row>
    <row r="6" spans="2:25" s="118" customFormat="1" ht="15" hidden="1" customHeight="1" thickBot="1">
      <c r="B6" s="113" t="s">
        <v>21</v>
      </c>
      <c r="C6" s="113" t="s">
        <v>30</v>
      </c>
      <c r="D6" s="113" t="s">
        <v>40</v>
      </c>
      <c r="E6" s="114">
        <v>45658</v>
      </c>
      <c r="F6" s="119" t="s">
        <v>339</v>
      </c>
      <c r="G6" s="113" t="s">
        <v>335</v>
      </c>
      <c r="H6" s="137" t="s">
        <v>340</v>
      </c>
      <c r="I6" s="137" t="s">
        <v>341</v>
      </c>
      <c r="J6" s="115">
        <v>0</v>
      </c>
      <c r="K6" s="178">
        <v>20.5</v>
      </c>
      <c r="L6" s="117">
        <f t="shared" si="0"/>
        <v>0</v>
      </c>
      <c r="M6" s="115">
        <v>5</v>
      </c>
      <c r="N6" s="178">
        <v>148.13999999999999</v>
      </c>
      <c r="O6" s="120">
        <f t="shared" si="1"/>
        <v>740.69999999999993</v>
      </c>
      <c r="P6" s="115"/>
      <c r="Q6" s="115"/>
      <c r="R6" s="115"/>
      <c r="S6" s="115"/>
      <c r="T6" s="115">
        <f>Tabela4[[#This Row],[Valor do contrato sem o equipamento]]/30.4375*3</f>
        <v>0</v>
      </c>
      <c r="U6" s="115">
        <f>Tabela4[[#This Row],[Valor contrato]]*(30.4375-Tabela4[[#This Row],[Dias inoperantes]])/30.4375</f>
        <v>0</v>
      </c>
      <c r="V6" s="116"/>
      <c r="W6" s="123"/>
      <c r="X6" s="139"/>
      <c r="Y6" s="123">
        <f>Tabela4[[#This Row],[Diferença]]*Tabela4[[#This Row],[Quantidade]]</f>
        <v>0</v>
      </c>
    </row>
    <row r="7" spans="2:25" s="118" customFormat="1" ht="15" hidden="1" customHeight="1" thickBot="1">
      <c r="B7" s="113" t="s">
        <v>21</v>
      </c>
      <c r="C7" s="113" t="s">
        <v>30</v>
      </c>
      <c r="D7" s="113" t="s">
        <v>40</v>
      </c>
      <c r="E7" s="114">
        <v>45658</v>
      </c>
      <c r="F7" s="119" t="s">
        <v>339</v>
      </c>
      <c r="G7" s="113" t="s">
        <v>335</v>
      </c>
      <c r="H7" s="137">
        <v>0.56944444444444442</v>
      </c>
      <c r="I7" s="137" t="s">
        <v>342</v>
      </c>
      <c r="J7" s="115">
        <v>0</v>
      </c>
      <c r="K7" s="178">
        <v>20.5</v>
      </c>
      <c r="L7" s="117">
        <f t="shared" si="0"/>
        <v>0</v>
      </c>
      <c r="M7" s="115">
        <v>3</v>
      </c>
      <c r="N7" s="178">
        <v>148.13999999999999</v>
      </c>
      <c r="O7" s="120">
        <f t="shared" si="1"/>
        <v>444.41999999999996</v>
      </c>
      <c r="P7" s="115"/>
      <c r="Q7" s="115"/>
      <c r="R7" s="115"/>
      <c r="S7" s="115"/>
      <c r="T7" s="115">
        <f>Tabela4[[#This Row],[Valor do contrato sem o equipamento]]/30.4375*3</f>
        <v>0</v>
      </c>
      <c r="U7" s="115">
        <f>Tabela4[[#This Row],[Valor contrato]]*(30.4375-Tabela4[[#This Row],[Dias inoperantes]])/30.4375</f>
        <v>0</v>
      </c>
      <c r="V7" s="116"/>
      <c r="W7" s="123"/>
      <c r="X7" s="139"/>
      <c r="Y7" s="123">
        <f>Tabela4[[#This Row],[Diferença]]*Tabela4[[#This Row],[Quantidade]]</f>
        <v>0</v>
      </c>
    </row>
    <row r="8" spans="2:25" s="118" customFormat="1" ht="15" hidden="1" customHeight="1" thickBot="1">
      <c r="B8" s="113" t="s">
        <v>21</v>
      </c>
      <c r="C8" s="113" t="s">
        <v>30</v>
      </c>
      <c r="D8" s="113" t="s">
        <v>40</v>
      </c>
      <c r="E8" s="114">
        <v>45658</v>
      </c>
      <c r="F8" s="119" t="s">
        <v>339</v>
      </c>
      <c r="G8" s="113" t="s">
        <v>335</v>
      </c>
      <c r="H8" s="137">
        <v>0.25</v>
      </c>
      <c r="I8" s="137" t="s">
        <v>341</v>
      </c>
      <c r="J8" s="115">
        <v>0</v>
      </c>
      <c r="K8" s="169">
        <v>20.5</v>
      </c>
      <c r="L8" s="117">
        <f t="shared" si="0"/>
        <v>0</v>
      </c>
      <c r="M8" s="115"/>
      <c r="N8" s="169">
        <v>148.13999999999999</v>
      </c>
      <c r="O8" s="120">
        <f t="shared" si="1"/>
        <v>0</v>
      </c>
      <c r="P8" s="115"/>
      <c r="Q8" s="115"/>
      <c r="R8" s="115"/>
      <c r="S8" s="115"/>
      <c r="T8" s="115">
        <f>Tabela4[[#This Row],[Valor do contrato sem o equipamento]]/30.4375*3</f>
        <v>0</v>
      </c>
      <c r="U8" s="115">
        <f>Tabela4[[#This Row],[Valor contrato]]*(30.4375-Tabela4[[#This Row],[Dias inoperantes]])/30.4375</f>
        <v>0</v>
      </c>
      <c r="V8" s="116"/>
      <c r="W8" s="123"/>
      <c r="X8" s="139"/>
      <c r="Y8" s="123">
        <f>Tabela4[[#This Row],[Diferença]]*Tabela4[[#This Row],[Quantidade]]</f>
        <v>0</v>
      </c>
    </row>
    <row r="9" spans="2:25" s="118" customFormat="1" ht="15" hidden="1" customHeight="1" thickBot="1">
      <c r="B9" s="113" t="s">
        <v>21</v>
      </c>
      <c r="C9" s="113" t="s">
        <v>30</v>
      </c>
      <c r="D9" s="113" t="s">
        <v>40</v>
      </c>
      <c r="E9" s="114">
        <v>45658</v>
      </c>
      <c r="F9" s="119" t="s">
        <v>339</v>
      </c>
      <c r="G9" s="113" t="s">
        <v>335</v>
      </c>
      <c r="H9" s="137" t="s">
        <v>343</v>
      </c>
      <c r="I9" s="137" t="s">
        <v>342</v>
      </c>
      <c r="J9" s="115">
        <v>0</v>
      </c>
      <c r="K9" s="169">
        <v>20.5</v>
      </c>
      <c r="L9" s="117">
        <f t="shared" si="0"/>
        <v>0</v>
      </c>
      <c r="M9" s="115">
        <v>17</v>
      </c>
      <c r="N9" s="169">
        <v>148.13999999999999</v>
      </c>
      <c r="O9" s="120">
        <f t="shared" si="1"/>
        <v>2518.3799999999997</v>
      </c>
      <c r="P9" s="115"/>
      <c r="Q9" s="115"/>
      <c r="R9" s="115"/>
      <c r="S9" s="115"/>
      <c r="T9" s="115">
        <f>Tabela4[[#This Row],[Valor do contrato sem o equipamento]]/30.4375*3</f>
        <v>0</v>
      </c>
      <c r="U9" s="115">
        <f>Tabela4[[#This Row],[Valor contrato]]*(30.4375-Tabela4[[#This Row],[Dias inoperantes]])/30.4375</f>
        <v>0</v>
      </c>
      <c r="V9" s="116"/>
      <c r="W9" s="123"/>
      <c r="X9" s="139"/>
      <c r="Y9" s="123">
        <f>Tabela4[[#This Row],[Diferença]]*Tabela4[[#This Row],[Quantidade]]</f>
        <v>0</v>
      </c>
    </row>
    <row r="10" spans="2:25" s="118" customFormat="1" ht="15" hidden="1" customHeight="1" thickBot="1">
      <c r="B10" s="113" t="s">
        <v>21</v>
      </c>
      <c r="C10" s="113" t="s">
        <v>30</v>
      </c>
      <c r="D10" s="113" t="s">
        <v>40</v>
      </c>
      <c r="E10" s="114">
        <v>45658</v>
      </c>
      <c r="F10" s="119" t="s">
        <v>339</v>
      </c>
      <c r="G10" s="113" t="s">
        <v>335</v>
      </c>
      <c r="H10" s="137" t="s">
        <v>340</v>
      </c>
      <c r="I10" s="137" t="s">
        <v>341</v>
      </c>
      <c r="J10" s="115">
        <v>0</v>
      </c>
      <c r="K10" s="169">
        <v>20.5</v>
      </c>
      <c r="L10" s="117">
        <f t="shared" si="0"/>
        <v>0</v>
      </c>
      <c r="M10" s="115"/>
      <c r="N10" s="169">
        <v>148.13999999999999</v>
      </c>
      <c r="O10" s="120">
        <f t="shared" si="1"/>
        <v>0</v>
      </c>
      <c r="P10" s="115"/>
      <c r="Q10" s="115"/>
      <c r="R10" s="115"/>
      <c r="S10" s="115"/>
      <c r="T10" s="115">
        <f>Tabela4[[#This Row],[Valor do contrato sem o equipamento]]/30.4375*3</f>
        <v>0</v>
      </c>
      <c r="U10" s="115">
        <f>Tabela4[[#This Row],[Valor contrato]]*(30.4375-Tabela4[[#This Row],[Dias inoperantes]])/30.4375</f>
        <v>0</v>
      </c>
      <c r="V10" s="116"/>
      <c r="W10" s="123"/>
      <c r="X10" s="139"/>
      <c r="Y10" s="123">
        <f>Tabela4[[#This Row],[Diferença]]*Tabela4[[#This Row],[Quantidade]]</f>
        <v>0</v>
      </c>
    </row>
    <row r="11" spans="2:25" s="118" customFormat="1" ht="15" hidden="1" customHeight="1" thickBot="1">
      <c r="B11" s="113" t="s">
        <v>21</v>
      </c>
      <c r="C11" s="113" t="s">
        <v>30</v>
      </c>
      <c r="D11" s="113" t="s">
        <v>40</v>
      </c>
      <c r="E11" s="114">
        <v>45658</v>
      </c>
      <c r="F11" s="119" t="s">
        <v>344</v>
      </c>
      <c r="G11" s="113" t="s">
        <v>333</v>
      </c>
      <c r="H11" s="137">
        <v>0.91666666666666663</v>
      </c>
      <c r="I11" s="137" t="s">
        <v>334</v>
      </c>
      <c r="J11" s="115">
        <v>0</v>
      </c>
      <c r="K11" s="169">
        <v>24.53</v>
      </c>
      <c r="L11" s="117">
        <f t="shared" si="0"/>
        <v>0</v>
      </c>
      <c r="M11" s="115"/>
      <c r="N11" s="169">
        <v>177.27</v>
      </c>
      <c r="O11" s="120">
        <f t="shared" si="1"/>
        <v>0</v>
      </c>
      <c r="P11" s="115"/>
      <c r="Q11" s="115"/>
      <c r="R11" s="115"/>
      <c r="S11" s="115"/>
      <c r="T11" s="115">
        <f>Tabela4[[#This Row],[Valor do contrato sem o equipamento]]/30.4375*3</f>
        <v>0</v>
      </c>
      <c r="U11" s="115">
        <f>Tabela4[[#This Row],[Valor contrato]]*(30.4375-Tabela4[[#This Row],[Dias inoperantes]])/30.4375</f>
        <v>0</v>
      </c>
      <c r="V11" s="116"/>
      <c r="W11" s="123"/>
      <c r="X11" s="139"/>
      <c r="Y11" s="123">
        <f>Tabela4[[#This Row],[Diferença]]*Tabela4[[#This Row],[Quantidade]]</f>
        <v>0</v>
      </c>
    </row>
    <row r="12" spans="2:25" s="118" customFormat="1" ht="15" hidden="1" customHeight="1" thickBot="1">
      <c r="B12" s="113" t="s">
        <v>21</v>
      </c>
      <c r="C12" s="113" t="s">
        <v>30</v>
      </c>
      <c r="D12" s="113" t="s">
        <v>40</v>
      </c>
      <c r="E12" s="114">
        <v>45658</v>
      </c>
      <c r="F12" s="119" t="s">
        <v>339</v>
      </c>
      <c r="G12" s="113" t="s">
        <v>335</v>
      </c>
      <c r="H12" s="137" t="s">
        <v>340</v>
      </c>
      <c r="I12" s="137" t="s">
        <v>341</v>
      </c>
      <c r="J12" s="115">
        <v>0</v>
      </c>
      <c r="K12" s="169">
        <v>20.5</v>
      </c>
      <c r="L12" s="117">
        <f t="shared" si="0"/>
        <v>0</v>
      </c>
      <c r="M12" s="115"/>
      <c r="N12" s="169">
        <v>148.13999999999999</v>
      </c>
      <c r="O12" s="120">
        <f t="shared" si="1"/>
        <v>0</v>
      </c>
      <c r="P12" s="115"/>
      <c r="Q12" s="115"/>
      <c r="R12" s="115"/>
      <c r="S12" s="115"/>
      <c r="T12" s="115">
        <f>Tabela4[[#This Row],[Valor do contrato sem o equipamento]]/30.4375*3</f>
        <v>0</v>
      </c>
      <c r="U12" s="115">
        <f>Tabela4[[#This Row],[Valor contrato]]*(30.4375-Tabela4[[#This Row],[Dias inoperantes]])/30.4375</f>
        <v>0</v>
      </c>
      <c r="V12" s="116"/>
      <c r="W12" s="123"/>
      <c r="X12" s="139"/>
      <c r="Y12" s="123">
        <f>Tabela4[[#This Row],[Diferença]]*Tabela4[[#This Row],[Quantidade]]</f>
        <v>0</v>
      </c>
    </row>
    <row r="13" spans="2:25" s="118" customFormat="1" ht="15" hidden="1" customHeight="1" thickBot="1">
      <c r="B13" s="113" t="s">
        <v>21</v>
      </c>
      <c r="C13" s="113" t="s">
        <v>30</v>
      </c>
      <c r="D13" s="113" t="s">
        <v>40</v>
      </c>
      <c r="E13" s="114">
        <v>45658</v>
      </c>
      <c r="F13" s="119" t="s">
        <v>339</v>
      </c>
      <c r="G13" s="113" t="s">
        <v>335</v>
      </c>
      <c r="H13" s="137" t="s">
        <v>343</v>
      </c>
      <c r="I13" s="137" t="s">
        <v>342</v>
      </c>
      <c r="J13" s="115">
        <v>0</v>
      </c>
      <c r="K13" s="169">
        <v>20.5</v>
      </c>
      <c r="L13" s="117">
        <f t="shared" si="0"/>
        <v>0</v>
      </c>
      <c r="M13" s="115">
        <v>12</v>
      </c>
      <c r="N13" s="169">
        <v>148.13999999999999</v>
      </c>
      <c r="O13" s="120">
        <f t="shared" si="1"/>
        <v>1777.6799999999998</v>
      </c>
      <c r="P13" s="115"/>
      <c r="Q13" s="115"/>
      <c r="R13" s="115"/>
      <c r="S13" s="115"/>
      <c r="T13" s="115">
        <f>Tabela4[[#This Row],[Valor do contrato sem o equipamento]]/30.4375*3</f>
        <v>0</v>
      </c>
      <c r="U13" s="115">
        <f>Tabela4[[#This Row],[Valor contrato]]*(30.4375-Tabela4[[#This Row],[Dias inoperantes]])/30.4375</f>
        <v>0</v>
      </c>
      <c r="V13" s="116"/>
      <c r="W13" s="123"/>
      <c r="X13" s="139"/>
      <c r="Y13" s="123">
        <f>Tabela4[[#This Row],[Diferença]]*Tabela4[[#This Row],[Quantidade]]</f>
        <v>0</v>
      </c>
    </row>
    <row r="14" spans="2:25" s="118" customFormat="1" ht="15" hidden="1" customHeight="1" thickBot="1">
      <c r="B14" s="113" t="s">
        <v>21</v>
      </c>
      <c r="C14" s="113" t="s">
        <v>30</v>
      </c>
      <c r="D14" s="113" t="s">
        <v>40</v>
      </c>
      <c r="E14" s="114">
        <v>45658</v>
      </c>
      <c r="F14" s="119" t="s">
        <v>344</v>
      </c>
      <c r="G14" s="113" t="s">
        <v>333</v>
      </c>
      <c r="H14" s="137">
        <v>0.41666666666666669</v>
      </c>
      <c r="I14" s="137" t="s">
        <v>342</v>
      </c>
      <c r="J14" s="115">
        <v>0</v>
      </c>
      <c r="K14" s="169">
        <v>22.66</v>
      </c>
      <c r="L14" s="117">
        <f t="shared" si="0"/>
        <v>0</v>
      </c>
      <c r="M14" s="115">
        <v>4</v>
      </c>
      <c r="N14" s="169">
        <v>163.77000000000001</v>
      </c>
      <c r="O14" s="120">
        <f t="shared" si="1"/>
        <v>655.08000000000004</v>
      </c>
      <c r="P14" s="115"/>
      <c r="Q14" s="115"/>
      <c r="R14" s="115"/>
      <c r="S14" s="115"/>
      <c r="T14" s="115">
        <f>Tabela4[[#This Row],[Valor do contrato sem o equipamento]]/30.4375*3</f>
        <v>0</v>
      </c>
      <c r="U14" s="115">
        <f>Tabela4[[#This Row],[Valor contrato]]*(30.4375-Tabela4[[#This Row],[Dias inoperantes]])/30.4375</f>
        <v>0</v>
      </c>
      <c r="V14" s="116"/>
      <c r="W14" s="123"/>
      <c r="X14" s="139"/>
      <c r="Y14" s="123">
        <f>Tabela4[[#This Row],[Diferença]]*Tabela4[[#This Row],[Quantidade]]</f>
        <v>0</v>
      </c>
    </row>
    <row r="15" spans="2:25" s="118" customFormat="1" ht="15" hidden="1" customHeight="1" thickBot="1">
      <c r="B15" s="113" t="s">
        <v>21</v>
      </c>
      <c r="C15" s="113" t="s">
        <v>30</v>
      </c>
      <c r="D15" s="113" t="s">
        <v>40</v>
      </c>
      <c r="E15" s="114">
        <v>45658</v>
      </c>
      <c r="F15" s="119" t="s">
        <v>339</v>
      </c>
      <c r="G15" s="113" t="s">
        <v>335</v>
      </c>
      <c r="H15" s="137" t="s">
        <v>340</v>
      </c>
      <c r="I15" s="137" t="s">
        <v>341</v>
      </c>
      <c r="J15" s="115">
        <v>0</v>
      </c>
      <c r="K15" s="169">
        <v>3.26</v>
      </c>
      <c r="L15" s="117">
        <f t="shared" si="0"/>
        <v>0</v>
      </c>
      <c r="M15" s="115">
        <v>2</v>
      </c>
      <c r="N15" s="169">
        <v>23.56</v>
      </c>
      <c r="O15" s="120">
        <f t="shared" si="1"/>
        <v>47.12</v>
      </c>
      <c r="P15" s="115"/>
      <c r="Q15" s="115"/>
      <c r="R15" s="115"/>
      <c r="S15" s="115"/>
      <c r="T15" s="115">
        <f>Tabela4[[#This Row],[Valor do contrato sem o equipamento]]/30.4375*3</f>
        <v>0</v>
      </c>
      <c r="U15" s="115">
        <f>Tabela4[[#This Row],[Valor contrato]]*(30.4375-Tabela4[[#This Row],[Dias inoperantes]])/30.4375</f>
        <v>0</v>
      </c>
      <c r="V15" s="116"/>
      <c r="W15" s="123"/>
      <c r="X15" s="139"/>
      <c r="Y15" s="123">
        <f>Tabela4[[#This Row],[Diferença]]*Tabela4[[#This Row],[Quantidade]]</f>
        <v>0</v>
      </c>
    </row>
    <row r="16" spans="2:25" s="118" customFormat="1" ht="15" hidden="1" customHeight="1" thickBot="1">
      <c r="B16" s="113" t="s">
        <v>21</v>
      </c>
      <c r="C16" s="113" t="s">
        <v>30</v>
      </c>
      <c r="D16" s="113" t="s">
        <v>40</v>
      </c>
      <c r="E16" s="114">
        <v>45717</v>
      </c>
      <c r="F16" s="119" t="s">
        <v>345</v>
      </c>
      <c r="G16" s="113" t="s">
        <v>333</v>
      </c>
      <c r="H16" s="137" t="s">
        <v>340</v>
      </c>
      <c r="I16" s="137" t="s">
        <v>346</v>
      </c>
      <c r="J16" s="115">
        <v>0</v>
      </c>
      <c r="K16" s="169">
        <v>22.78</v>
      </c>
      <c r="L16" s="117">
        <f t="shared" si="0"/>
        <v>0</v>
      </c>
      <c r="M16" s="115"/>
      <c r="N16" s="169">
        <v>164.68</v>
      </c>
      <c r="O16" s="120">
        <f t="shared" si="1"/>
        <v>0</v>
      </c>
      <c r="P16" s="115"/>
      <c r="Q16" s="115"/>
      <c r="R16" s="115"/>
      <c r="S16" s="115"/>
      <c r="T16" s="115">
        <f>Tabela4[[#This Row],[Valor do contrato sem o equipamento]]/30.4375*3</f>
        <v>0</v>
      </c>
      <c r="U16" s="115">
        <f>Tabela4[[#This Row],[Valor contrato]]*(30.4375-Tabela4[[#This Row],[Dias inoperantes]])/30.4375</f>
        <v>0</v>
      </c>
      <c r="V16" s="116"/>
      <c r="W16" s="123"/>
      <c r="X16" s="139"/>
      <c r="Y16" s="123">
        <f>Tabela4[[#This Row],[Diferença]]*Tabela4[[#This Row],[Quantidade]]</f>
        <v>0</v>
      </c>
    </row>
    <row r="17" spans="2:25" ht="15" hidden="1" thickBot="1">
      <c r="B17" s="113" t="s">
        <v>21</v>
      </c>
      <c r="C17" s="113" t="s">
        <v>30</v>
      </c>
      <c r="D17" s="113" t="s">
        <v>40</v>
      </c>
      <c r="E17" s="114">
        <v>45717</v>
      </c>
      <c r="F17" s="119" t="s">
        <v>345</v>
      </c>
      <c r="G17" s="113" t="s">
        <v>333</v>
      </c>
      <c r="H17" s="137" t="s">
        <v>340</v>
      </c>
      <c r="I17" s="137" t="s">
        <v>346</v>
      </c>
      <c r="J17" s="115">
        <v>0</v>
      </c>
      <c r="K17" s="169">
        <v>22.78</v>
      </c>
      <c r="L17" s="117">
        <f t="shared" si="0"/>
        <v>0</v>
      </c>
      <c r="M17" s="115"/>
      <c r="N17" s="169">
        <v>164.68</v>
      </c>
      <c r="O17" s="120">
        <f t="shared" si="1"/>
        <v>0</v>
      </c>
      <c r="P17" s="115"/>
      <c r="Q17" s="115"/>
      <c r="R17" s="115"/>
      <c r="S17" s="115"/>
      <c r="T17" s="115">
        <f>Tabela4[[#This Row],[Valor do contrato sem o equipamento]]/30.4375*3</f>
        <v>0</v>
      </c>
      <c r="U17" s="115">
        <f>Tabela4[[#This Row],[Valor contrato]]*(30.4375-Tabela4[[#This Row],[Dias inoperantes]])/30.4375</f>
        <v>0</v>
      </c>
      <c r="V17" s="116"/>
      <c r="W17" s="123"/>
      <c r="X17" s="139"/>
      <c r="Y17" s="123">
        <f>Tabela4[[#This Row],[Diferença]]*Tabela4[[#This Row],[Quantidade]]</f>
        <v>0</v>
      </c>
    </row>
    <row r="18" spans="2:25" ht="15" hidden="1" thickBot="1">
      <c r="B18" s="113" t="s">
        <v>21</v>
      </c>
      <c r="C18" s="113" t="s">
        <v>30</v>
      </c>
      <c r="D18" s="113" t="s">
        <v>40</v>
      </c>
      <c r="E18" s="114">
        <v>45717</v>
      </c>
      <c r="F18" s="119" t="s">
        <v>345</v>
      </c>
      <c r="G18" s="113" t="s">
        <v>333</v>
      </c>
      <c r="H18" s="137">
        <v>0.91666666666666663</v>
      </c>
      <c r="I18" s="137" t="s">
        <v>334</v>
      </c>
      <c r="J18" s="115">
        <v>0</v>
      </c>
      <c r="K18" s="169">
        <v>24.77</v>
      </c>
      <c r="L18" s="117">
        <f t="shared" si="0"/>
        <v>0</v>
      </c>
      <c r="M18" s="115"/>
      <c r="N18" s="169">
        <v>179.07</v>
      </c>
      <c r="O18" s="120">
        <f t="shared" si="1"/>
        <v>0</v>
      </c>
      <c r="P18" s="115"/>
      <c r="Q18" s="115"/>
      <c r="R18" s="115"/>
      <c r="S18" s="115"/>
      <c r="T18" s="115">
        <f>Tabela4[[#This Row],[Valor do contrato sem o equipamento]]/30.4375*3</f>
        <v>0</v>
      </c>
      <c r="U18" s="115">
        <f>Tabela4[[#This Row],[Valor contrato]]*(30.4375-Tabela4[[#This Row],[Dias inoperantes]])/30.4375</f>
        <v>0</v>
      </c>
      <c r="V18" s="116"/>
      <c r="W18" s="123"/>
      <c r="X18" s="139"/>
      <c r="Y18" s="123">
        <f>Tabela4[[#This Row],[Diferença]]*Tabela4[[#This Row],[Quantidade]]</f>
        <v>0</v>
      </c>
    </row>
    <row r="19" spans="2:25" ht="15" hidden="1" thickBot="1">
      <c r="B19" s="113" t="s">
        <v>21</v>
      </c>
      <c r="C19" s="113" t="s">
        <v>30</v>
      </c>
      <c r="D19" s="113" t="s">
        <v>40</v>
      </c>
      <c r="E19" s="114">
        <v>45717</v>
      </c>
      <c r="F19" s="119" t="s">
        <v>332</v>
      </c>
      <c r="G19" s="113" t="s">
        <v>333</v>
      </c>
      <c r="H19" s="137">
        <v>0.91666666666666663</v>
      </c>
      <c r="I19" s="137" t="s">
        <v>334</v>
      </c>
      <c r="J19" s="115">
        <v>0</v>
      </c>
      <c r="K19" s="169">
        <v>19.5</v>
      </c>
      <c r="L19" s="117">
        <f t="shared" si="0"/>
        <v>0</v>
      </c>
      <c r="M19" s="115">
        <v>2</v>
      </c>
      <c r="N19" s="169">
        <v>140.97</v>
      </c>
      <c r="O19" s="120">
        <f t="shared" si="1"/>
        <v>281.94</v>
      </c>
      <c r="P19" s="115"/>
      <c r="Q19" s="115"/>
      <c r="R19" s="115"/>
      <c r="S19" s="115"/>
      <c r="T19" s="115">
        <f>Tabela4[[#This Row],[Valor do contrato sem o equipamento]]/30.4375*3</f>
        <v>0</v>
      </c>
      <c r="U19" s="115">
        <f>Tabela4[[#This Row],[Valor contrato]]*(30.4375-Tabela4[[#This Row],[Dias inoperantes]])/30.4375</f>
        <v>0</v>
      </c>
      <c r="V19" s="116"/>
      <c r="W19" s="123"/>
      <c r="X19" s="139"/>
      <c r="Y19" s="123">
        <f>Tabela4[[#This Row],[Diferença]]*Tabela4[[#This Row],[Quantidade]]</f>
        <v>0</v>
      </c>
    </row>
    <row r="20" spans="2:25" ht="15" hidden="1" thickBot="1">
      <c r="B20" s="113" t="s">
        <v>21</v>
      </c>
      <c r="C20" s="113" t="s">
        <v>30</v>
      </c>
      <c r="D20" s="113" t="s">
        <v>40</v>
      </c>
      <c r="E20" s="114">
        <v>45717</v>
      </c>
      <c r="F20" s="119" t="s">
        <v>332</v>
      </c>
      <c r="G20" s="113" t="s">
        <v>335</v>
      </c>
      <c r="H20" s="137">
        <v>0.58333333333333337</v>
      </c>
      <c r="I20" s="137" t="s">
        <v>336</v>
      </c>
      <c r="J20" s="115">
        <v>0</v>
      </c>
      <c r="K20" s="169">
        <v>19.55</v>
      </c>
      <c r="L20" s="117">
        <f t="shared" si="0"/>
        <v>0</v>
      </c>
      <c r="M20" s="115"/>
      <c r="N20" s="169">
        <v>141.31</v>
      </c>
      <c r="O20" s="120">
        <f t="shared" si="1"/>
        <v>0</v>
      </c>
      <c r="P20" s="115"/>
      <c r="Q20" s="115"/>
      <c r="R20" s="115"/>
      <c r="S20" s="115"/>
      <c r="T20" s="115">
        <f>Tabela4[[#This Row],[Valor do contrato sem o equipamento]]/30.4375*3</f>
        <v>0</v>
      </c>
      <c r="U20" s="115">
        <f>Tabela4[[#This Row],[Valor contrato]]*(30.4375-Tabela4[[#This Row],[Dias inoperantes]])/30.4375</f>
        <v>0</v>
      </c>
      <c r="V20" s="116"/>
      <c r="W20" s="123"/>
      <c r="X20" s="139"/>
      <c r="Y20" s="123">
        <f>Tabela4[[#This Row],[Diferença]]*Tabela4[[#This Row],[Quantidade]]</f>
        <v>0</v>
      </c>
    </row>
    <row r="21" spans="2:25" ht="15" hidden="1" thickBot="1">
      <c r="B21" s="113" t="s">
        <v>21</v>
      </c>
      <c r="C21" s="113" t="s">
        <v>30</v>
      </c>
      <c r="D21" s="113" t="s">
        <v>40</v>
      </c>
      <c r="E21" s="114">
        <v>45717</v>
      </c>
      <c r="F21" s="119" t="s">
        <v>337</v>
      </c>
      <c r="G21" s="113" t="s">
        <v>335</v>
      </c>
      <c r="H21" s="137" t="s">
        <v>334</v>
      </c>
      <c r="I21" s="137" t="s">
        <v>338</v>
      </c>
      <c r="J21" s="115">
        <v>0</v>
      </c>
      <c r="K21" s="169">
        <v>23.17</v>
      </c>
      <c r="L21" s="117">
        <f t="shared" si="0"/>
        <v>0</v>
      </c>
      <c r="M21" s="115"/>
      <c r="N21" s="169">
        <v>167.5</v>
      </c>
      <c r="O21" s="120">
        <f t="shared" si="1"/>
        <v>0</v>
      </c>
      <c r="P21" s="115"/>
      <c r="Q21" s="115"/>
      <c r="R21" s="115"/>
      <c r="S21" s="115"/>
      <c r="T21" s="115">
        <f>Tabela4[[#This Row],[Valor do contrato sem o equipamento]]/30.4375*3</f>
        <v>0</v>
      </c>
      <c r="U21" s="115">
        <f>Tabela4[[#This Row],[Valor contrato]]*(30.4375-Tabela4[[#This Row],[Dias inoperantes]])/30.4375</f>
        <v>0</v>
      </c>
      <c r="V21" s="116"/>
      <c r="W21" s="123"/>
      <c r="X21" s="139"/>
      <c r="Y21" s="123">
        <f>Tabela4[[#This Row],[Diferença]]*Tabela4[[#This Row],[Quantidade]]</f>
        <v>0</v>
      </c>
    </row>
    <row r="22" spans="2:25" ht="15" hidden="1" thickBot="1">
      <c r="B22" s="113" t="s">
        <v>21</v>
      </c>
      <c r="C22" s="113" t="s">
        <v>30</v>
      </c>
      <c r="D22" s="113" t="s">
        <v>40</v>
      </c>
      <c r="E22" s="114">
        <v>45717</v>
      </c>
      <c r="F22" s="119" t="s">
        <v>339</v>
      </c>
      <c r="G22" s="113" t="s">
        <v>335</v>
      </c>
      <c r="H22" s="137" t="s">
        <v>340</v>
      </c>
      <c r="I22" s="137" t="s">
        <v>341</v>
      </c>
      <c r="J22" s="115">
        <v>0</v>
      </c>
      <c r="K22" s="169">
        <v>20.5</v>
      </c>
      <c r="L22" s="117">
        <f t="shared" si="0"/>
        <v>0</v>
      </c>
      <c r="M22" s="115">
        <v>82</v>
      </c>
      <c r="N22" s="169">
        <v>148.13999999999999</v>
      </c>
      <c r="O22" s="120">
        <f t="shared" si="1"/>
        <v>12147.48</v>
      </c>
      <c r="P22" s="115"/>
      <c r="Q22" s="115"/>
      <c r="R22" s="115"/>
      <c r="S22" s="115"/>
      <c r="T22" s="115">
        <f>Tabela4[[#This Row],[Valor do contrato sem o equipamento]]/30.4375*3</f>
        <v>0</v>
      </c>
      <c r="U22" s="115">
        <f>Tabela4[[#This Row],[Valor contrato]]*(30.4375-Tabela4[[#This Row],[Dias inoperantes]])/30.4375</f>
        <v>0</v>
      </c>
      <c r="V22" s="116"/>
      <c r="W22" s="123"/>
      <c r="X22" s="139"/>
      <c r="Y22" s="123">
        <f>Tabela4[[#This Row],[Diferença]]*Tabela4[[#This Row],[Quantidade]]</f>
        <v>0</v>
      </c>
    </row>
    <row r="23" spans="2:25" ht="15" hidden="1" thickBot="1">
      <c r="B23" s="113" t="s">
        <v>21</v>
      </c>
      <c r="C23" s="113" t="s">
        <v>30</v>
      </c>
      <c r="D23" s="113" t="s">
        <v>40</v>
      </c>
      <c r="E23" s="114">
        <v>45717</v>
      </c>
      <c r="F23" s="119" t="s">
        <v>339</v>
      </c>
      <c r="G23" s="113" t="s">
        <v>335</v>
      </c>
      <c r="H23" s="137" t="s">
        <v>340</v>
      </c>
      <c r="I23" s="137" t="s">
        <v>341</v>
      </c>
      <c r="J23" s="115">
        <v>0</v>
      </c>
      <c r="K23" s="169">
        <v>20.5</v>
      </c>
      <c r="L23" s="117">
        <f t="shared" si="0"/>
        <v>0</v>
      </c>
      <c r="M23" s="115"/>
      <c r="N23" s="169">
        <v>148.13999999999999</v>
      </c>
      <c r="O23" s="120">
        <f t="shared" si="1"/>
        <v>0</v>
      </c>
      <c r="P23" s="115"/>
      <c r="Q23" s="115"/>
      <c r="R23" s="115"/>
      <c r="S23" s="115"/>
      <c r="T23" s="115">
        <f>Tabela4[[#This Row],[Valor do contrato sem o equipamento]]/30.4375*3</f>
        <v>0</v>
      </c>
      <c r="U23" s="115">
        <f>Tabela4[[#This Row],[Valor contrato]]*(30.4375-Tabela4[[#This Row],[Dias inoperantes]])/30.4375</f>
        <v>0</v>
      </c>
      <c r="V23" s="116"/>
      <c r="W23" s="123"/>
      <c r="X23" s="139"/>
      <c r="Y23" s="123">
        <f>Tabela4[[#This Row],[Diferença]]*Tabela4[[#This Row],[Quantidade]]</f>
        <v>0</v>
      </c>
    </row>
    <row r="24" spans="2:25" ht="15" hidden="1" thickBot="1">
      <c r="B24" s="113" t="s">
        <v>21</v>
      </c>
      <c r="C24" s="113" t="s">
        <v>30</v>
      </c>
      <c r="D24" s="113" t="s">
        <v>40</v>
      </c>
      <c r="E24" s="114">
        <v>45717</v>
      </c>
      <c r="F24" s="119" t="s">
        <v>339</v>
      </c>
      <c r="G24" s="113" t="s">
        <v>335</v>
      </c>
      <c r="H24" s="137">
        <v>0.56944444444444442</v>
      </c>
      <c r="I24" s="137" t="s">
        <v>342</v>
      </c>
      <c r="J24" s="115">
        <v>0</v>
      </c>
      <c r="K24" s="169">
        <v>20.5</v>
      </c>
      <c r="L24" s="117">
        <f t="shared" si="0"/>
        <v>0</v>
      </c>
      <c r="M24" s="115"/>
      <c r="N24" s="169">
        <v>148.13999999999999</v>
      </c>
      <c r="O24" s="120">
        <f t="shared" si="1"/>
        <v>0</v>
      </c>
      <c r="P24" s="115"/>
      <c r="Q24" s="115"/>
      <c r="R24" s="115"/>
      <c r="S24" s="115"/>
      <c r="T24" s="115">
        <f>Tabela4[[#This Row],[Valor do contrato sem o equipamento]]/30.4375*3</f>
        <v>0</v>
      </c>
      <c r="U24" s="115">
        <f>Tabela4[[#This Row],[Valor contrato]]*(30.4375-Tabela4[[#This Row],[Dias inoperantes]])/30.4375</f>
        <v>0</v>
      </c>
      <c r="V24" s="116"/>
      <c r="W24" s="123"/>
      <c r="X24" s="139"/>
      <c r="Y24" s="123">
        <f>Tabela4[[#This Row],[Diferença]]*Tabela4[[#This Row],[Quantidade]]</f>
        <v>0</v>
      </c>
    </row>
    <row r="25" spans="2:25" ht="15" hidden="1" thickBot="1">
      <c r="B25" s="113" t="s">
        <v>21</v>
      </c>
      <c r="C25" s="113" t="s">
        <v>30</v>
      </c>
      <c r="D25" s="113" t="s">
        <v>40</v>
      </c>
      <c r="E25" s="114">
        <v>45717</v>
      </c>
      <c r="F25" s="119" t="s">
        <v>339</v>
      </c>
      <c r="G25" s="113" t="s">
        <v>335</v>
      </c>
      <c r="H25" s="137">
        <v>0.25</v>
      </c>
      <c r="I25" s="137" t="s">
        <v>341</v>
      </c>
      <c r="J25" s="115">
        <v>0</v>
      </c>
      <c r="K25" s="169">
        <v>20.5</v>
      </c>
      <c r="L25" s="117">
        <f t="shared" si="0"/>
        <v>0</v>
      </c>
      <c r="M25" s="115"/>
      <c r="N25" s="169">
        <v>148.13999999999999</v>
      </c>
      <c r="O25" s="120">
        <f t="shared" si="1"/>
        <v>0</v>
      </c>
      <c r="P25" s="115"/>
      <c r="Q25" s="115"/>
      <c r="R25" s="115"/>
      <c r="S25" s="115"/>
      <c r="T25" s="115">
        <f>Tabela4[[#This Row],[Valor do contrato sem o equipamento]]/30.4375*3</f>
        <v>0</v>
      </c>
      <c r="U25" s="115">
        <f>Tabela4[[#This Row],[Valor contrato]]*(30.4375-Tabela4[[#This Row],[Dias inoperantes]])/30.4375</f>
        <v>0</v>
      </c>
      <c r="V25" s="116"/>
      <c r="W25" s="123"/>
      <c r="X25" s="139"/>
      <c r="Y25" s="123">
        <f>Tabela4[[#This Row],[Diferença]]*Tabela4[[#This Row],[Quantidade]]</f>
        <v>0</v>
      </c>
    </row>
    <row r="26" spans="2:25" ht="15" hidden="1" thickBot="1">
      <c r="B26" s="113" t="s">
        <v>21</v>
      </c>
      <c r="C26" s="113" t="s">
        <v>30</v>
      </c>
      <c r="D26" s="113" t="s">
        <v>40</v>
      </c>
      <c r="E26" s="114">
        <v>45717</v>
      </c>
      <c r="F26" s="119" t="s">
        <v>339</v>
      </c>
      <c r="G26" s="113" t="s">
        <v>335</v>
      </c>
      <c r="H26" s="137" t="s">
        <v>343</v>
      </c>
      <c r="I26" s="137" t="s">
        <v>342</v>
      </c>
      <c r="J26" s="115">
        <v>0</v>
      </c>
      <c r="K26" s="169">
        <v>20.5</v>
      </c>
      <c r="L26" s="117">
        <f t="shared" si="0"/>
        <v>0</v>
      </c>
      <c r="M26" s="115">
        <v>66</v>
      </c>
      <c r="N26" s="169">
        <v>148.13999999999999</v>
      </c>
      <c r="O26" s="120">
        <f t="shared" si="1"/>
        <v>9777.24</v>
      </c>
      <c r="P26" s="115"/>
      <c r="Q26" s="115"/>
      <c r="R26" s="115"/>
      <c r="S26" s="115"/>
      <c r="T26" s="115">
        <f>Tabela4[[#This Row],[Valor do contrato sem o equipamento]]/30.4375*3</f>
        <v>0</v>
      </c>
      <c r="U26" s="115">
        <f>Tabela4[[#This Row],[Valor contrato]]*(30.4375-Tabela4[[#This Row],[Dias inoperantes]])/30.4375</f>
        <v>0</v>
      </c>
      <c r="V26" s="116"/>
      <c r="W26" s="123"/>
      <c r="X26" s="139"/>
      <c r="Y26" s="123">
        <f>Tabela4[[#This Row],[Diferença]]*Tabela4[[#This Row],[Quantidade]]</f>
        <v>0</v>
      </c>
    </row>
    <row r="27" spans="2:25" ht="15" hidden="1" thickBot="1">
      <c r="B27" s="113" t="s">
        <v>21</v>
      </c>
      <c r="C27" s="113" t="s">
        <v>30</v>
      </c>
      <c r="D27" s="113" t="s">
        <v>40</v>
      </c>
      <c r="E27" s="114">
        <v>45717</v>
      </c>
      <c r="F27" s="119" t="s">
        <v>339</v>
      </c>
      <c r="G27" s="113" t="s">
        <v>335</v>
      </c>
      <c r="H27" s="137" t="s">
        <v>340</v>
      </c>
      <c r="I27" s="137" t="s">
        <v>341</v>
      </c>
      <c r="J27" s="115">
        <v>0</v>
      </c>
      <c r="K27" s="169">
        <v>20.5</v>
      </c>
      <c r="L27" s="117">
        <f t="shared" si="0"/>
        <v>0</v>
      </c>
      <c r="M27" s="115"/>
      <c r="N27" s="169">
        <v>148.13999999999999</v>
      </c>
      <c r="O27" s="120">
        <f t="shared" si="1"/>
        <v>0</v>
      </c>
      <c r="P27" s="115"/>
      <c r="Q27" s="115"/>
      <c r="R27" s="115"/>
      <c r="S27" s="115"/>
      <c r="T27" s="115">
        <f>Tabela4[[#This Row],[Valor do contrato sem o equipamento]]/30.4375*3</f>
        <v>0</v>
      </c>
      <c r="U27" s="115">
        <f>Tabela4[[#This Row],[Valor contrato]]*(30.4375-Tabela4[[#This Row],[Dias inoperantes]])/30.4375</f>
        <v>0</v>
      </c>
      <c r="V27" s="116"/>
      <c r="W27" s="123"/>
      <c r="X27" s="139"/>
      <c r="Y27" s="123">
        <f>Tabela4[[#This Row],[Diferença]]*Tabela4[[#This Row],[Quantidade]]</f>
        <v>0</v>
      </c>
    </row>
    <row r="28" spans="2:25" ht="15" hidden="1" thickBot="1">
      <c r="B28" s="113" t="s">
        <v>21</v>
      </c>
      <c r="C28" s="113" t="s">
        <v>30</v>
      </c>
      <c r="D28" s="113" t="s">
        <v>40</v>
      </c>
      <c r="E28" s="114">
        <v>45717</v>
      </c>
      <c r="F28" s="119" t="s">
        <v>344</v>
      </c>
      <c r="G28" s="113" t="s">
        <v>333</v>
      </c>
      <c r="H28" s="137">
        <v>0.91666666666666663</v>
      </c>
      <c r="I28" s="137" t="s">
        <v>334</v>
      </c>
      <c r="J28" s="115">
        <v>0</v>
      </c>
      <c r="K28" s="169">
        <v>24.53</v>
      </c>
      <c r="L28" s="117">
        <f t="shared" si="0"/>
        <v>0</v>
      </c>
      <c r="M28" s="115">
        <v>17</v>
      </c>
      <c r="N28" s="169">
        <v>177.27</v>
      </c>
      <c r="O28" s="120">
        <f t="shared" si="1"/>
        <v>3013.59</v>
      </c>
      <c r="P28" s="115"/>
      <c r="Q28" s="115"/>
      <c r="R28" s="115"/>
      <c r="S28" s="115"/>
      <c r="T28" s="115">
        <f>Tabela4[[#This Row],[Valor do contrato sem o equipamento]]/30.4375*3</f>
        <v>0</v>
      </c>
      <c r="U28" s="115">
        <f>Tabela4[[#This Row],[Valor contrato]]*(30.4375-Tabela4[[#This Row],[Dias inoperantes]])/30.4375</f>
        <v>0</v>
      </c>
      <c r="V28" s="116"/>
      <c r="W28" s="123"/>
      <c r="X28" s="139"/>
      <c r="Y28" s="123">
        <f>Tabela4[[#This Row],[Diferença]]*Tabela4[[#This Row],[Quantidade]]</f>
        <v>0</v>
      </c>
    </row>
    <row r="29" spans="2:25" ht="15" hidden="1" thickBot="1">
      <c r="B29" s="113" t="s">
        <v>21</v>
      </c>
      <c r="C29" s="113" t="s">
        <v>30</v>
      </c>
      <c r="D29" s="113" t="s">
        <v>40</v>
      </c>
      <c r="E29" s="114">
        <v>45717</v>
      </c>
      <c r="F29" s="119" t="s">
        <v>339</v>
      </c>
      <c r="G29" s="113" t="s">
        <v>335</v>
      </c>
      <c r="H29" s="137" t="s">
        <v>340</v>
      </c>
      <c r="I29" s="137" t="s">
        <v>341</v>
      </c>
      <c r="J29" s="115">
        <v>0</v>
      </c>
      <c r="K29" s="169">
        <v>20.5</v>
      </c>
      <c r="L29" s="117">
        <f t="shared" si="0"/>
        <v>0</v>
      </c>
      <c r="M29" s="115"/>
      <c r="N29" s="169">
        <v>148.13999999999999</v>
      </c>
      <c r="O29" s="120">
        <f t="shared" si="1"/>
        <v>0</v>
      </c>
      <c r="P29" s="115"/>
      <c r="Q29" s="115"/>
      <c r="R29" s="115"/>
      <c r="S29" s="115"/>
      <c r="T29" s="115">
        <f>Tabela4[[#This Row],[Valor do contrato sem o equipamento]]/30.4375*3</f>
        <v>0</v>
      </c>
      <c r="U29" s="115">
        <f>Tabela4[[#This Row],[Valor contrato]]*(30.4375-Tabela4[[#This Row],[Dias inoperantes]])/30.4375</f>
        <v>0</v>
      </c>
      <c r="V29" s="116"/>
      <c r="W29" s="123"/>
      <c r="X29" s="139"/>
      <c r="Y29" s="123">
        <f>Tabela4[[#This Row],[Diferença]]*Tabela4[[#This Row],[Quantidade]]</f>
        <v>0</v>
      </c>
    </row>
    <row r="30" spans="2:25" ht="15" hidden="1" thickBot="1">
      <c r="B30" s="113" t="s">
        <v>21</v>
      </c>
      <c r="C30" s="113" t="s">
        <v>30</v>
      </c>
      <c r="D30" s="113" t="s">
        <v>40</v>
      </c>
      <c r="E30" s="114">
        <v>45717</v>
      </c>
      <c r="F30" s="119" t="s">
        <v>339</v>
      </c>
      <c r="G30" s="113" t="s">
        <v>335</v>
      </c>
      <c r="H30" s="137" t="s">
        <v>343</v>
      </c>
      <c r="I30" s="137" t="s">
        <v>342</v>
      </c>
      <c r="J30" s="115">
        <v>0</v>
      </c>
      <c r="K30" s="169">
        <v>20.5</v>
      </c>
      <c r="L30" s="117">
        <f t="shared" si="0"/>
        <v>0</v>
      </c>
      <c r="M30" s="115"/>
      <c r="N30" s="169">
        <v>148.13999999999999</v>
      </c>
      <c r="O30" s="120">
        <f t="shared" si="1"/>
        <v>0</v>
      </c>
      <c r="P30" s="115"/>
      <c r="Q30" s="115"/>
      <c r="R30" s="115"/>
      <c r="S30" s="115"/>
      <c r="T30" s="115">
        <f>Tabela4[[#This Row],[Valor do contrato sem o equipamento]]/30.4375*3</f>
        <v>0</v>
      </c>
      <c r="U30" s="115">
        <f>Tabela4[[#This Row],[Valor contrato]]*(30.4375-Tabela4[[#This Row],[Dias inoperantes]])/30.4375</f>
        <v>0</v>
      </c>
      <c r="V30" s="116"/>
      <c r="W30" s="123"/>
      <c r="X30" s="139"/>
      <c r="Y30" s="123">
        <f>Tabela4[[#This Row],[Diferença]]*Tabela4[[#This Row],[Quantidade]]</f>
        <v>0</v>
      </c>
    </row>
    <row r="31" spans="2:25" ht="15" hidden="1" thickBot="1">
      <c r="B31" s="113" t="s">
        <v>21</v>
      </c>
      <c r="C31" s="113" t="s">
        <v>30</v>
      </c>
      <c r="D31" s="113" t="s">
        <v>40</v>
      </c>
      <c r="E31" s="114">
        <v>45717</v>
      </c>
      <c r="F31" s="119" t="s">
        <v>344</v>
      </c>
      <c r="G31" s="113" t="s">
        <v>333</v>
      </c>
      <c r="H31" s="137">
        <v>0.41666666666666669</v>
      </c>
      <c r="I31" s="137" t="s">
        <v>342</v>
      </c>
      <c r="J31" s="115">
        <v>0</v>
      </c>
      <c r="K31" s="169">
        <v>22.66</v>
      </c>
      <c r="L31" s="117">
        <f t="shared" si="0"/>
        <v>0</v>
      </c>
      <c r="M31" s="115">
        <v>18</v>
      </c>
      <c r="N31" s="169">
        <v>163.77000000000001</v>
      </c>
      <c r="O31" s="120">
        <f t="shared" si="1"/>
        <v>2947.86</v>
      </c>
      <c r="P31" s="115"/>
      <c r="Q31" s="115"/>
      <c r="R31" s="115"/>
      <c r="S31" s="115"/>
      <c r="T31" s="115">
        <f>Tabela4[[#This Row],[Valor do contrato sem o equipamento]]/30.4375*3</f>
        <v>0</v>
      </c>
      <c r="U31" s="115">
        <f>Tabela4[[#This Row],[Valor contrato]]*(30.4375-Tabela4[[#This Row],[Dias inoperantes]])/30.4375</f>
        <v>0</v>
      </c>
      <c r="V31" s="116"/>
      <c r="W31" s="123"/>
      <c r="X31" s="139"/>
      <c r="Y31" s="123">
        <f>Tabela4[[#This Row],[Diferença]]*Tabela4[[#This Row],[Quantidade]]</f>
        <v>0</v>
      </c>
    </row>
    <row r="32" spans="2:25" ht="15" hidden="1" thickBot="1">
      <c r="B32" s="113" t="s">
        <v>21</v>
      </c>
      <c r="C32" s="113" t="s">
        <v>30</v>
      </c>
      <c r="D32" s="113" t="s">
        <v>40</v>
      </c>
      <c r="E32" s="114">
        <v>45717</v>
      </c>
      <c r="F32" s="119" t="s">
        <v>339</v>
      </c>
      <c r="G32" s="113" t="s">
        <v>335</v>
      </c>
      <c r="H32" s="137" t="s">
        <v>340</v>
      </c>
      <c r="I32" s="137" t="s">
        <v>341</v>
      </c>
      <c r="J32" s="115">
        <v>0</v>
      </c>
      <c r="K32" s="169">
        <v>3.26</v>
      </c>
      <c r="L32" s="117">
        <f t="shared" si="0"/>
        <v>0</v>
      </c>
      <c r="M32" s="115"/>
      <c r="N32" s="169">
        <v>23.56</v>
      </c>
      <c r="O32" s="120">
        <f t="shared" si="1"/>
        <v>0</v>
      </c>
      <c r="P32" s="115"/>
      <c r="Q32" s="115"/>
      <c r="R32" s="115"/>
      <c r="S32" s="115"/>
      <c r="T32" s="115">
        <f>Tabela4[[#This Row],[Valor do contrato sem o equipamento]]/30.4375*3</f>
        <v>0</v>
      </c>
      <c r="U32" s="115">
        <f>Tabela4[[#This Row],[Valor contrato]]*(30.4375-Tabela4[[#This Row],[Dias inoperantes]])/30.4375</f>
        <v>0</v>
      </c>
      <c r="V32" s="116"/>
      <c r="W32" s="123"/>
      <c r="X32" s="139"/>
      <c r="Y32" s="123">
        <f>Tabela4[[#This Row],[Diferença]]*Tabela4[[#This Row],[Quantidade]]</f>
        <v>0</v>
      </c>
    </row>
    <row r="33" spans="2:25" ht="15" hidden="1" thickBot="1">
      <c r="B33" s="113" t="s">
        <v>21</v>
      </c>
      <c r="C33" s="113" t="s">
        <v>30</v>
      </c>
      <c r="D33" s="113" t="s">
        <v>40</v>
      </c>
      <c r="E33" s="114">
        <v>45748</v>
      </c>
      <c r="F33" s="119" t="s">
        <v>345</v>
      </c>
      <c r="G33" s="113" t="s">
        <v>333</v>
      </c>
      <c r="H33" s="137" t="s">
        <v>334</v>
      </c>
      <c r="I33" s="137" t="s">
        <v>342</v>
      </c>
      <c r="J33" s="115"/>
      <c r="K33" s="169">
        <v>25.69</v>
      </c>
      <c r="L33" s="117">
        <f t="shared" si="0"/>
        <v>0</v>
      </c>
      <c r="M33" s="115"/>
      <c r="N33" s="169">
        <v>185.71</v>
      </c>
      <c r="O33" s="120">
        <f t="shared" si="1"/>
        <v>0</v>
      </c>
      <c r="P33" s="115"/>
      <c r="Q33" s="115"/>
      <c r="R33" s="115"/>
      <c r="S33" s="115"/>
      <c r="T33" s="115">
        <f>Tabela4[[#This Row],[Valor do contrato sem o equipamento]]/30.4375*3</f>
        <v>0</v>
      </c>
      <c r="U33" s="115">
        <f>Tabela4[[#This Row],[Valor contrato]]*(30.4375-Tabela4[[#This Row],[Dias inoperantes]])/30.4375</f>
        <v>0</v>
      </c>
      <c r="V33" s="116"/>
      <c r="W33" s="123"/>
      <c r="X33" s="179"/>
      <c r="Y33" s="123">
        <f>Tabela4[[#This Row],[Diferença]]*Tabela4[[#This Row],[Quantidade]]</f>
        <v>0</v>
      </c>
    </row>
    <row r="34" spans="2:25" ht="15" hidden="1" thickBot="1">
      <c r="B34" s="113" t="s">
        <v>21</v>
      </c>
      <c r="C34" s="113" t="s">
        <v>30</v>
      </c>
      <c r="D34" s="113" t="s">
        <v>40</v>
      </c>
      <c r="E34" s="114">
        <v>45748</v>
      </c>
      <c r="F34" s="119" t="s">
        <v>345</v>
      </c>
      <c r="G34" s="113" t="s">
        <v>333</v>
      </c>
      <c r="H34" s="137" t="s">
        <v>334</v>
      </c>
      <c r="I34" s="137" t="s">
        <v>342</v>
      </c>
      <c r="J34" s="115"/>
      <c r="K34" s="169">
        <v>2.15</v>
      </c>
      <c r="L34" s="117">
        <f t="shared" si="0"/>
        <v>0</v>
      </c>
      <c r="M34" s="115"/>
      <c r="N34" s="169">
        <v>15.57</v>
      </c>
      <c r="O34" s="120">
        <f t="shared" si="1"/>
        <v>0</v>
      </c>
      <c r="P34" s="115"/>
      <c r="Q34" s="115"/>
      <c r="R34" s="115"/>
      <c r="S34" s="115"/>
      <c r="T34" s="115">
        <f>Tabela4[[#This Row],[Valor do contrato sem o equipamento]]/30.4375*3</f>
        <v>0</v>
      </c>
      <c r="U34" s="115">
        <f>Tabela4[[#This Row],[Valor contrato]]*(30.4375-Tabela4[[#This Row],[Dias inoperantes]])/30.4375</f>
        <v>0</v>
      </c>
      <c r="V34" s="116"/>
      <c r="W34" s="123"/>
      <c r="X34" s="179"/>
      <c r="Y34" s="123">
        <f>Tabela4[[#This Row],[Diferença]]*Tabela4[[#This Row],[Quantidade]]</f>
        <v>0</v>
      </c>
    </row>
    <row r="35" spans="2:25" ht="15" hidden="1" thickBot="1">
      <c r="B35" s="113" t="s">
        <v>21</v>
      </c>
      <c r="C35" s="113" t="s">
        <v>30</v>
      </c>
      <c r="D35" s="113" t="s">
        <v>40</v>
      </c>
      <c r="E35" s="114">
        <v>45748</v>
      </c>
      <c r="F35" s="119" t="s">
        <v>345</v>
      </c>
      <c r="G35" s="113" t="s">
        <v>333</v>
      </c>
      <c r="H35" s="137" t="s">
        <v>342</v>
      </c>
      <c r="I35" s="137" t="s">
        <v>334</v>
      </c>
      <c r="J35" s="115"/>
      <c r="K35" s="169">
        <v>27.93</v>
      </c>
      <c r="L35" s="117">
        <f t="shared" si="0"/>
        <v>0</v>
      </c>
      <c r="M35" s="115">
        <v>1</v>
      </c>
      <c r="N35" s="169">
        <v>201.87</v>
      </c>
      <c r="O35" s="120">
        <f t="shared" si="1"/>
        <v>201.87</v>
      </c>
      <c r="P35" s="115"/>
      <c r="Q35" s="115"/>
      <c r="R35" s="115"/>
      <c r="S35" s="115"/>
      <c r="T35" s="115">
        <f>Tabela4[[#This Row],[Valor do contrato sem o equipamento]]/30.4375*3</f>
        <v>0</v>
      </c>
      <c r="U35" s="115">
        <f>Tabela4[[#This Row],[Valor contrato]]*(30.4375-Tabela4[[#This Row],[Dias inoperantes]])/30.4375</f>
        <v>0</v>
      </c>
      <c r="V35" s="116"/>
      <c r="W35" s="123"/>
      <c r="X35" s="179"/>
      <c r="Y35" s="123">
        <f>Tabela4[[#This Row],[Diferença]]*Tabela4[[#This Row],[Quantidade]]</f>
        <v>0</v>
      </c>
    </row>
    <row r="36" spans="2:25" ht="15" hidden="1" thickBot="1">
      <c r="B36" s="113" t="s">
        <v>21</v>
      </c>
      <c r="C36" s="113" t="s">
        <v>30</v>
      </c>
      <c r="D36" s="113" t="s">
        <v>40</v>
      </c>
      <c r="E36" s="114">
        <v>45748</v>
      </c>
      <c r="F36" s="119" t="s">
        <v>332</v>
      </c>
      <c r="G36" s="113" t="s">
        <v>333</v>
      </c>
      <c r="H36" s="137" t="s">
        <v>342</v>
      </c>
      <c r="I36" s="137" t="s">
        <v>334</v>
      </c>
      <c r="J36" s="115"/>
      <c r="K36" s="169">
        <v>27.96</v>
      </c>
      <c r="L36" s="117">
        <f t="shared" si="0"/>
        <v>0</v>
      </c>
      <c r="M36" s="115"/>
      <c r="N36" s="169">
        <v>202.06</v>
      </c>
      <c r="O36" s="120">
        <f t="shared" si="1"/>
        <v>0</v>
      </c>
      <c r="P36" s="115"/>
      <c r="Q36" s="115"/>
      <c r="R36" s="115"/>
      <c r="S36" s="115"/>
      <c r="T36" s="115">
        <f>Tabela4[[#This Row],[Valor do contrato sem o equipamento]]/30.4375*3</f>
        <v>0</v>
      </c>
      <c r="U36" s="115">
        <f>Tabela4[[#This Row],[Valor contrato]]*(30.4375-Tabela4[[#This Row],[Dias inoperantes]])/30.4375</f>
        <v>0</v>
      </c>
      <c r="V36" s="116"/>
      <c r="W36" s="123"/>
      <c r="X36" s="179"/>
      <c r="Y36" s="123">
        <f>Tabela4[[#This Row],[Diferença]]*Tabela4[[#This Row],[Quantidade]]</f>
        <v>0</v>
      </c>
    </row>
    <row r="37" spans="2:25" ht="15" hidden="1" thickBot="1">
      <c r="B37" s="113" t="s">
        <v>21</v>
      </c>
      <c r="C37" s="113" t="s">
        <v>30</v>
      </c>
      <c r="D37" s="113" t="s">
        <v>40</v>
      </c>
      <c r="E37" s="114">
        <v>45748</v>
      </c>
      <c r="F37" s="119" t="s">
        <v>337</v>
      </c>
      <c r="G37" s="113" t="s">
        <v>333</v>
      </c>
      <c r="H37" s="137">
        <v>0.41666666666666669</v>
      </c>
      <c r="I37" s="137" t="s">
        <v>342</v>
      </c>
      <c r="J37" s="115"/>
      <c r="K37" s="169">
        <v>23.98</v>
      </c>
      <c r="L37" s="117">
        <f t="shared" si="0"/>
        <v>0</v>
      </c>
      <c r="M37" s="115"/>
      <c r="N37" s="169">
        <v>173.31</v>
      </c>
      <c r="O37" s="120">
        <f t="shared" si="1"/>
        <v>0</v>
      </c>
      <c r="P37" s="115"/>
      <c r="Q37" s="115"/>
      <c r="R37" s="115"/>
      <c r="S37" s="115"/>
      <c r="T37" s="115">
        <f>Tabela4[[#This Row],[Valor do contrato sem o equipamento]]/30.4375*3</f>
        <v>0</v>
      </c>
      <c r="U37" s="115">
        <f>Tabela4[[#This Row],[Valor contrato]]*(30.4375-Tabela4[[#This Row],[Dias inoperantes]])/30.4375</f>
        <v>0</v>
      </c>
      <c r="V37" s="116"/>
      <c r="W37" s="123"/>
      <c r="X37" s="179"/>
      <c r="Y37" s="123">
        <f>Tabela4[[#This Row],[Diferença]]*Tabela4[[#This Row],[Quantidade]]</f>
        <v>0</v>
      </c>
    </row>
    <row r="38" spans="2:25" ht="26.5" hidden="1" thickBot="1">
      <c r="B38" s="113" t="s">
        <v>21</v>
      </c>
      <c r="C38" s="113" t="s">
        <v>30</v>
      </c>
      <c r="D38" s="113" t="s">
        <v>40</v>
      </c>
      <c r="E38" s="114">
        <v>45748</v>
      </c>
      <c r="F38" s="119" t="s">
        <v>347</v>
      </c>
      <c r="G38" s="113" t="s">
        <v>333</v>
      </c>
      <c r="H38" s="137">
        <v>0.29166666666666669</v>
      </c>
      <c r="I38" s="137" t="s">
        <v>348</v>
      </c>
      <c r="J38" s="115"/>
      <c r="K38" s="169">
        <v>21.1</v>
      </c>
      <c r="L38" s="117">
        <f t="shared" si="0"/>
        <v>0</v>
      </c>
      <c r="M38" s="115"/>
      <c r="N38" s="169">
        <v>152.5</v>
      </c>
      <c r="O38" s="120">
        <f t="shared" si="1"/>
        <v>0</v>
      </c>
      <c r="P38" s="115"/>
      <c r="Q38" s="115"/>
      <c r="R38" s="115"/>
      <c r="S38" s="115"/>
      <c r="T38" s="115">
        <f>Tabela4[[#This Row],[Valor do contrato sem o equipamento]]/30.4375*3</f>
        <v>0</v>
      </c>
      <c r="U38" s="115">
        <f>Tabela4[[#This Row],[Valor contrato]]*(30.4375-Tabela4[[#This Row],[Dias inoperantes]])/30.4375</f>
        <v>0</v>
      </c>
      <c r="V38" s="116"/>
      <c r="W38" s="123"/>
      <c r="X38" s="179"/>
      <c r="Y38" s="123">
        <f>Tabela4[[#This Row],[Diferença]]*Tabela4[[#This Row],[Quantidade]]</f>
        <v>0</v>
      </c>
    </row>
    <row r="39" spans="2:25" ht="15" hidden="1" thickBot="1">
      <c r="B39" s="113" t="s">
        <v>21</v>
      </c>
      <c r="C39" s="113" t="s">
        <v>30</v>
      </c>
      <c r="D39" s="113" t="s">
        <v>40</v>
      </c>
      <c r="E39" s="114">
        <v>45748</v>
      </c>
      <c r="F39" s="119" t="s">
        <v>339</v>
      </c>
      <c r="G39" s="113" t="s">
        <v>333</v>
      </c>
      <c r="H39" s="137">
        <v>0.25</v>
      </c>
      <c r="I39" s="137" t="s">
        <v>346</v>
      </c>
      <c r="J39" s="115"/>
      <c r="K39" s="169">
        <v>21.1</v>
      </c>
      <c r="L39" s="117">
        <f t="shared" si="0"/>
        <v>0</v>
      </c>
      <c r="M39" s="115"/>
      <c r="N39" s="169">
        <v>152.5</v>
      </c>
      <c r="O39" s="120">
        <f t="shared" si="1"/>
        <v>0</v>
      </c>
      <c r="P39" s="115"/>
      <c r="Q39" s="115"/>
      <c r="R39" s="115"/>
      <c r="S39" s="115"/>
      <c r="T39" s="115">
        <f>Tabela4[[#This Row],[Valor do contrato sem o equipamento]]/30.4375*3</f>
        <v>0</v>
      </c>
      <c r="U39" s="115">
        <f>Tabela4[[#This Row],[Valor contrato]]*(30.4375-Tabela4[[#This Row],[Dias inoperantes]])/30.4375</f>
        <v>0</v>
      </c>
      <c r="V39" s="116"/>
      <c r="W39" s="123"/>
      <c r="X39" s="179"/>
      <c r="Y39" s="123">
        <f>Tabela4[[#This Row],[Diferença]]*Tabela4[[#This Row],[Quantidade]]</f>
        <v>0</v>
      </c>
    </row>
    <row r="40" spans="2:25" ht="15" hidden="1" thickBot="1">
      <c r="B40" s="113" t="s">
        <v>21</v>
      </c>
      <c r="C40" s="113" t="s">
        <v>30</v>
      </c>
      <c r="D40" s="113" t="s">
        <v>40</v>
      </c>
      <c r="E40" s="114">
        <v>45748</v>
      </c>
      <c r="F40" s="119" t="s">
        <v>339</v>
      </c>
      <c r="G40" s="113" t="s">
        <v>333</v>
      </c>
      <c r="H40" s="137">
        <v>0.41666666666666669</v>
      </c>
      <c r="I40" s="137" t="s">
        <v>342</v>
      </c>
      <c r="J40" s="115"/>
      <c r="K40" s="169">
        <v>21.1</v>
      </c>
      <c r="L40" s="117">
        <f t="shared" si="0"/>
        <v>0</v>
      </c>
      <c r="M40" s="115"/>
      <c r="N40" s="169">
        <v>152.5</v>
      </c>
      <c r="O40" s="120">
        <f t="shared" si="1"/>
        <v>0</v>
      </c>
      <c r="P40" s="115"/>
      <c r="Q40" s="115"/>
      <c r="R40" s="115"/>
      <c r="S40" s="115"/>
      <c r="T40" s="115">
        <f>Tabela4[[#This Row],[Valor do contrato sem o equipamento]]/30.4375*3</f>
        <v>0</v>
      </c>
      <c r="U40" s="115">
        <f>Tabela4[[#This Row],[Valor contrato]]*(30.4375-Tabela4[[#This Row],[Dias inoperantes]])/30.4375</f>
        <v>0</v>
      </c>
      <c r="V40" s="116"/>
      <c r="W40" s="123"/>
      <c r="X40" s="179"/>
      <c r="Y40" s="123">
        <f>Tabela4[[#This Row],[Diferença]]*Tabela4[[#This Row],[Quantidade]]</f>
        <v>0</v>
      </c>
    </row>
    <row r="41" spans="2:25" ht="15" hidden="1" thickBot="1">
      <c r="B41" s="113" t="s">
        <v>21</v>
      </c>
      <c r="C41" s="113" t="s">
        <v>30</v>
      </c>
      <c r="D41" s="113" t="s">
        <v>40</v>
      </c>
      <c r="E41" s="114">
        <v>45748</v>
      </c>
      <c r="F41" s="119" t="s">
        <v>339</v>
      </c>
      <c r="G41" s="113" t="s">
        <v>333</v>
      </c>
      <c r="H41" s="137">
        <v>0.45833333333333331</v>
      </c>
      <c r="I41" s="137" t="s">
        <v>349</v>
      </c>
      <c r="J41" s="115"/>
      <c r="K41" s="169">
        <v>21.39</v>
      </c>
      <c r="L41" s="117">
        <f t="shared" si="0"/>
        <v>0</v>
      </c>
      <c r="M41" s="115"/>
      <c r="N41" s="169">
        <v>154.62</v>
      </c>
      <c r="O41" s="120">
        <f t="shared" si="1"/>
        <v>0</v>
      </c>
      <c r="P41" s="115"/>
      <c r="Q41" s="115"/>
      <c r="R41" s="115"/>
      <c r="S41" s="115"/>
      <c r="T41" s="115">
        <f>Tabela4[[#This Row],[Valor do contrato sem o equipamento]]/30.4375*3</f>
        <v>0</v>
      </c>
      <c r="U41" s="115">
        <f>Tabela4[[#This Row],[Valor contrato]]*(30.4375-Tabela4[[#This Row],[Dias inoperantes]])/30.4375</f>
        <v>0</v>
      </c>
      <c r="V41" s="116"/>
      <c r="W41" s="123"/>
      <c r="X41" s="179"/>
      <c r="Y41" s="123">
        <f>Tabela4[[#This Row],[Diferença]]*Tabela4[[#This Row],[Quantidade]]</f>
        <v>0</v>
      </c>
    </row>
    <row r="42" spans="2:25" ht="15" hidden="1" thickBot="1">
      <c r="B42" s="113" t="s">
        <v>21</v>
      </c>
      <c r="C42" s="113" t="s">
        <v>30</v>
      </c>
      <c r="D42" s="113" t="s">
        <v>40</v>
      </c>
      <c r="E42" s="114">
        <v>45748</v>
      </c>
      <c r="F42" s="119" t="s">
        <v>350</v>
      </c>
      <c r="G42" s="113" t="s">
        <v>333</v>
      </c>
      <c r="H42" s="137">
        <v>0.41666666666666669</v>
      </c>
      <c r="I42" s="137" t="s">
        <v>342</v>
      </c>
      <c r="J42" s="115"/>
      <c r="K42" s="169">
        <v>23.98</v>
      </c>
      <c r="L42" s="117">
        <f t="shared" si="0"/>
        <v>0</v>
      </c>
      <c r="M42" s="115">
        <v>12</v>
      </c>
      <c r="N42" s="169">
        <v>173.31</v>
      </c>
      <c r="O42" s="120">
        <f t="shared" si="1"/>
        <v>2079.7200000000003</v>
      </c>
      <c r="P42" s="115"/>
      <c r="Q42" s="115"/>
      <c r="R42" s="115"/>
      <c r="S42" s="115"/>
      <c r="T42" s="115">
        <f>Tabela4[[#This Row],[Valor do contrato sem o equipamento]]/30.4375*3</f>
        <v>0</v>
      </c>
      <c r="U42" s="115">
        <f>Tabela4[[#This Row],[Valor contrato]]*(30.4375-Tabela4[[#This Row],[Dias inoperantes]])/30.4375</f>
        <v>0</v>
      </c>
      <c r="V42" s="116"/>
      <c r="W42" s="123"/>
      <c r="X42" s="179"/>
      <c r="Y42" s="123">
        <f>Tabela4[[#This Row],[Diferença]]*Tabela4[[#This Row],[Quantidade]]</f>
        <v>0</v>
      </c>
    </row>
    <row r="43" spans="2:25" ht="15" hidden="1" customHeight="1" thickBot="1">
      <c r="B43" s="129" t="s">
        <v>21</v>
      </c>
      <c r="C43" s="129" t="s">
        <v>30</v>
      </c>
      <c r="D43" s="113" t="s">
        <v>40</v>
      </c>
      <c r="E43" s="114">
        <v>45748</v>
      </c>
      <c r="F43" s="131" t="s">
        <v>339</v>
      </c>
      <c r="G43" s="129" t="s">
        <v>333</v>
      </c>
      <c r="H43" s="137">
        <v>0.91666666666666663</v>
      </c>
      <c r="I43" s="137" t="s">
        <v>334</v>
      </c>
      <c r="J43" s="132"/>
      <c r="K43" s="169">
        <v>22.85</v>
      </c>
      <c r="L43" s="133">
        <f t="shared" si="0"/>
        <v>0</v>
      </c>
      <c r="M43" s="132"/>
      <c r="N43" s="169">
        <v>165.18</v>
      </c>
      <c r="O43" s="133">
        <f t="shared" si="1"/>
        <v>0</v>
      </c>
      <c r="P43" s="132"/>
      <c r="Q43" s="132"/>
      <c r="R43" s="132"/>
      <c r="S43" s="132"/>
      <c r="T43" s="132">
        <f>Tabela4[[#This Row],[Valor do contrato sem o equipamento]]/30.4375*3</f>
        <v>0</v>
      </c>
      <c r="U43" s="132">
        <f>Tabela4[[#This Row],[Valor contrato]]*(30.4375-Tabela4[[#This Row],[Dias inoperantes]])/30.4375</f>
        <v>0</v>
      </c>
      <c r="V43" s="134"/>
      <c r="W43" s="135"/>
      <c r="X43" s="140"/>
      <c r="Y43" s="135">
        <f>Tabela4[[#This Row],[Diferença]]*Tabela4[[#This Row],[Quantidade]]</f>
        <v>0</v>
      </c>
    </row>
    <row r="44" spans="2:25" ht="15" hidden="1" customHeight="1" thickBot="1">
      <c r="B44" s="129" t="s">
        <v>21</v>
      </c>
      <c r="C44" s="129" t="s">
        <v>30</v>
      </c>
      <c r="D44" s="113" t="s">
        <v>40</v>
      </c>
      <c r="E44" s="114">
        <v>45748</v>
      </c>
      <c r="F44" s="131" t="s">
        <v>339</v>
      </c>
      <c r="G44" s="129" t="s">
        <v>333</v>
      </c>
      <c r="H44" s="137" t="s">
        <v>340</v>
      </c>
      <c r="I44" s="137" t="s">
        <v>346</v>
      </c>
      <c r="J44" s="132"/>
      <c r="K44" s="169">
        <v>21.1</v>
      </c>
      <c r="L44" s="133">
        <f t="shared" si="0"/>
        <v>0</v>
      </c>
      <c r="M44" s="132"/>
      <c r="N44" s="169">
        <v>152.5</v>
      </c>
      <c r="O44" s="133">
        <f t="shared" si="1"/>
        <v>0</v>
      </c>
      <c r="P44" s="132"/>
      <c r="Q44" s="132"/>
      <c r="R44" s="132"/>
      <c r="S44" s="132"/>
      <c r="T44" s="132">
        <f>Tabela4[[#This Row],[Valor do contrato sem o equipamento]]/30.4375*3</f>
        <v>0</v>
      </c>
      <c r="U44" s="132">
        <f>Tabela4[[#This Row],[Valor contrato]]*(30.4375-Tabela4[[#This Row],[Dias inoperantes]])/30.4375</f>
        <v>0</v>
      </c>
      <c r="V44" s="134"/>
      <c r="W44" s="135"/>
      <c r="X44" s="140"/>
      <c r="Y44" s="135">
        <f>Tabela4[[#This Row],[Diferença]]*Tabela4[[#This Row],[Quantidade]]</f>
        <v>0</v>
      </c>
    </row>
    <row r="45" spans="2:25" ht="15" hidden="1" thickBot="1">
      <c r="B45" s="129" t="s">
        <v>21</v>
      </c>
      <c r="C45" s="129" t="s">
        <v>30</v>
      </c>
      <c r="D45" s="113" t="s">
        <v>40</v>
      </c>
      <c r="E45" s="114">
        <v>45748</v>
      </c>
      <c r="F45" s="131" t="s">
        <v>339</v>
      </c>
      <c r="G45" s="129" t="s">
        <v>333</v>
      </c>
      <c r="H45" s="137">
        <v>0.25</v>
      </c>
      <c r="I45" s="137" t="s">
        <v>346</v>
      </c>
      <c r="J45" s="132"/>
      <c r="K45" s="169">
        <v>21.1</v>
      </c>
      <c r="L45" s="133">
        <f t="shared" si="0"/>
        <v>0</v>
      </c>
      <c r="M45" s="132"/>
      <c r="N45" s="169">
        <v>152.5</v>
      </c>
      <c r="O45" s="133">
        <f t="shared" si="1"/>
        <v>0</v>
      </c>
      <c r="P45" s="132"/>
      <c r="Q45" s="132"/>
      <c r="R45" s="132"/>
      <c r="S45" s="132"/>
      <c r="T45" s="132">
        <f>Tabela4[[#This Row],[Valor do contrato sem o equipamento]]/30.4375*3</f>
        <v>0</v>
      </c>
      <c r="U45" s="132">
        <f>Tabela4[[#This Row],[Valor contrato]]*(30.4375-Tabela4[[#This Row],[Dias inoperantes]])/30.4375</f>
        <v>0</v>
      </c>
      <c r="V45" s="134"/>
      <c r="W45" s="135"/>
      <c r="X45" s="140"/>
      <c r="Y45" s="135">
        <f>Tabela4[[#This Row],[Diferença]]*Tabela4[[#This Row],[Quantidade]]</f>
        <v>0</v>
      </c>
    </row>
    <row r="46" spans="2:25" ht="15" hidden="1" thickBot="1">
      <c r="B46" s="129" t="s">
        <v>21</v>
      </c>
      <c r="C46" s="129" t="s">
        <v>30</v>
      </c>
      <c r="D46" s="113" t="s">
        <v>40</v>
      </c>
      <c r="E46" s="114">
        <v>45748</v>
      </c>
      <c r="F46" s="131" t="s">
        <v>339</v>
      </c>
      <c r="G46" s="129" t="s">
        <v>333</v>
      </c>
      <c r="H46" s="137">
        <v>0.41666666666666669</v>
      </c>
      <c r="I46" s="137" t="s">
        <v>342</v>
      </c>
      <c r="J46" s="132"/>
      <c r="K46" s="169">
        <v>21.1</v>
      </c>
      <c r="L46" s="133">
        <f t="shared" si="0"/>
        <v>0</v>
      </c>
      <c r="M46" s="132"/>
      <c r="N46" s="169">
        <v>152.5</v>
      </c>
      <c r="O46" s="133">
        <f t="shared" si="1"/>
        <v>0</v>
      </c>
      <c r="P46" s="132"/>
      <c r="Q46" s="132"/>
      <c r="R46" s="132"/>
      <c r="S46" s="132"/>
      <c r="T46" s="132">
        <f>Tabela4[[#This Row],[Valor do contrato sem o equipamento]]/30.4375*3</f>
        <v>0</v>
      </c>
      <c r="U46" s="132">
        <f>Tabela4[[#This Row],[Valor contrato]]*(30.4375-Tabela4[[#This Row],[Dias inoperantes]])/30.4375</f>
        <v>0</v>
      </c>
      <c r="V46" s="134"/>
      <c r="W46" s="135"/>
      <c r="X46" s="140"/>
      <c r="Y46" s="135">
        <f>Tabela4[[#This Row],[Diferença]]*Tabela4[[#This Row],[Quantidade]]</f>
        <v>0</v>
      </c>
    </row>
    <row r="47" spans="2:25" ht="15" hidden="1" thickBot="1">
      <c r="B47" s="129" t="s">
        <v>21</v>
      </c>
      <c r="C47" s="129" t="s">
        <v>30</v>
      </c>
      <c r="D47" s="113" t="s">
        <v>40</v>
      </c>
      <c r="E47" s="114">
        <v>45748</v>
      </c>
      <c r="F47" s="131" t="s">
        <v>339</v>
      </c>
      <c r="G47" s="129" t="s">
        <v>333</v>
      </c>
      <c r="H47" s="137">
        <v>0.25</v>
      </c>
      <c r="I47" s="137" t="s">
        <v>346</v>
      </c>
      <c r="J47" s="132"/>
      <c r="K47" s="169">
        <v>21.1</v>
      </c>
      <c r="L47" s="133">
        <f t="shared" si="0"/>
        <v>0</v>
      </c>
      <c r="M47" s="132"/>
      <c r="N47" s="169">
        <v>152.5</v>
      </c>
      <c r="O47" s="133">
        <f t="shared" si="1"/>
        <v>0</v>
      </c>
      <c r="P47" s="132"/>
      <c r="Q47" s="132"/>
      <c r="R47" s="132"/>
      <c r="S47" s="132"/>
      <c r="T47" s="132">
        <f>Tabela4[[#This Row],[Valor do contrato sem o equipamento]]/30.4375*3</f>
        <v>0</v>
      </c>
      <c r="U47" s="132">
        <f>Tabela4[[#This Row],[Valor contrato]]*(30.4375-Tabela4[[#This Row],[Dias inoperantes]])/30.4375</f>
        <v>0</v>
      </c>
      <c r="V47" s="134"/>
      <c r="W47" s="135"/>
      <c r="X47" s="140"/>
      <c r="Y47" s="135">
        <f>Tabela4[[#This Row],[Diferença]]*Tabela4[[#This Row],[Quantidade]]</f>
        <v>0</v>
      </c>
    </row>
    <row r="48" spans="2:25" ht="15" hidden="1" thickBot="1">
      <c r="B48" s="129" t="s">
        <v>21</v>
      </c>
      <c r="C48" s="129" t="s">
        <v>30</v>
      </c>
      <c r="D48" s="113" t="s">
        <v>40</v>
      </c>
      <c r="E48" s="114">
        <v>45748</v>
      </c>
      <c r="F48" s="131" t="s">
        <v>339</v>
      </c>
      <c r="G48" s="129" t="s">
        <v>333</v>
      </c>
      <c r="H48" s="137" t="s">
        <v>340</v>
      </c>
      <c r="I48" s="137" t="s">
        <v>346</v>
      </c>
      <c r="J48" s="132"/>
      <c r="K48" s="169">
        <v>2.3199999999999998</v>
      </c>
      <c r="L48" s="133">
        <f t="shared" si="0"/>
        <v>0</v>
      </c>
      <c r="M48" s="132"/>
      <c r="N48" s="169">
        <v>16.79</v>
      </c>
      <c r="O48" s="133">
        <f t="shared" si="1"/>
        <v>0</v>
      </c>
      <c r="P48" s="132"/>
      <c r="Q48" s="132"/>
      <c r="R48" s="132"/>
      <c r="S48" s="132"/>
      <c r="T48" s="132">
        <f>Tabela4[[#This Row],[Valor do contrato sem o equipamento]]/30.4375*3</f>
        <v>0</v>
      </c>
      <c r="U48" s="132">
        <f>Tabela4[[#This Row],[Valor contrato]]*(30.4375-Tabela4[[#This Row],[Dias inoperantes]])/30.4375</f>
        <v>0</v>
      </c>
      <c r="V48" s="134"/>
      <c r="W48" s="135"/>
      <c r="X48" s="140"/>
      <c r="Y48" s="135">
        <f>Tabela4[[#This Row],[Diferença]]*Tabela4[[#This Row],[Quantidade]]</f>
        <v>0</v>
      </c>
    </row>
    <row r="49" spans="2:25" ht="15" hidden="1" thickBot="1">
      <c r="B49" s="129" t="s">
        <v>21</v>
      </c>
      <c r="C49" s="129" t="s">
        <v>30</v>
      </c>
      <c r="D49" s="129" t="s">
        <v>40</v>
      </c>
      <c r="E49" s="130">
        <v>45778</v>
      </c>
      <c r="F49" s="129" t="s">
        <v>345</v>
      </c>
      <c r="G49" s="129" t="s">
        <v>333</v>
      </c>
      <c r="H49" s="137">
        <v>0.41666666666666669</v>
      </c>
      <c r="I49" s="137">
        <v>0.91666666666666663</v>
      </c>
      <c r="J49" s="132"/>
      <c r="K49" s="169"/>
      <c r="L49" s="133">
        <f t="shared" si="0"/>
        <v>0</v>
      </c>
      <c r="M49" s="132">
        <v>1</v>
      </c>
      <c r="N49" s="169">
        <v>185.71</v>
      </c>
      <c r="O49" s="133">
        <f t="shared" si="1"/>
        <v>185.71</v>
      </c>
      <c r="P49" s="132"/>
      <c r="Q49" s="132"/>
      <c r="R49" s="134"/>
      <c r="S49" s="134"/>
      <c r="T49" s="134">
        <f>Tabela4[[#This Row],[Valor do contrato sem o equipamento]]/30.4375*3</f>
        <v>0</v>
      </c>
      <c r="U49" s="134">
        <f>Tabela4[[#This Row],[Valor contrato]]*(30.4375-Tabela4[[#This Row],[Dias inoperantes]])/30.4375</f>
        <v>0</v>
      </c>
      <c r="V49" s="134"/>
      <c r="W49" s="135"/>
      <c r="X49" s="140"/>
      <c r="Y49" s="135">
        <f>Tabela4[[#This Row],[Diferença]]*Tabela4[[#This Row],[Quantidade]]</f>
        <v>0</v>
      </c>
    </row>
    <row r="50" spans="2:25" ht="15" hidden="1" thickBot="1">
      <c r="B50" s="129" t="s">
        <v>21</v>
      </c>
      <c r="C50" s="129" t="s">
        <v>30</v>
      </c>
      <c r="D50" s="129" t="s">
        <v>40</v>
      </c>
      <c r="E50" s="130">
        <v>45778</v>
      </c>
      <c r="F50" s="129" t="s">
        <v>332</v>
      </c>
      <c r="G50" s="129" t="s">
        <v>333</v>
      </c>
      <c r="H50" s="137">
        <v>0.91666666666666663</v>
      </c>
      <c r="I50" s="137">
        <v>0.41666666666666669</v>
      </c>
      <c r="J50" s="132"/>
      <c r="K50" s="169"/>
      <c r="L50" s="133">
        <f t="shared" si="0"/>
        <v>0</v>
      </c>
      <c r="M50" s="132">
        <v>17</v>
      </c>
      <c r="N50" s="169">
        <v>202.06</v>
      </c>
      <c r="O50" s="133">
        <f t="shared" si="1"/>
        <v>3435.02</v>
      </c>
      <c r="P50" s="132"/>
      <c r="Q50" s="132"/>
      <c r="R50" s="134"/>
      <c r="S50" s="134"/>
      <c r="T50" s="134">
        <f>Tabela4[[#This Row],[Valor do contrato sem o equipamento]]/30.4375*3</f>
        <v>0</v>
      </c>
      <c r="U50" s="134">
        <f>Tabela4[[#This Row],[Valor contrato]]*(30.4375-Tabela4[[#This Row],[Dias inoperantes]])/30.4375</f>
        <v>0</v>
      </c>
      <c r="V50" s="134"/>
      <c r="W50" s="135"/>
      <c r="X50" s="140"/>
      <c r="Y50" s="135">
        <f>Tabela4[[#This Row],[Diferença]]*Tabela4[[#This Row],[Quantidade]]</f>
        <v>0</v>
      </c>
    </row>
    <row r="51" spans="2:25" ht="15" hidden="1" thickBot="1">
      <c r="B51" s="129" t="s">
        <v>21</v>
      </c>
      <c r="C51" s="129" t="s">
        <v>30</v>
      </c>
      <c r="D51" s="129" t="s">
        <v>40</v>
      </c>
      <c r="E51" s="130">
        <v>45778</v>
      </c>
      <c r="F51" s="129" t="s">
        <v>351</v>
      </c>
      <c r="G51" s="129" t="s">
        <v>333</v>
      </c>
      <c r="H51" s="137">
        <v>0.29166666666666669</v>
      </c>
      <c r="I51" s="137">
        <v>0.79166666666666663</v>
      </c>
      <c r="J51" s="132"/>
      <c r="K51" s="169"/>
      <c r="L51" s="133">
        <f t="shared" si="0"/>
        <v>0</v>
      </c>
      <c r="M51" s="132">
        <v>17</v>
      </c>
      <c r="N51" s="169">
        <v>152.5</v>
      </c>
      <c r="O51" s="133">
        <f t="shared" si="1"/>
        <v>2592.5</v>
      </c>
      <c r="P51" s="132"/>
      <c r="Q51" s="132"/>
      <c r="R51" s="134"/>
      <c r="S51" s="134"/>
      <c r="T51" s="134">
        <f>Tabela4[[#This Row],[Valor do contrato sem o equipamento]]/30.4375*3</f>
        <v>0</v>
      </c>
      <c r="U51" s="134">
        <f>Tabela4[[#This Row],[Valor contrato]]*(30.4375-Tabela4[[#This Row],[Dias inoperantes]])/30.4375</f>
        <v>0</v>
      </c>
      <c r="V51" s="134"/>
      <c r="W51" s="135"/>
      <c r="X51" s="140"/>
      <c r="Y51" s="135">
        <f>Tabela4[[#This Row],[Diferença]]*Tabela4[[#This Row],[Quantidade]]</f>
        <v>0</v>
      </c>
    </row>
    <row r="52" spans="2:25" ht="15" hidden="1" thickBot="1">
      <c r="B52" s="129" t="s">
        <v>21</v>
      </c>
      <c r="C52" s="129" t="s">
        <v>30</v>
      </c>
      <c r="D52" s="129" t="s">
        <v>40</v>
      </c>
      <c r="E52" s="130">
        <v>45778</v>
      </c>
      <c r="F52" s="129" t="s">
        <v>351</v>
      </c>
      <c r="G52" s="129" t="s">
        <v>333</v>
      </c>
      <c r="H52" s="137">
        <v>0.41666666666666669</v>
      </c>
      <c r="I52" s="137">
        <v>0.91666666666666663</v>
      </c>
      <c r="J52" s="132"/>
      <c r="K52" s="169"/>
      <c r="L52" s="133">
        <f t="shared" si="0"/>
        <v>0</v>
      </c>
      <c r="M52" s="132">
        <v>6</v>
      </c>
      <c r="N52" s="169">
        <v>152.5</v>
      </c>
      <c r="O52" s="133">
        <f t="shared" si="1"/>
        <v>915</v>
      </c>
      <c r="P52" s="132"/>
      <c r="Q52" s="132"/>
      <c r="R52" s="134"/>
      <c r="S52" s="134"/>
      <c r="T52" s="134">
        <f>Tabela4[[#This Row],[Valor do contrato sem o equipamento]]/30.4375*3</f>
        <v>0</v>
      </c>
      <c r="U52" s="134">
        <f>Tabela4[[#This Row],[Valor contrato]]*(30.4375-Tabela4[[#This Row],[Dias inoperantes]])/30.4375</f>
        <v>0</v>
      </c>
      <c r="V52" s="134"/>
      <c r="W52" s="135"/>
      <c r="X52" s="140"/>
      <c r="Y52" s="135">
        <f>Tabela4[[#This Row],[Diferença]]*Tabela4[[#This Row],[Quantidade]]</f>
        <v>0</v>
      </c>
    </row>
    <row r="53" spans="2:25" ht="15" hidden="1" thickBot="1">
      <c r="B53" s="129" t="s">
        <v>21</v>
      </c>
      <c r="C53" s="129" t="s">
        <v>30</v>
      </c>
      <c r="D53" s="129" t="s">
        <v>40</v>
      </c>
      <c r="E53" s="130">
        <v>45778</v>
      </c>
      <c r="F53" s="129" t="s">
        <v>352</v>
      </c>
      <c r="G53" s="129" t="s">
        <v>333</v>
      </c>
      <c r="H53" s="137">
        <v>0.41666666666666669</v>
      </c>
      <c r="I53" s="137">
        <v>0.91666666666666663</v>
      </c>
      <c r="J53" s="132"/>
      <c r="K53" s="169"/>
      <c r="L53" s="133">
        <f t="shared" si="0"/>
        <v>0</v>
      </c>
      <c r="M53" s="132">
        <v>14</v>
      </c>
      <c r="N53" s="169">
        <v>173.31</v>
      </c>
      <c r="O53" s="133">
        <f t="shared" si="1"/>
        <v>2426.34</v>
      </c>
      <c r="P53" s="132"/>
      <c r="Q53" s="132"/>
      <c r="R53" s="134"/>
      <c r="S53" s="134"/>
      <c r="T53" s="134">
        <f>Tabela4[[#This Row],[Valor do contrato sem o equipamento]]/30.4375*3</f>
        <v>0</v>
      </c>
      <c r="U53" s="134">
        <f>Tabela4[[#This Row],[Valor contrato]]*(30.4375-Tabela4[[#This Row],[Dias inoperantes]])/30.4375</f>
        <v>0</v>
      </c>
      <c r="V53" s="134"/>
      <c r="W53" s="135"/>
      <c r="X53" s="140"/>
      <c r="Y53" s="135">
        <f>Tabela4[[#This Row],[Diferença]]*Tabela4[[#This Row],[Quantidade]]</f>
        <v>0</v>
      </c>
    </row>
    <row r="54" spans="2:25" ht="15" hidden="1" thickBot="1">
      <c r="B54" s="129" t="s">
        <v>21</v>
      </c>
      <c r="C54" s="129" t="s">
        <v>30</v>
      </c>
      <c r="D54" s="129" t="s">
        <v>40</v>
      </c>
      <c r="E54" s="130">
        <v>45778</v>
      </c>
      <c r="F54" s="129" t="s">
        <v>353</v>
      </c>
      <c r="G54" s="129" t="s">
        <v>333</v>
      </c>
      <c r="H54" s="137">
        <v>0.91666666666666663</v>
      </c>
      <c r="I54" s="137">
        <v>0.41666666666666669</v>
      </c>
      <c r="J54" s="132"/>
      <c r="K54" s="169"/>
      <c r="L54" s="133">
        <f t="shared" si="0"/>
        <v>0</v>
      </c>
      <c r="M54" s="132">
        <v>12</v>
      </c>
      <c r="N54" s="169">
        <v>165.18</v>
      </c>
      <c r="O54" s="133">
        <f t="shared" si="1"/>
        <v>1982.16</v>
      </c>
      <c r="P54" s="132"/>
      <c r="Q54" s="132"/>
      <c r="R54" s="134"/>
      <c r="S54" s="134"/>
      <c r="T54" s="134">
        <f>Tabela4[[#This Row],[Valor do contrato sem o equipamento]]/30.4375*3</f>
        <v>0</v>
      </c>
      <c r="U54" s="134">
        <f>Tabela4[[#This Row],[Valor contrato]]*(30.4375-Tabela4[[#This Row],[Dias inoperantes]])/30.4375</f>
        <v>0</v>
      </c>
      <c r="V54" s="134"/>
      <c r="W54" s="135"/>
      <c r="X54" s="140"/>
      <c r="Y54" s="135">
        <f>Tabela4[[#This Row],[Diferença]]*Tabela4[[#This Row],[Quantidade]]</f>
        <v>0</v>
      </c>
    </row>
    <row r="55" spans="2:25" ht="15" hidden="1" thickBot="1">
      <c r="B55" s="129" t="s">
        <v>21</v>
      </c>
      <c r="C55" s="129" t="s">
        <v>30</v>
      </c>
      <c r="D55" s="129" t="s">
        <v>40</v>
      </c>
      <c r="E55" s="130">
        <v>45809</v>
      </c>
      <c r="F55" s="129" t="s">
        <v>345</v>
      </c>
      <c r="G55" s="129" t="s">
        <v>333</v>
      </c>
      <c r="H55" s="137" t="s">
        <v>342</v>
      </c>
      <c r="I55" s="137" t="s">
        <v>334</v>
      </c>
      <c r="J55" s="132"/>
      <c r="K55" s="133">
        <v>27.93</v>
      </c>
      <c r="L55" s="133">
        <f t="shared" si="0"/>
        <v>0</v>
      </c>
      <c r="M55" s="132">
        <v>2</v>
      </c>
      <c r="N55" s="133">
        <v>201.87</v>
      </c>
      <c r="O55" s="133">
        <f t="shared" si="1"/>
        <v>403.74</v>
      </c>
      <c r="P55" s="132"/>
      <c r="Q55" s="132"/>
      <c r="R55" s="132"/>
      <c r="S55" s="134"/>
      <c r="T55" s="134">
        <f>Tabela4[[#This Row],[Valor do contrato sem o equipamento]]/30.4375*3</f>
        <v>0</v>
      </c>
      <c r="U55" s="134">
        <f>Tabela4[[#This Row],[Valor contrato]]*(30.4375-Tabela4[[#This Row],[Dias inoperantes]])/30.4375</f>
        <v>0</v>
      </c>
      <c r="V55" s="134"/>
      <c r="W55" s="135"/>
      <c r="X55" s="140"/>
      <c r="Y55" s="135">
        <f>Tabela4[[#This Row],[Diferença]]*Tabela4[[#This Row],[Quantidade]]</f>
        <v>0</v>
      </c>
    </row>
    <row r="56" spans="2:25" ht="15" hidden="1" thickBot="1">
      <c r="B56" s="129" t="s">
        <v>21</v>
      </c>
      <c r="C56" s="129" t="s">
        <v>30</v>
      </c>
      <c r="D56" s="129" t="s">
        <v>40</v>
      </c>
      <c r="E56" s="130">
        <v>45809</v>
      </c>
      <c r="F56" s="129" t="s">
        <v>332</v>
      </c>
      <c r="G56" s="129" t="s">
        <v>333</v>
      </c>
      <c r="H56" s="137" t="s">
        <v>342</v>
      </c>
      <c r="I56" s="137" t="s">
        <v>334</v>
      </c>
      <c r="J56" s="132"/>
      <c r="K56" s="133">
        <v>27.96</v>
      </c>
      <c r="L56" s="133">
        <f t="shared" si="0"/>
        <v>0</v>
      </c>
      <c r="M56" s="132">
        <v>19</v>
      </c>
      <c r="N56" s="133">
        <v>202.06</v>
      </c>
      <c r="O56" s="133">
        <f t="shared" si="1"/>
        <v>3839.14</v>
      </c>
      <c r="P56" s="132"/>
      <c r="Q56" s="132"/>
      <c r="R56" s="132"/>
      <c r="S56" s="134"/>
      <c r="T56" s="134">
        <f>Tabela4[[#This Row],[Valor do contrato sem o equipamento]]/30.4375*3</f>
        <v>0</v>
      </c>
      <c r="U56" s="134">
        <f>Tabela4[[#This Row],[Valor contrato]]*(30.4375-Tabela4[[#This Row],[Dias inoperantes]])/30.4375</f>
        <v>0</v>
      </c>
      <c r="V56" s="134"/>
      <c r="W56" s="135"/>
      <c r="X56" s="140"/>
      <c r="Y56" s="135">
        <f>Tabela4[[#This Row],[Diferença]]*Tabela4[[#This Row],[Quantidade]]</f>
        <v>0</v>
      </c>
    </row>
    <row r="57" spans="2:25" ht="15" hidden="1" thickBot="1">
      <c r="B57" s="129" t="s">
        <v>21</v>
      </c>
      <c r="C57" s="129" t="s">
        <v>30</v>
      </c>
      <c r="D57" s="129" t="s">
        <v>40</v>
      </c>
      <c r="E57" s="130">
        <v>45809</v>
      </c>
      <c r="F57" s="129" t="s">
        <v>337</v>
      </c>
      <c r="G57" s="129" t="s">
        <v>333</v>
      </c>
      <c r="H57" s="137">
        <v>0.41666666666666669</v>
      </c>
      <c r="I57" s="137" t="s">
        <v>342</v>
      </c>
      <c r="J57" s="132"/>
      <c r="K57" s="133">
        <v>23.98</v>
      </c>
      <c r="L57" s="133">
        <f t="shared" si="0"/>
        <v>0</v>
      </c>
      <c r="M57" s="132">
        <v>1</v>
      </c>
      <c r="N57" s="133">
        <v>173.31</v>
      </c>
      <c r="O57" s="133">
        <f t="shared" si="1"/>
        <v>173.31</v>
      </c>
      <c r="P57" s="132"/>
      <c r="Q57" s="132"/>
      <c r="R57" s="132"/>
      <c r="S57" s="134"/>
      <c r="T57" s="134">
        <f>Tabela4[[#This Row],[Valor do contrato sem o equipamento]]/30.4375*3</f>
        <v>0</v>
      </c>
      <c r="U57" s="134">
        <f>Tabela4[[#This Row],[Valor contrato]]*(30.4375-Tabela4[[#This Row],[Dias inoperantes]])/30.4375</f>
        <v>0</v>
      </c>
      <c r="V57" s="134"/>
      <c r="W57" s="135"/>
      <c r="X57" s="140"/>
      <c r="Y57" s="135">
        <f>Tabela4[[#This Row],[Diferença]]*Tabela4[[#This Row],[Quantidade]]</f>
        <v>0</v>
      </c>
    </row>
    <row r="58" spans="2:25" ht="26.5" hidden="1" thickBot="1">
      <c r="B58" s="129" t="s">
        <v>21</v>
      </c>
      <c r="C58" s="129" t="s">
        <v>30</v>
      </c>
      <c r="D58" s="129" t="s">
        <v>40</v>
      </c>
      <c r="E58" s="130">
        <v>45809</v>
      </c>
      <c r="F58" s="129" t="s">
        <v>347</v>
      </c>
      <c r="G58" s="129" t="s">
        <v>333</v>
      </c>
      <c r="H58" s="137">
        <v>0.29166666666666669</v>
      </c>
      <c r="I58" s="137" t="s">
        <v>348</v>
      </c>
      <c r="J58" s="132"/>
      <c r="K58" s="133">
        <v>21.1</v>
      </c>
      <c r="L58" s="133">
        <f t="shared" si="0"/>
        <v>0</v>
      </c>
      <c r="M58" s="132">
        <v>15</v>
      </c>
      <c r="N58" s="133">
        <v>152.5</v>
      </c>
      <c r="O58" s="133">
        <f t="shared" si="1"/>
        <v>2287.5</v>
      </c>
      <c r="P58" s="132"/>
      <c r="Q58" s="132"/>
      <c r="R58" s="132"/>
      <c r="S58" s="134"/>
      <c r="T58" s="134">
        <f>Tabela4[[#This Row],[Valor do contrato sem o equipamento]]/30.4375*3</f>
        <v>0</v>
      </c>
      <c r="U58" s="134">
        <f>Tabela4[[#This Row],[Valor contrato]]*(30.4375-Tabela4[[#This Row],[Dias inoperantes]])/30.4375</f>
        <v>0</v>
      </c>
      <c r="V58" s="134"/>
      <c r="W58" s="135"/>
      <c r="X58" s="140"/>
      <c r="Y58" s="135">
        <f>Tabela4[[#This Row],[Diferença]]*Tabela4[[#This Row],[Quantidade]]</f>
        <v>0</v>
      </c>
    </row>
    <row r="59" spans="2:25" ht="15" hidden="1" thickBot="1">
      <c r="B59" s="129" t="s">
        <v>21</v>
      </c>
      <c r="C59" s="129" t="s">
        <v>30</v>
      </c>
      <c r="D59" s="129" t="s">
        <v>40</v>
      </c>
      <c r="E59" s="130">
        <v>45809</v>
      </c>
      <c r="F59" s="129" t="s">
        <v>339</v>
      </c>
      <c r="G59" s="129" t="s">
        <v>333</v>
      </c>
      <c r="H59" s="137">
        <v>0.41666666666666669</v>
      </c>
      <c r="I59" s="137" t="s">
        <v>342</v>
      </c>
      <c r="J59" s="132"/>
      <c r="K59" s="133">
        <v>21.1</v>
      </c>
      <c r="L59" s="133">
        <f t="shared" si="0"/>
        <v>0</v>
      </c>
      <c r="M59" s="132">
        <v>16</v>
      </c>
      <c r="N59" s="133">
        <v>152.5</v>
      </c>
      <c r="O59" s="133">
        <f t="shared" si="1"/>
        <v>2440</v>
      </c>
      <c r="P59" s="132"/>
      <c r="Q59" s="132"/>
      <c r="R59" s="132"/>
      <c r="S59" s="134"/>
      <c r="T59" s="134">
        <f>Tabela4[[#This Row],[Valor do contrato sem o equipamento]]/30.4375*3</f>
        <v>0</v>
      </c>
      <c r="U59" s="134">
        <f>Tabela4[[#This Row],[Valor contrato]]*(30.4375-Tabela4[[#This Row],[Dias inoperantes]])/30.4375</f>
        <v>0</v>
      </c>
      <c r="V59" s="134"/>
      <c r="W59" s="135"/>
      <c r="X59" s="140"/>
      <c r="Y59" s="135">
        <f>Tabela4[[#This Row],[Diferença]]*Tabela4[[#This Row],[Quantidade]]</f>
        <v>0</v>
      </c>
    </row>
    <row r="60" spans="2:25" ht="15" hidden="1" thickBot="1">
      <c r="B60" s="129" t="s">
        <v>21</v>
      </c>
      <c r="C60" s="129" t="s">
        <v>30</v>
      </c>
      <c r="D60" s="129" t="s">
        <v>40</v>
      </c>
      <c r="E60" s="130">
        <v>45809</v>
      </c>
      <c r="F60" s="129" t="s">
        <v>350</v>
      </c>
      <c r="G60" s="129" t="s">
        <v>333</v>
      </c>
      <c r="H60" s="137">
        <v>0.41666666666666669</v>
      </c>
      <c r="I60" s="137" t="s">
        <v>342</v>
      </c>
      <c r="J60" s="132"/>
      <c r="K60" s="133">
        <v>23.98</v>
      </c>
      <c r="L60" s="133">
        <f t="shared" si="0"/>
        <v>0</v>
      </c>
      <c r="M60" s="132">
        <v>23</v>
      </c>
      <c r="N60" s="133">
        <v>173.31</v>
      </c>
      <c r="O60" s="133">
        <f t="shared" si="1"/>
        <v>3986.13</v>
      </c>
      <c r="P60" s="132"/>
      <c r="Q60" s="132"/>
      <c r="R60" s="132"/>
      <c r="S60" s="134"/>
      <c r="T60" s="134">
        <f>Tabela4[[#This Row],[Valor do contrato sem o equipamento]]/30.4375*3</f>
        <v>0</v>
      </c>
      <c r="U60" s="134">
        <f>Tabela4[[#This Row],[Valor contrato]]*(30.4375-Tabela4[[#This Row],[Dias inoperantes]])/30.4375</f>
        <v>0</v>
      </c>
      <c r="V60" s="134"/>
      <c r="W60" s="135"/>
      <c r="X60" s="140"/>
      <c r="Y60" s="135">
        <f>Tabela4[[#This Row],[Diferença]]*Tabela4[[#This Row],[Quantidade]]</f>
        <v>0</v>
      </c>
    </row>
    <row r="61" spans="2:25" ht="15" hidden="1" thickBot="1">
      <c r="B61" s="129" t="s">
        <v>21</v>
      </c>
      <c r="C61" s="129" t="s">
        <v>30</v>
      </c>
      <c r="D61" s="129" t="s">
        <v>40</v>
      </c>
      <c r="E61" s="130">
        <v>45809</v>
      </c>
      <c r="F61" s="129" t="s">
        <v>339</v>
      </c>
      <c r="G61" s="129" t="s">
        <v>333</v>
      </c>
      <c r="H61" s="137">
        <v>0.91666666666666663</v>
      </c>
      <c r="I61" s="137" t="s">
        <v>334</v>
      </c>
      <c r="J61" s="132"/>
      <c r="K61" s="133">
        <v>22.85</v>
      </c>
      <c r="L61" s="133">
        <f t="shared" si="0"/>
        <v>0</v>
      </c>
      <c r="M61" s="132">
        <f>6+11</f>
        <v>17</v>
      </c>
      <c r="N61" s="133">
        <v>165.18</v>
      </c>
      <c r="O61" s="133">
        <f t="shared" si="1"/>
        <v>2808.06</v>
      </c>
      <c r="P61" s="132"/>
      <c r="Q61" s="132"/>
      <c r="R61" s="132"/>
      <c r="S61" s="134"/>
      <c r="T61" s="134">
        <f>Tabela4[[#This Row],[Valor do contrato sem o equipamento]]/30.4375*3</f>
        <v>0</v>
      </c>
      <c r="U61" s="134">
        <f>Tabela4[[#This Row],[Valor contrato]]*(30.4375-Tabela4[[#This Row],[Dias inoperantes]])/30.4375</f>
        <v>0</v>
      </c>
      <c r="V61" s="134"/>
      <c r="W61" s="135"/>
      <c r="X61" s="140"/>
      <c r="Y61" s="135">
        <f>Tabela4[[#This Row],[Diferença]]*Tabela4[[#This Row],[Quantidade]]</f>
        <v>0</v>
      </c>
    </row>
    <row r="62" spans="2:25" ht="15" hidden="1" thickBot="1">
      <c r="B62" s="129" t="s">
        <v>21</v>
      </c>
      <c r="C62" s="129" t="s">
        <v>30</v>
      </c>
      <c r="D62" s="129" t="s">
        <v>40</v>
      </c>
      <c r="E62" s="130">
        <v>45839</v>
      </c>
      <c r="F62" s="131" t="s">
        <v>345</v>
      </c>
      <c r="G62" s="137" t="s">
        <v>333</v>
      </c>
      <c r="H62" s="137" t="s">
        <v>342</v>
      </c>
      <c r="I62" s="137" t="s">
        <v>334</v>
      </c>
      <c r="J62" s="132">
        <v>0</v>
      </c>
      <c r="K62" s="133">
        <v>27.93</v>
      </c>
      <c r="L62" s="133">
        <f t="shared" si="0"/>
        <v>0</v>
      </c>
      <c r="M62" s="132">
        <v>1</v>
      </c>
      <c r="N62" s="133">
        <v>201.87</v>
      </c>
      <c r="O62" s="133">
        <f t="shared" si="1"/>
        <v>201.87</v>
      </c>
      <c r="P62" s="132"/>
      <c r="Q62" s="132"/>
      <c r="R62" s="132"/>
      <c r="S62" s="134"/>
      <c r="T62" s="134">
        <f>Tabela4[[#This Row],[Valor do contrato sem o equipamento]]/30.4375*3</f>
        <v>0</v>
      </c>
      <c r="U62" s="134">
        <f>Tabela4[[#This Row],[Valor contrato]]*(30.4375-Tabela4[[#This Row],[Dias inoperantes]])/30.4375</f>
        <v>0</v>
      </c>
      <c r="V62" s="134"/>
      <c r="W62" s="135"/>
      <c r="X62" s="140"/>
      <c r="Y62" s="135">
        <f>Tabela4[[#This Row],[Diferença]]*Tabela4[[#This Row],[Quantidade]]</f>
        <v>0</v>
      </c>
    </row>
    <row r="63" spans="2:25" ht="15" hidden="1" thickBot="1">
      <c r="B63" s="129" t="s">
        <v>21</v>
      </c>
      <c r="C63" s="129" t="s">
        <v>30</v>
      </c>
      <c r="D63" s="129" t="s">
        <v>40</v>
      </c>
      <c r="E63" s="130">
        <v>45839</v>
      </c>
      <c r="F63" s="131" t="s">
        <v>332</v>
      </c>
      <c r="G63" s="137" t="s">
        <v>333</v>
      </c>
      <c r="H63" s="137" t="s">
        <v>342</v>
      </c>
      <c r="I63" s="137" t="s">
        <v>334</v>
      </c>
      <c r="J63" s="132">
        <v>0</v>
      </c>
      <c r="K63" s="133">
        <v>27.96</v>
      </c>
      <c r="L63" s="133">
        <f t="shared" si="0"/>
        <v>0</v>
      </c>
      <c r="M63" s="132">
        <v>15</v>
      </c>
      <c r="N63" s="133">
        <v>202.06</v>
      </c>
      <c r="O63" s="133">
        <f t="shared" si="1"/>
        <v>3030.9</v>
      </c>
      <c r="P63" s="132"/>
      <c r="Q63" s="132"/>
      <c r="R63" s="132"/>
      <c r="S63" s="134"/>
      <c r="T63" s="134">
        <f>Tabela4[[#This Row],[Valor do contrato sem o equipamento]]/30.4375*3</f>
        <v>0</v>
      </c>
      <c r="U63" s="134">
        <f>Tabela4[[#This Row],[Valor contrato]]*(30.4375-Tabela4[[#This Row],[Dias inoperantes]])/30.4375</f>
        <v>0</v>
      </c>
      <c r="V63" s="134"/>
      <c r="W63" s="135"/>
      <c r="X63" s="140"/>
      <c r="Y63" s="135">
        <f>Tabela4[[#This Row],[Diferença]]*Tabela4[[#This Row],[Quantidade]]</f>
        <v>0</v>
      </c>
    </row>
    <row r="64" spans="2:25" ht="15" hidden="1" thickBot="1">
      <c r="B64" s="129" t="s">
        <v>21</v>
      </c>
      <c r="C64" s="129" t="s">
        <v>30</v>
      </c>
      <c r="D64" s="129" t="s">
        <v>40</v>
      </c>
      <c r="E64" s="130">
        <v>45839</v>
      </c>
      <c r="F64" s="131" t="s">
        <v>337</v>
      </c>
      <c r="G64" s="137" t="s">
        <v>333</v>
      </c>
      <c r="H64" s="137">
        <v>0.41666666666666669</v>
      </c>
      <c r="I64" s="137" t="s">
        <v>342</v>
      </c>
      <c r="J64" s="132">
        <v>0</v>
      </c>
      <c r="K64" s="133">
        <v>23.98</v>
      </c>
      <c r="L64" s="133">
        <f t="shared" si="0"/>
        <v>0</v>
      </c>
      <c r="M64" s="132">
        <v>1</v>
      </c>
      <c r="N64" s="133">
        <v>173.31</v>
      </c>
      <c r="O64" s="133">
        <f t="shared" si="1"/>
        <v>173.31</v>
      </c>
      <c r="P64" s="132"/>
      <c r="Q64" s="132"/>
      <c r="R64" s="132"/>
      <c r="S64" s="134"/>
      <c r="T64" s="134">
        <f>Tabela4[[#This Row],[Valor do contrato sem o equipamento]]/30.4375*3</f>
        <v>0</v>
      </c>
      <c r="U64" s="134">
        <f>Tabela4[[#This Row],[Valor contrato]]*(30.4375-Tabela4[[#This Row],[Dias inoperantes]])/30.4375</f>
        <v>0</v>
      </c>
      <c r="V64" s="134"/>
      <c r="W64" s="135"/>
      <c r="X64" s="140"/>
      <c r="Y64" s="135">
        <f>Tabela4[[#This Row],[Diferença]]*Tabela4[[#This Row],[Quantidade]]</f>
        <v>0</v>
      </c>
    </row>
    <row r="65" spans="2:25" ht="15" hidden="1" thickBot="1">
      <c r="B65" s="129" t="s">
        <v>21</v>
      </c>
      <c r="C65" s="129" t="s">
        <v>30</v>
      </c>
      <c r="D65" s="129" t="s">
        <v>40</v>
      </c>
      <c r="E65" s="130">
        <v>45839</v>
      </c>
      <c r="F65" s="131" t="s">
        <v>351</v>
      </c>
      <c r="G65" s="137" t="s">
        <v>333</v>
      </c>
      <c r="H65" s="137">
        <v>0.29166666666666669</v>
      </c>
      <c r="I65" s="137" t="s">
        <v>348</v>
      </c>
      <c r="J65" s="132">
        <v>0</v>
      </c>
      <c r="K65" s="133">
        <v>21.1</v>
      </c>
      <c r="L65" s="133">
        <f t="shared" si="0"/>
        <v>0</v>
      </c>
      <c r="M65" s="132">
        <v>19</v>
      </c>
      <c r="N65" s="133">
        <v>152.5</v>
      </c>
      <c r="O65" s="133">
        <f t="shared" si="1"/>
        <v>2897.5</v>
      </c>
      <c r="P65" s="132"/>
      <c r="Q65" s="132"/>
      <c r="R65" s="132"/>
      <c r="S65" s="134"/>
      <c r="T65" s="134">
        <f>Tabela4[[#This Row],[Valor do contrato sem o equipamento]]/30.4375*3</f>
        <v>0</v>
      </c>
      <c r="U65" s="134">
        <f>Tabela4[[#This Row],[Valor contrato]]*(30.4375-Tabela4[[#This Row],[Dias inoperantes]])/30.4375</f>
        <v>0</v>
      </c>
      <c r="V65" s="134"/>
      <c r="W65" s="135"/>
      <c r="X65" s="140"/>
      <c r="Y65" s="135">
        <f>Tabela4[[#This Row],[Diferença]]*Tabela4[[#This Row],[Quantidade]]</f>
        <v>0</v>
      </c>
    </row>
    <row r="66" spans="2:25" ht="15" hidden="1" thickBot="1">
      <c r="B66" s="129" t="s">
        <v>21</v>
      </c>
      <c r="C66" s="129" t="s">
        <v>30</v>
      </c>
      <c r="D66" s="129" t="s">
        <v>40</v>
      </c>
      <c r="E66" s="130">
        <v>45839</v>
      </c>
      <c r="F66" s="131" t="s">
        <v>351</v>
      </c>
      <c r="G66" s="137" t="s">
        <v>333</v>
      </c>
      <c r="H66" s="137">
        <v>0.41666666666666669</v>
      </c>
      <c r="I66" s="137" t="s">
        <v>342</v>
      </c>
      <c r="J66" s="132">
        <v>0</v>
      </c>
      <c r="K66" s="133">
        <v>21.1</v>
      </c>
      <c r="L66" s="133">
        <f t="shared" ref="L66:L139" si="2">J66*K66</f>
        <v>0</v>
      </c>
      <c r="M66" s="132">
        <v>18</v>
      </c>
      <c r="N66" s="133">
        <v>152.5</v>
      </c>
      <c r="O66" s="133">
        <f t="shared" ref="O66:O139" si="3">M66*N66</f>
        <v>2745</v>
      </c>
      <c r="P66" s="132"/>
      <c r="Q66" s="132"/>
      <c r="R66" s="132"/>
      <c r="S66" s="134"/>
      <c r="T66" s="134">
        <f>Tabela4[[#This Row],[Valor do contrato sem o equipamento]]/30.4375*3</f>
        <v>0</v>
      </c>
      <c r="U66" s="134">
        <f>Tabela4[[#This Row],[Valor contrato]]*(30.4375-Tabela4[[#This Row],[Dias inoperantes]])/30.4375</f>
        <v>0</v>
      </c>
      <c r="V66" s="134"/>
      <c r="W66" s="135"/>
      <c r="X66" s="140"/>
      <c r="Y66" s="135">
        <f>Tabela4[[#This Row],[Diferença]]*Tabela4[[#This Row],[Quantidade]]</f>
        <v>0</v>
      </c>
    </row>
    <row r="67" spans="2:25" ht="15" hidden="1" thickBot="1">
      <c r="B67" s="129" t="s">
        <v>21</v>
      </c>
      <c r="C67" s="129" t="s">
        <v>30</v>
      </c>
      <c r="D67" s="129" t="s">
        <v>40</v>
      </c>
      <c r="E67" s="130">
        <v>45839</v>
      </c>
      <c r="F67" s="131" t="s">
        <v>352</v>
      </c>
      <c r="G67" s="137" t="s">
        <v>333</v>
      </c>
      <c r="H67" s="137">
        <v>0.41666666666666669</v>
      </c>
      <c r="I67" s="137" t="s">
        <v>342</v>
      </c>
      <c r="J67" s="132">
        <v>0</v>
      </c>
      <c r="K67" s="133">
        <v>23.98</v>
      </c>
      <c r="L67" s="133">
        <f t="shared" si="2"/>
        <v>0</v>
      </c>
      <c r="M67" s="132">
        <v>16</v>
      </c>
      <c r="N67" s="133">
        <v>173.31</v>
      </c>
      <c r="O67" s="133">
        <f t="shared" si="3"/>
        <v>2772.96</v>
      </c>
      <c r="P67" s="132"/>
      <c r="Q67" s="132"/>
      <c r="R67" s="132"/>
      <c r="S67" s="134"/>
      <c r="T67" s="134">
        <f>Tabela4[[#This Row],[Valor do contrato sem o equipamento]]/30.4375*3</f>
        <v>0</v>
      </c>
      <c r="U67" s="134">
        <f>Tabela4[[#This Row],[Valor contrato]]*(30.4375-Tabela4[[#This Row],[Dias inoperantes]])/30.4375</f>
        <v>0</v>
      </c>
      <c r="V67" s="134"/>
      <c r="W67" s="135"/>
      <c r="X67" s="140"/>
      <c r="Y67" s="135">
        <f>Tabela4[[#This Row],[Diferença]]*Tabela4[[#This Row],[Quantidade]]</f>
        <v>0</v>
      </c>
    </row>
    <row r="68" spans="2:25" ht="15" hidden="1" thickBot="1">
      <c r="B68" s="129" t="s">
        <v>21</v>
      </c>
      <c r="C68" s="129" t="s">
        <v>30</v>
      </c>
      <c r="D68" s="129" t="s">
        <v>40</v>
      </c>
      <c r="E68" s="130">
        <v>45839</v>
      </c>
      <c r="F68" s="131" t="s">
        <v>339</v>
      </c>
      <c r="G68" s="137" t="s">
        <v>333</v>
      </c>
      <c r="H68" s="137">
        <v>0.91666666666666663</v>
      </c>
      <c r="I68" s="137" t="s">
        <v>334</v>
      </c>
      <c r="J68" s="132">
        <v>0</v>
      </c>
      <c r="K68" s="133">
        <v>22.85</v>
      </c>
      <c r="L68" s="133">
        <f t="shared" si="2"/>
        <v>0</v>
      </c>
      <c r="M68" s="132">
        <v>15</v>
      </c>
      <c r="N68" s="133">
        <v>165.18</v>
      </c>
      <c r="O68" s="133">
        <f t="shared" si="3"/>
        <v>2477.7000000000003</v>
      </c>
      <c r="P68" s="132"/>
      <c r="Q68" s="132"/>
      <c r="R68" s="132"/>
      <c r="S68" s="134"/>
      <c r="T68" s="134">
        <f>Tabela4[[#This Row],[Valor do contrato sem o equipamento]]/30.4375*3</f>
        <v>0</v>
      </c>
      <c r="U68" s="134">
        <f>Tabela4[[#This Row],[Valor contrato]]*(30.4375-Tabela4[[#This Row],[Dias inoperantes]])/30.4375</f>
        <v>0</v>
      </c>
      <c r="V68" s="134"/>
      <c r="W68" s="135"/>
      <c r="X68" s="140"/>
      <c r="Y68" s="135">
        <f>Tabela4[[#This Row],[Diferença]]*Tabela4[[#This Row],[Quantidade]]</f>
        <v>0</v>
      </c>
    </row>
    <row r="69" spans="2:25" ht="15" hidden="1" thickBot="1">
      <c r="B69" s="129" t="s">
        <v>20</v>
      </c>
      <c r="C69" s="129" t="s">
        <v>25</v>
      </c>
      <c r="D69" s="129" t="s">
        <v>40</v>
      </c>
      <c r="E69" s="130">
        <v>45809</v>
      </c>
      <c r="F69" s="129" t="s">
        <v>354</v>
      </c>
      <c r="G69" s="129" t="s">
        <v>355</v>
      </c>
      <c r="H69" s="137">
        <v>0.29166666666666702</v>
      </c>
      <c r="I69" s="137">
        <v>0.7</v>
      </c>
      <c r="J69" s="132">
        <f>19/60</f>
        <v>0.31666666666666665</v>
      </c>
      <c r="K69" s="133">
        <v>29.96</v>
      </c>
      <c r="L69" s="133">
        <f t="shared" si="2"/>
        <v>9.4873333333333338</v>
      </c>
      <c r="M69" s="132"/>
      <c r="N69" s="133"/>
      <c r="O69" s="133">
        <f t="shared" si="3"/>
        <v>0</v>
      </c>
      <c r="P69" s="132"/>
      <c r="Q69" s="132"/>
      <c r="R69" s="132"/>
      <c r="S69" s="134"/>
      <c r="T69" s="134">
        <f>Tabela4[[#This Row],[Valor do contrato sem o equipamento]]/30.4375*3</f>
        <v>0</v>
      </c>
      <c r="U69" s="134">
        <f>Tabela4[[#This Row],[Valor contrato]]*(30.4375-Tabela4[[#This Row],[Dias inoperantes]])/30.4375</f>
        <v>0</v>
      </c>
      <c r="V69" s="134"/>
      <c r="W69" s="135"/>
      <c r="X69" s="140"/>
      <c r="Y69" s="135">
        <f>Tabela4[[#This Row],[Diferença]]*Tabela4[[#This Row],[Quantidade]]</f>
        <v>0</v>
      </c>
    </row>
    <row r="70" spans="2:25" ht="15" hidden="1" thickBot="1">
      <c r="B70" s="129" t="s">
        <v>20</v>
      </c>
      <c r="C70" s="129" t="s">
        <v>25</v>
      </c>
      <c r="D70" s="129" t="s">
        <v>40</v>
      </c>
      <c r="E70" s="130">
        <v>45809</v>
      </c>
      <c r="F70" s="129" t="s">
        <v>356</v>
      </c>
      <c r="G70" s="129" t="s">
        <v>355</v>
      </c>
      <c r="H70" s="137">
        <v>0.89583333333333337</v>
      </c>
      <c r="I70" s="137">
        <v>0.26250000000000001</v>
      </c>
      <c r="J70" s="132">
        <f>59/60</f>
        <v>0.98333333333333328</v>
      </c>
      <c r="K70" s="133">
        <v>39.229999999999997</v>
      </c>
      <c r="L70" s="133">
        <f t="shared" si="2"/>
        <v>38.576166666666659</v>
      </c>
      <c r="M70" s="132"/>
      <c r="N70" s="133"/>
      <c r="O70" s="133">
        <f t="shared" si="3"/>
        <v>0</v>
      </c>
      <c r="P70" s="132"/>
      <c r="Q70" s="132"/>
      <c r="R70" s="132"/>
      <c r="S70" s="134"/>
      <c r="T70" s="134">
        <f>Tabela4[[#This Row],[Valor do contrato sem o equipamento]]/30.4375*3</f>
        <v>0</v>
      </c>
      <c r="U70" s="134">
        <f>Tabela4[[#This Row],[Valor contrato]]*(30.4375-Tabela4[[#This Row],[Dias inoperantes]])/30.4375</f>
        <v>0</v>
      </c>
      <c r="V70" s="134"/>
      <c r="W70" s="135"/>
      <c r="X70" s="140"/>
      <c r="Y70" s="135">
        <f>Tabela4[[#This Row],[Diferença]]*Tabela4[[#This Row],[Quantidade]]</f>
        <v>0</v>
      </c>
    </row>
    <row r="71" spans="2:25" ht="15" hidden="1" thickBot="1">
      <c r="B71" s="129" t="s">
        <v>20</v>
      </c>
      <c r="C71" s="129" t="s">
        <v>25</v>
      </c>
      <c r="D71" s="129" t="s">
        <v>40</v>
      </c>
      <c r="E71" s="130">
        <v>45809</v>
      </c>
      <c r="F71" s="129" t="s">
        <v>356</v>
      </c>
      <c r="G71" s="129" t="s">
        <v>355</v>
      </c>
      <c r="H71" s="137">
        <v>0.89583333333333337</v>
      </c>
      <c r="I71" s="137">
        <v>0.26250000000000001</v>
      </c>
      <c r="J71" s="132">
        <f>3+7/60</f>
        <v>3.1166666666666667</v>
      </c>
      <c r="K71" s="133">
        <v>42.49</v>
      </c>
      <c r="L71" s="133">
        <f t="shared" si="2"/>
        <v>132.42716666666666</v>
      </c>
      <c r="M71" s="132"/>
      <c r="N71" s="133"/>
      <c r="O71" s="133">
        <f t="shared" si="3"/>
        <v>0</v>
      </c>
      <c r="P71" s="132"/>
      <c r="Q71" s="132"/>
      <c r="R71" s="132"/>
      <c r="S71" s="134"/>
      <c r="T71" s="134">
        <f>Tabela4[[#This Row],[Valor do contrato sem o equipamento]]/30.4375*3</f>
        <v>0</v>
      </c>
      <c r="U71" s="134">
        <f>Tabela4[[#This Row],[Valor contrato]]*(30.4375-Tabela4[[#This Row],[Dias inoperantes]])/30.4375</f>
        <v>0</v>
      </c>
      <c r="V71" s="134"/>
      <c r="W71" s="135"/>
      <c r="X71" s="140"/>
      <c r="Y71" s="135">
        <f>Tabela4[[#This Row],[Diferença]]*Tabela4[[#This Row],[Quantidade]]</f>
        <v>0</v>
      </c>
    </row>
    <row r="72" spans="2:25" ht="15" hidden="1" thickBot="1">
      <c r="B72" s="129" t="s">
        <v>20</v>
      </c>
      <c r="C72" s="129" t="s">
        <v>25</v>
      </c>
      <c r="D72" s="129" t="s">
        <v>40</v>
      </c>
      <c r="E72" s="130">
        <v>45809</v>
      </c>
      <c r="F72" s="129" t="s">
        <v>357</v>
      </c>
      <c r="G72" s="129" t="s">
        <v>355</v>
      </c>
      <c r="H72" s="137">
        <v>0.29166666666666669</v>
      </c>
      <c r="I72" s="137">
        <v>0.7</v>
      </c>
      <c r="J72" s="132">
        <f>1+18/60</f>
        <v>1.3</v>
      </c>
      <c r="K72" s="133">
        <v>31.63</v>
      </c>
      <c r="L72" s="133">
        <f t="shared" si="2"/>
        <v>41.119</v>
      </c>
      <c r="M72" s="132"/>
      <c r="N72" s="133"/>
      <c r="O72" s="133">
        <f t="shared" si="3"/>
        <v>0</v>
      </c>
      <c r="P72" s="132"/>
      <c r="Q72" s="132"/>
      <c r="R72" s="132"/>
      <c r="S72" s="134"/>
      <c r="T72" s="134">
        <f>Tabela4[[#This Row],[Valor do contrato sem o equipamento]]/30.4375*3</f>
        <v>0</v>
      </c>
      <c r="U72" s="134">
        <f>Tabela4[[#This Row],[Valor contrato]]*(30.4375-Tabela4[[#This Row],[Dias inoperantes]])/30.4375</f>
        <v>0</v>
      </c>
      <c r="V72" s="134"/>
      <c r="W72" s="135"/>
      <c r="X72" s="140"/>
      <c r="Y72" s="135">
        <f>Tabela4[[#This Row],[Diferença]]*Tabela4[[#This Row],[Quantidade]]</f>
        <v>0</v>
      </c>
    </row>
    <row r="73" spans="2:25" ht="14.9" hidden="1" customHeight="1" thickBot="1">
      <c r="B73" s="113" t="s">
        <v>20</v>
      </c>
      <c r="C73" s="113" t="s">
        <v>25</v>
      </c>
      <c r="D73" s="113" t="s">
        <v>40</v>
      </c>
      <c r="E73" s="114">
        <v>45870</v>
      </c>
      <c r="F73" s="177" t="s">
        <v>354</v>
      </c>
      <c r="G73" s="137" t="s">
        <v>355</v>
      </c>
      <c r="H73" s="137">
        <v>0.29166666666666669</v>
      </c>
      <c r="I73" s="137">
        <v>0.7</v>
      </c>
      <c r="J73" s="132">
        <v>7.32</v>
      </c>
      <c r="K73" s="133">
        <v>29.96</v>
      </c>
      <c r="L73" s="169">
        <f t="shared" ref="L73:L78" si="4">J73*K73</f>
        <v>219.30720000000002</v>
      </c>
      <c r="M73" s="132">
        <v>4</v>
      </c>
      <c r="N73" s="133">
        <v>216.58</v>
      </c>
      <c r="O73" s="169">
        <f t="shared" ref="O73:O78" si="5">M73*N73</f>
        <v>866.32</v>
      </c>
      <c r="P73" s="115"/>
      <c r="Q73" s="132"/>
      <c r="R73" s="132"/>
      <c r="S73" s="134"/>
      <c r="T73" s="134">
        <f>Tabela4[[#This Row],[Valor do contrato sem o equipamento]]/30.4375*3</f>
        <v>0</v>
      </c>
      <c r="U73" s="134">
        <f>Tabela4[[#This Row],[Valor contrato]]*(30.4375-Tabela4[[#This Row],[Dias inoperantes]])/30.4375</f>
        <v>0</v>
      </c>
      <c r="V73" s="116"/>
      <c r="W73" s="150"/>
      <c r="X73" s="140"/>
      <c r="Y73" s="123">
        <f>Tabela4[[#This Row],[Diferença]]*Tabela4[[#This Row],[Quantidade]]</f>
        <v>0</v>
      </c>
    </row>
    <row r="74" spans="2:25" ht="14.9" hidden="1" customHeight="1" thickBot="1">
      <c r="B74" s="113" t="s">
        <v>20</v>
      </c>
      <c r="C74" s="113" t="s">
        <v>25</v>
      </c>
      <c r="D74" s="113" t="s">
        <v>40</v>
      </c>
      <c r="E74" s="114">
        <v>45870</v>
      </c>
      <c r="F74" s="177" t="s">
        <v>357</v>
      </c>
      <c r="G74" s="137" t="s">
        <v>355</v>
      </c>
      <c r="H74" s="137">
        <v>0.29166666666666669</v>
      </c>
      <c r="I74" s="137">
        <v>0.7</v>
      </c>
      <c r="J74" s="132">
        <v>1.1166666666666667</v>
      </c>
      <c r="K74" s="133">
        <v>29.28</v>
      </c>
      <c r="L74" s="169">
        <f t="shared" si="4"/>
        <v>32.696000000000005</v>
      </c>
      <c r="M74" s="132">
        <v>0</v>
      </c>
      <c r="N74" s="133">
        <v>211.63</v>
      </c>
      <c r="O74" s="169">
        <f t="shared" si="5"/>
        <v>0</v>
      </c>
      <c r="P74" s="115"/>
      <c r="Q74" s="132"/>
      <c r="R74" s="132"/>
      <c r="S74" s="134"/>
      <c r="T74" s="134">
        <f>Tabela4[[#This Row],[Valor do contrato sem o equipamento]]/30.4375*3</f>
        <v>0</v>
      </c>
      <c r="U74" s="134">
        <f>Tabela4[[#This Row],[Valor contrato]]*(30.4375-Tabela4[[#This Row],[Dias inoperantes]])/30.4375</f>
        <v>0</v>
      </c>
      <c r="V74" s="116"/>
      <c r="W74" s="150"/>
      <c r="X74" s="140"/>
      <c r="Y74" s="123">
        <f>Tabela4[[#This Row],[Diferença]]*Tabela4[[#This Row],[Quantidade]]</f>
        <v>0</v>
      </c>
    </row>
    <row r="75" spans="2:25" ht="14.9" hidden="1" customHeight="1" thickBot="1">
      <c r="B75" s="113" t="s">
        <v>20</v>
      </c>
      <c r="C75" s="113" t="s">
        <v>25</v>
      </c>
      <c r="D75" s="113" t="s">
        <v>40</v>
      </c>
      <c r="E75" s="114">
        <v>45901</v>
      </c>
      <c r="F75" s="177" t="s">
        <v>358</v>
      </c>
      <c r="G75" s="137" t="s">
        <v>359</v>
      </c>
      <c r="H75" s="137">
        <v>0.29166666666666669</v>
      </c>
      <c r="I75" s="137">
        <v>0.7</v>
      </c>
      <c r="J75" s="132">
        <v>3.05</v>
      </c>
      <c r="K75" s="169">
        <v>39.659999999999997</v>
      </c>
      <c r="L75" s="169">
        <f t="shared" si="4"/>
        <v>120.96299999999998</v>
      </c>
      <c r="M75" s="132">
        <v>4</v>
      </c>
      <c r="N75" s="135">
        <v>286.63</v>
      </c>
      <c r="O75" s="169">
        <f t="shared" si="5"/>
        <v>1146.52</v>
      </c>
      <c r="P75" s="115"/>
      <c r="Q75" s="132"/>
      <c r="R75" s="132"/>
      <c r="S75" s="134"/>
      <c r="T75" s="134">
        <f>Tabela4[[#This Row],[Valor do contrato sem o equipamento]]/30.4375*3</f>
        <v>0</v>
      </c>
      <c r="U75" s="134">
        <f>Tabela4[[#This Row],[Valor contrato]]*(30.4375-Tabela4[[#This Row],[Dias inoperantes]])/30.4375</f>
        <v>0</v>
      </c>
      <c r="V75" s="116"/>
      <c r="W75" s="150"/>
      <c r="X75" s="140"/>
      <c r="Y75" s="123">
        <f>Tabela4[[#This Row],[Diferença]]*Tabela4[[#This Row],[Quantidade]]</f>
        <v>0</v>
      </c>
    </row>
    <row r="76" spans="2:25" ht="14.9" hidden="1" customHeight="1" thickBot="1">
      <c r="B76" s="113" t="s">
        <v>20</v>
      </c>
      <c r="C76" s="113" t="s">
        <v>25</v>
      </c>
      <c r="D76" s="113" t="s">
        <v>40</v>
      </c>
      <c r="E76" s="114">
        <v>45901</v>
      </c>
      <c r="F76" s="177" t="s">
        <v>356</v>
      </c>
      <c r="G76" s="137" t="s">
        <v>355</v>
      </c>
      <c r="H76" s="137">
        <v>0.89583333333333337</v>
      </c>
      <c r="I76" s="137">
        <v>0.26250000000000001</v>
      </c>
      <c r="J76" s="132">
        <v>4.3</v>
      </c>
      <c r="K76" s="169">
        <v>42.49</v>
      </c>
      <c r="L76" s="169">
        <f t="shared" si="4"/>
        <v>182.70699999999999</v>
      </c>
      <c r="M76" s="132">
        <v>0</v>
      </c>
      <c r="N76" s="135">
        <v>307.14</v>
      </c>
      <c r="O76" s="169">
        <f t="shared" si="5"/>
        <v>0</v>
      </c>
      <c r="P76" s="115"/>
      <c r="Q76" s="132"/>
      <c r="R76" s="132"/>
      <c r="S76" s="134"/>
      <c r="T76" s="134">
        <f>Tabela4[[#This Row],[Valor do contrato sem o equipamento]]/30.4375*3</f>
        <v>0</v>
      </c>
      <c r="U76" s="134">
        <f>Tabela4[[#This Row],[Valor contrato]]*(30.4375-Tabela4[[#This Row],[Dias inoperantes]])/30.4375</f>
        <v>0</v>
      </c>
      <c r="V76" s="116"/>
      <c r="W76" s="150"/>
      <c r="X76" s="140"/>
      <c r="Y76" s="123">
        <f>Tabela4[[#This Row],[Diferença]]*Tabela4[[#This Row],[Quantidade]]</f>
        <v>0</v>
      </c>
    </row>
    <row r="77" spans="2:25" ht="14.9" hidden="1" customHeight="1" thickBot="1">
      <c r="B77" s="113" t="s">
        <v>20</v>
      </c>
      <c r="C77" s="113" t="s">
        <v>25</v>
      </c>
      <c r="D77" s="113" t="s">
        <v>40</v>
      </c>
      <c r="E77" s="114">
        <v>45901</v>
      </c>
      <c r="F77" s="177" t="s">
        <v>357</v>
      </c>
      <c r="G77" s="137" t="s">
        <v>355</v>
      </c>
      <c r="H77" s="137">
        <v>0.29166666666666669</v>
      </c>
      <c r="I77" s="137">
        <v>0.7</v>
      </c>
      <c r="J77" s="132">
        <v>4.0999999999999996</v>
      </c>
      <c r="K77" s="169">
        <v>29.28</v>
      </c>
      <c r="L77" s="169">
        <f t="shared" si="4"/>
        <v>120.04799999999999</v>
      </c>
      <c r="M77" s="132">
        <v>0</v>
      </c>
      <c r="N77" s="135">
        <v>211.63</v>
      </c>
      <c r="O77" s="169">
        <f t="shared" si="5"/>
        <v>0</v>
      </c>
      <c r="P77" s="115"/>
      <c r="Q77" s="132"/>
      <c r="R77" s="132"/>
      <c r="S77" s="134"/>
      <c r="T77" s="134">
        <f>Tabela4[[#This Row],[Valor do contrato sem o equipamento]]/30.4375*3</f>
        <v>0</v>
      </c>
      <c r="U77" s="134">
        <f>Tabela4[[#This Row],[Valor contrato]]*(30.4375-Tabela4[[#This Row],[Dias inoperantes]])/30.4375</f>
        <v>0</v>
      </c>
      <c r="V77" s="116"/>
      <c r="W77" s="150"/>
      <c r="X77" s="140"/>
      <c r="Y77" s="123">
        <f>Tabela4[[#This Row],[Diferença]]*Tabela4[[#This Row],[Quantidade]]</f>
        <v>0</v>
      </c>
    </row>
    <row r="78" spans="2:25" ht="15" hidden="1" thickBot="1">
      <c r="B78" s="113" t="s">
        <v>20</v>
      </c>
      <c r="C78" s="113" t="s">
        <v>25</v>
      </c>
      <c r="D78" s="113" t="s">
        <v>40</v>
      </c>
      <c r="E78" s="114">
        <v>45870</v>
      </c>
      <c r="F78" s="177" t="s">
        <v>356</v>
      </c>
      <c r="G78" s="137" t="s">
        <v>355</v>
      </c>
      <c r="H78" s="137">
        <v>0.89583333333333337</v>
      </c>
      <c r="I78" s="137">
        <v>0.26250000000000001</v>
      </c>
      <c r="J78" s="132">
        <v>3.88</v>
      </c>
      <c r="K78" s="133">
        <v>39.229999999999997</v>
      </c>
      <c r="L78" s="169">
        <f t="shared" si="4"/>
        <v>152.21239999999997</v>
      </c>
      <c r="M78" s="132">
        <v>0</v>
      </c>
      <c r="N78" s="133">
        <v>283.54000000000002</v>
      </c>
      <c r="O78" s="169">
        <f t="shared" si="5"/>
        <v>0</v>
      </c>
      <c r="P78" s="115"/>
      <c r="Q78" s="132"/>
      <c r="R78" s="132"/>
      <c r="S78" s="134"/>
      <c r="T78" s="134">
        <f>Tabela4[[#This Row],[Valor do contrato sem o equipamento]]/30.4375*3</f>
        <v>0</v>
      </c>
      <c r="U78" s="134">
        <f>Tabela4[[#This Row],[Valor contrato]]*(30.4375-Tabela4[[#This Row],[Dias inoperantes]])/30.4375</f>
        <v>0</v>
      </c>
      <c r="V78" s="116"/>
      <c r="W78" s="150"/>
      <c r="X78" s="140"/>
      <c r="Y78" s="123">
        <f>Tabela4[[#This Row],[Diferença]]*Tabela4[[#This Row],[Quantidade]]</f>
        <v>0</v>
      </c>
    </row>
    <row r="79" spans="2:25" ht="15" hidden="1" thickBot="1">
      <c r="B79" s="129" t="s">
        <v>20</v>
      </c>
      <c r="C79" s="129" t="s">
        <v>25</v>
      </c>
      <c r="D79" s="129" t="s">
        <v>40</v>
      </c>
      <c r="E79" s="130">
        <v>45809</v>
      </c>
      <c r="F79" s="129" t="s">
        <v>357</v>
      </c>
      <c r="G79" s="129" t="s">
        <v>355</v>
      </c>
      <c r="H79" s="137">
        <v>0.29166666666666669</v>
      </c>
      <c r="I79" s="137">
        <v>0.7</v>
      </c>
      <c r="J79" s="132">
        <f>3+34/60</f>
        <v>3.5666666666666664</v>
      </c>
      <c r="K79" s="133">
        <v>29.28</v>
      </c>
      <c r="L79" s="133">
        <f t="shared" si="2"/>
        <v>104.432</v>
      </c>
      <c r="M79" s="132"/>
      <c r="N79" s="133"/>
      <c r="O79" s="133">
        <f t="shared" si="3"/>
        <v>0</v>
      </c>
      <c r="P79" s="132"/>
      <c r="Q79" s="132"/>
      <c r="R79" s="132"/>
      <c r="S79" s="134"/>
      <c r="T79" s="134">
        <f>Tabela4[[#This Row],[Valor do contrato sem o equipamento]]/30.4375*3</f>
        <v>0</v>
      </c>
      <c r="U79" s="134">
        <f>Tabela4[[#This Row],[Valor contrato]]*(30.4375-Tabela4[[#This Row],[Dias inoperantes]])/30.4375</f>
        <v>0</v>
      </c>
      <c r="V79" s="134"/>
      <c r="W79" s="135"/>
      <c r="X79" s="140"/>
      <c r="Y79" s="135">
        <f>Tabela4[[#This Row],[Diferença]]*Tabela4[[#This Row],[Quantidade]]</f>
        <v>0</v>
      </c>
    </row>
    <row r="80" spans="2:25" ht="15" hidden="1" thickBot="1">
      <c r="B80" s="129" t="s">
        <v>19</v>
      </c>
      <c r="C80" s="129" t="s">
        <v>29</v>
      </c>
      <c r="D80" s="129" t="s">
        <v>40</v>
      </c>
      <c r="E80" s="130">
        <v>45658</v>
      </c>
      <c r="F80" s="131" t="s">
        <v>360</v>
      </c>
      <c r="G80" s="129" t="s">
        <v>335</v>
      </c>
      <c r="H80" s="137">
        <v>0.5</v>
      </c>
      <c r="I80" s="137">
        <v>0.84722222222222221</v>
      </c>
      <c r="J80" s="132">
        <v>1.46</v>
      </c>
      <c r="K80" s="169">
        <v>22.27</v>
      </c>
      <c r="L80" s="133">
        <f t="shared" si="2"/>
        <v>32.514199999999995</v>
      </c>
      <c r="M80" s="132"/>
      <c r="N80" s="169"/>
      <c r="O80" s="133">
        <f t="shared" si="3"/>
        <v>0</v>
      </c>
      <c r="P80" s="132"/>
      <c r="Q80" s="132"/>
      <c r="R80" s="132"/>
      <c r="S80" s="132"/>
      <c r="T80" s="132">
        <f>Tabela4[[#This Row],[Valor do contrato sem o equipamento]]/30.4375*3</f>
        <v>0</v>
      </c>
      <c r="U80" s="132">
        <f>Tabela4[[#This Row],[Valor contrato]]*(30.4375-Tabela4[[#This Row],[Dias inoperantes]])/30.4375</f>
        <v>0</v>
      </c>
      <c r="V80" s="134"/>
      <c r="W80" s="135"/>
      <c r="X80" s="132"/>
      <c r="Y80" s="135">
        <f>Tabela4[[#This Row],[Diferença]]*Tabela4[[#This Row],[Quantidade]]</f>
        <v>0</v>
      </c>
    </row>
    <row r="81" spans="2:25" ht="15" hidden="1" thickBot="1">
      <c r="B81" s="129" t="s">
        <v>19</v>
      </c>
      <c r="C81" s="129" t="s">
        <v>29</v>
      </c>
      <c r="D81" s="129" t="s">
        <v>40</v>
      </c>
      <c r="E81" s="130">
        <v>45658</v>
      </c>
      <c r="F81" s="131" t="s">
        <v>360</v>
      </c>
      <c r="G81" s="129" t="s">
        <v>333</v>
      </c>
      <c r="H81" s="137">
        <v>0.5</v>
      </c>
      <c r="I81" s="137">
        <v>0</v>
      </c>
      <c r="J81" s="132">
        <v>0</v>
      </c>
      <c r="K81" s="169">
        <v>18.29</v>
      </c>
      <c r="L81" s="133">
        <f t="shared" si="2"/>
        <v>0</v>
      </c>
      <c r="M81" s="132"/>
      <c r="N81" s="169"/>
      <c r="O81" s="133">
        <f t="shared" si="3"/>
        <v>0</v>
      </c>
      <c r="P81" s="132"/>
      <c r="Q81" s="132"/>
      <c r="R81" s="132"/>
      <c r="S81" s="132"/>
      <c r="T81" s="132">
        <f>Tabela4[[#This Row],[Valor do contrato sem o equipamento]]/30.4375*3</f>
        <v>0</v>
      </c>
      <c r="U81" s="132">
        <f>Tabela4[[#This Row],[Valor contrato]]*(30.4375-Tabela4[[#This Row],[Dias inoperantes]])/30.4375</f>
        <v>0</v>
      </c>
      <c r="V81" s="134"/>
      <c r="W81" s="135"/>
      <c r="X81" s="132"/>
      <c r="Y81" s="135">
        <f>Tabela4[[#This Row],[Diferença]]*Tabela4[[#This Row],[Quantidade]]</f>
        <v>0</v>
      </c>
    </row>
    <row r="82" spans="2:25" ht="15" hidden="1" thickBot="1">
      <c r="B82" s="129" t="s">
        <v>19</v>
      </c>
      <c r="C82" s="129" t="s">
        <v>29</v>
      </c>
      <c r="D82" s="129" t="s">
        <v>40</v>
      </c>
      <c r="E82" s="130">
        <v>45658</v>
      </c>
      <c r="F82" s="131" t="s">
        <v>360</v>
      </c>
      <c r="G82" s="129" t="s">
        <v>333</v>
      </c>
      <c r="H82" s="137">
        <v>0.41666666666666669</v>
      </c>
      <c r="I82" s="137">
        <v>0.91666666666666663</v>
      </c>
      <c r="J82" s="132">
        <v>76</v>
      </c>
      <c r="K82" s="169">
        <v>17.77</v>
      </c>
      <c r="L82" s="133">
        <f t="shared" si="2"/>
        <v>1350.52</v>
      </c>
      <c r="M82" s="132"/>
      <c r="N82" s="169"/>
      <c r="O82" s="133">
        <f t="shared" si="3"/>
        <v>0</v>
      </c>
      <c r="P82" s="132"/>
      <c r="Q82" s="132"/>
      <c r="R82" s="132"/>
      <c r="S82" s="132"/>
      <c r="T82" s="132">
        <f>Tabela4[[#This Row],[Valor do contrato sem o equipamento]]/30.4375*3</f>
        <v>0</v>
      </c>
      <c r="U82" s="132">
        <f>Tabela4[[#This Row],[Valor contrato]]*(30.4375-Tabela4[[#This Row],[Dias inoperantes]])/30.4375</f>
        <v>0</v>
      </c>
      <c r="V82" s="134"/>
      <c r="W82" s="135"/>
      <c r="X82" s="132"/>
      <c r="Y82" s="135">
        <f>Tabela4[[#This Row],[Diferença]]*Tabela4[[#This Row],[Quantidade]]</f>
        <v>0</v>
      </c>
    </row>
    <row r="83" spans="2:25" ht="15" hidden="1" thickBot="1">
      <c r="B83" s="129" t="s">
        <v>19</v>
      </c>
      <c r="C83" s="129" t="s">
        <v>31</v>
      </c>
      <c r="D83" s="129" t="s">
        <v>40</v>
      </c>
      <c r="E83" s="130">
        <v>45658</v>
      </c>
      <c r="F83" s="131" t="s">
        <v>361</v>
      </c>
      <c r="G83" s="129" t="s">
        <v>333</v>
      </c>
      <c r="H83" s="137">
        <v>0.29166666666666669</v>
      </c>
      <c r="I83" s="137">
        <v>0.79166666666666663</v>
      </c>
      <c r="J83" s="132">
        <v>12</v>
      </c>
      <c r="K83" s="169"/>
      <c r="L83" s="133">
        <f t="shared" si="2"/>
        <v>0</v>
      </c>
      <c r="M83" s="132"/>
      <c r="N83" s="169"/>
      <c r="O83" s="133">
        <f t="shared" si="3"/>
        <v>0</v>
      </c>
      <c r="P83" s="132"/>
      <c r="Q83" s="132"/>
      <c r="R83" s="132"/>
      <c r="S83" s="132"/>
      <c r="T83" s="132">
        <f>Tabela4[[#This Row],[Valor do contrato sem o equipamento]]/30.4375*3</f>
        <v>0</v>
      </c>
      <c r="U83" s="132">
        <f>Tabela4[[#This Row],[Valor contrato]]*(30.4375-Tabela4[[#This Row],[Dias inoperantes]])/30.4375</f>
        <v>0</v>
      </c>
      <c r="V83" s="134"/>
      <c r="W83" s="135"/>
      <c r="X83" s="132"/>
      <c r="Y83" s="135">
        <f>Tabela4[[#This Row],[Diferença]]*Tabela4[[#This Row],[Quantidade]]</f>
        <v>0</v>
      </c>
    </row>
    <row r="84" spans="2:25" ht="15" hidden="1" thickBot="1">
      <c r="B84" s="129" t="s">
        <v>19</v>
      </c>
      <c r="C84" s="129" t="s">
        <v>31</v>
      </c>
      <c r="D84" s="129" t="s">
        <v>40</v>
      </c>
      <c r="E84" s="130">
        <v>45658</v>
      </c>
      <c r="F84" s="131" t="s">
        <v>361</v>
      </c>
      <c r="G84" s="129" t="s">
        <v>333</v>
      </c>
      <c r="H84" s="137">
        <v>0.45833333333333331</v>
      </c>
      <c r="I84" s="137">
        <v>0.95833333333333337</v>
      </c>
      <c r="J84" s="132">
        <v>15</v>
      </c>
      <c r="K84" s="169"/>
      <c r="L84" s="133">
        <f t="shared" si="2"/>
        <v>0</v>
      </c>
      <c r="M84" s="132"/>
      <c r="N84" s="169"/>
      <c r="O84" s="133">
        <f t="shared" si="3"/>
        <v>0</v>
      </c>
      <c r="P84" s="132"/>
      <c r="Q84" s="132"/>
      <c r="R84" s="132"/>
      <c r="S84" s="132"/>
      <c r="T84" s="132">
        <f>Tabela4[[#This Row],[Valor do contrato sem o equipamento]]/30.4375*3</f>
        <v>0</v>
      </c>
      <c r="U84" s="132">
        <f>Tabela4[[#This Row],[Valor contrato]]*(30.4375-Tabela4[[#This Row],[Dias inoperantes]])/30.4375</f>
        <v>0</v>
      </c>
      <c r="V84" s="134"/>
      <c r="W84" s="135"/>
      <c r="X84" s="132"/>
      <c r="Y84" s="135">
        <f>Tabela4[[#This Row],[Diferença]]*Tabela4[[#This Row],[Quantidade]]</f>
        <v>0</v>
      </c>
    </row>
    <row r="85" spans="2:25" ht="15" hidden="1" thickBot="1">
      <c r="B85" s="113" t="s">
        <v>19</v>
      </c>
      <c r="C85" s="113" t="s">
        <v>31</v>
      </c>
      <c r="D85" s="113" t="s">
        <v>40</v>
      </c>
      <c r="E85" s="130">
        <v>45658</v>
      </c>
      <c r="F85" s="131" t="s">
        <v>361</v>
      </c>
      <c r="G85" s="129" t="s">
        <v>333</v>
      </c>
      <c r="H85" s="137">
        <v>0.45833333333333331</v>
      </c>
      <c r="I85" s="137">
        <v>0.95833333333333337</v>
      </c>
      <c r="J85" s="132">
        <v>0</v>
      </c>
      <c r="K85" s="132"/>
      <c r="L85" s="133">
        <f t="shared" si="2"/>
        <v>0</v>
      </c>
      <c r="M85" s="132"/>
      <c r="N85" s="132"/>
      <c r="O85" s="132"/>
      <c r="P85" s="132"/>
      <c r="Q85" s="132"/>
      <c r="R85" s="132">
        <v>0</v>
      </c>
      <c r="S85" s="132">
        <v>0</v>
      </c>
      <c r="T85" s="134"/>
      <c r="U85" s="135"/>
      <c r="V85" s="132"/>
      <c r="W85" s="135">
        <v>0</v>
      </c>
      <c r="X85" s="132"/>
      <c r="Y85" s="123">
        <f>Tabela4[[#This Row],[Diferença]]*Tabela4[[#This Row],[Quantidade]]</f>
        <v>0</v>
      </c>
    </row>
    <row r="86" spans="2:25" ht="15" hidden="1" thickBot="1">
      <c r="B86" s="113" t="s">
        <v>19</v>
      </c>
      <c r="C86" s="113" t="s">
        <v>31</v>
      </c>
      <c r="D86" s="113" t="s">
        <v>40</v>
      </c>
      <c r="E86" s="130">
        <v>45931</v>
      </c>
      <c r="F86" s="119" t="s">
        <v>361</v>
      </c>
      <c r="G86" s="129" t="s">
        <v>359</v>
      </c>
      <c r="H86" s="137">
        <v>0.33333333333333331</v>
      </c>
      <c r="I86" s="137">
        <v>0.70833333333333337</v>
      </c>
      <c r="J86" s="132">
        <v>6</v>
      </c>
      <c r="K86" s="133"/>
      <c r="L86" s="133">
        <f t="shared" si="2"/>
        <v>0</v>
      </c>
      <c r="M86" s="132"/>
      <c r="N86" s="133"/>
      <c r="O86" s="169">
        <f>M86*N86</f>
        <v>0</v>
      </c>
      <c r="P86" s="115"/>
      <c r="Q86" s="132"/>
      <c r="R86" s="132"/>
      <c r="S86" s="134"/>
      <c r="T86" s="134">
        <f>Tabela4[[#This Row],[Valor do contrato sem o equipamento]]/30.4375*3</f>
        <v>0</v>
      </c>
      <c r="U86" s="134">
        <f>Tabela4[[#This Row],[Valor contrato]]*(30.4375-Tabela4[[#This Row],[Dias inoperantes]])/30.4375</f>
        <v>0</v>
      </c>
      <c r="V86" s="116"/>
      <c r="W86" s="150"/>
      <c r="X86" s="132"/>
      <c r="Y86" s="123">
        <f>Tabela4[[#This Row],[Diferença]]*Tabela4[[#This Row],[Quantidade]]</f>
        <v>0</v>
      </c>
    </row>
    <row r="87" spans="2:25" ht="15" hidden="1" thickBot="1">
      <c r="B87" s="129" t="s">
        <v>19</v>
      </c>
      <c r="C87" s="129" t="s">
        <v>31</v>
      </c>
      <c r="D87" s="129" t="s">
        <v>40</v>
      </c>
      <c r="E87" s="130">
        <v>45658</v>
      </c>
      <c r="F87" s="131" t="s">
        <v>361</v>
      </c>
      <c r="G87" s="129" t="s">
        <v>359</v>
      </c>
      <c r="H87" s="137">
        <v>0.33333333333333331</v>
      </c>
      <c r="I87" s="137">
        <v>0.70833333333333337</v>
      </c>
      <c r="J87" s="132">
        <v>8</v>
      </c>
      <c r="K87" s="169"/>
      <c r="L87" s="133">
        <f t="shared" si="2"/>
        <v>0</v>
      </c>
      <c r="M87" s="132"/>
      <c r="N87" s="169"/>
      <c r="O87" s="133">
        <f t="shared" si="3"/>
        <v>0</v>
      </c>
      <c r="P87" s="132"/>
      <c r="Q87" s="132"/>
      <c r="R87" s="132"/>
      <c r="S87" s="132"/>
      <c r="T87" s="132">
        <f>Tabela4[[#This Row],[Valor do contrato sem o equipamento]]/30.4375*3</f>
        <v>0</v>
      </c>
      <c r="U87" s="132">
        <f>Tabela4[[#This Row],[Valor contrato]]*(30.4375-Tabela4[[#This Row],[Dias inoperantes]])/30.4375</f>
        <v>0</v>
      </c>
      <c r="V87" s="134"/>
      <c r="W87" s="135"/>
      <c r="X87" s="132"/>
      <c r="Y87" s="135">
        <f>Tabela4[[#This Row],[Diferença]]*Tabela4[[#This Row],[Quantidade]]</f>
        <v>0</v>
      </c>
    </row>
    <row r="88" spans="2:25" ht="15" hidden="1" thickBot="1">
      <c r="B88" s="129" t="s">
        <v>17</v>
      </c>
      <c r="C88" s="129" t="s">
        <v>30</v>
      </c>
      <c r="D88" s="129" t="s">
        <v>73</v>
      </c>
      <c r="E88" s="130">
        <v>45658</v>
      </c>
      <c r="F88" s="131" t="s">
        <v>362</v>
      </c>
      <c r="G88" s="129" t="s">
        <v>335</v>
      </c>
      <c r="H88" s="137">
        <v>0.25</v>
      </c>
      <c r="I88" s="137">
        <v>0.59722222222222221</v>
      </c>
      <c r="J88" s="132">
        <v>0</v>
      </c>
      <c r="K88" s="169">
        <v>18.41</v>
      </c>
      <c r="L88" s="133">
        <f t="shared" si="2"/>
        <v>0</v>
      </c>
      <c r="M88" s="132">
        <v>1</v>
      </c>
      <c r="N88" s="169">
        <v>133.08000000000001</v>
      </c>
      <c r="O88" s="133">
        <f t="shared" si="3"/>
        <v>133.08000000000001</v>
      </c>
      <c r="P88" s="132" t="s">
        <v>363</v>
      </c>
      <c r="Q88" s="132"/>
      <c r="R88" s="132"/>
      <c r="S88" s="132"/>
      <c r="T88" s="132">
        <f>Tabela4[[#This Row],[Valor do contrato sem o equipamento]]/30.4375*3</f>
        <v>0</v>
      </c>
      <c r="U88" s="132">
        <f>Tabela4[[#This Row],[Valor contrato]]*(30.4375-Tabela4[[#This Row],[Dias inoperantes]])/30.4375</f>
        <v>0</v>
      </c>
      <c r="V88" s="134">
        <v>317.5</v>
      </c>
      <c r="W88" s="135">
        <v>10.583333333333334</v>
      </c>
      <c r="X88" s="132">
        <v>1</v>
      </c>
      <c r="Y88" s="135">
        <f>Tabela4[[#This Row],[Diferença]]*Tabela4[[#This Row],[Quantidade]]</f>
        <v>10.583333333333334</v>
      </c>
    </row>
    <row r="89" spans="2:25" ht="15" hidden="1" thickBot="1">
      <c r="B89" s="129" t="s">
        <v>17</v>
      </c>
      <c r="C89" s="129" t="s">
        <v>30</v>
      </c>
      <c r="D89" s="129" t="s">
        <v>73</v>
      </c>
      <c r="E89" s="130">
        <v>45658</v>
      </c>
      <c r="F89" s="131" t="s">
        <v>362</v>
      </c>
      <c r="G89" s="129" t="s">
        <v>335</v>
      </c>
      <c r="H89" s="137">
        <v>0.25</v>
      </c>
      <c r="I89" s="137">
        <v>0.59722222222222221</v>
      </c>
      <c r="J89" s="132">
        <v>0</v>
      </c>
      <c r="K89" s="169">
        <v>18.41</v>
      </c>
      <c r="L89" s="133">
        <f t="shared" si="2"/>
        <v>0</v>
      </c>
      <c r="M89" s="132">
        <v>1</v>
      </c>
      <c r="N89" s="169">
        <v>133.08000000000001</v>
      </c>
      <c r="O89" s="133">
        <f t="shared" si="3"/>
        <v>133.08000000000001</v>
      </c>
      <c r="P89" s="132" t="s">
        <v>364</v>
      </c>
      <c r="Q89" s="132"/>
      <c r="R89" s="132"/>
      <c r="S89" s="132"/>
      <c r="T89" s="132">
        <f>Tabela4[[#This Row],[Valor do contrato sem o equipamento]]/30.4375*3</f>
        <v>0</v>
      </c>
      <c r="U89" s="132">
        <f>Tabela4[[#This Row],[Valor contrato]]*(30.4375-Tabela4[[#This Row],[Dias inoperantes]])/30.4375</f>
        <v>0</v>
      </c>
      <c r="V89" s="134">
        <v>265.49</v>
      </c>
      <c r="W89" s="135">
        <v>8.8496666666666677</v>
      </c>
      <c r="X89" s="132">
        <v>1</v>
      </c>
      <c r="Y89" s="135">
        <f>Tabela4[[#This Row],[Diferença]]*Tabela4[[#This Row],[Quantidade]]</f>
        <v>8.8496666666666677</v>
      </c>
    </row>
    <row r="90" spans="2:25" ht="15" hidden="1" thickBot="1">
      <c r="B90" s="129" t="s">
        <v>17</v>
      </c>
      <c r="C90" s="129" t="s">
        <v>30</v>
      </c>
      <c r="D90" s="129" t="s">
        <v>73</v>
      </c>
      <c r="E90" s="130">
        <v>45658</v>
      </c>
      <c r="F90" s="131" t="s">
        <v>365</v>
      </c>
      <c r="G90" s="129" t="s">
        <v>335</v>
      </c>
      <c r="H90" s="137">
        <v>0.25</v>
      </c>
      <c r="I90" s="137">
        <v>0.59722222222222221</v>
      </c>
      <c r="J90" s="132">
        <v>0</v>
      </c>
      <c r="K90" s="169">
        <v>21.42</v>
      </c>
      <c r="L90" s="133">
        <f t="shared" si="2"/>
        <v>0</v>
      </c>
      <c r="M90" s="132">
        <v>1</v>
      </c>
      <c r="N90" s="169">
        <v>154.82</v>
      </c>
      <c r="O90" s="133">
        <f t="shared" si="3"/>
        <v>154.82</v>
      </c>
      <c r="P90" s="132"/>
      <c r="Q90" s="132"/>
      <c r="R90" s="132"/>
      <c r="S90" s="132"/>
      <c r="T90" s="132">
        <f>Tabela4[[#This Row],[Valor do contrato sem o equipamento]]/30.4375*3</f>
        <v>0</v>
      </c>
      <c r="U90" s="132">
        <f>Tabela4[[#This Row],[Valor contrato]]*(30.4375-Tabela4[[#This Row],[Dias inoperantes]])/30.4375</f>
        <v>0</v>
      </c>
      <c r="V90" s="134"/>
      <c r="W90" s="135"/>
      <c r="X90" s="132"/>
      <c r="Y90" s="135">
        <f>Tabela4[[#This Row],[Diferença]]*Tabela4[[#This Row],[Quantidade]]</f>
        <v>0</v>
      </c>
    </row>
    <row r="91" spans="2:25" ht="15" hidden="1" thickBot="1">
      <c r="B91" s="129" t="s">
        <v>17</v>
      </c>
      <c r="C91" s="129" t="s">
        <v>30</v>
      </c>
      <c r="D91" s="129" t="s">
        <v>73</v>
      </c>
      <c r="E91" s="130">
        <v>45658</v>
      </c>
      <c r="F91" s="131" t="s">
        <v>362</v>
      </c>
      <c r="G91" s="129" t="s">
        <v>335</v>
      </c>
      <c r="H91" s="137">
        <v>0.5</v>
      </c>
      <c r="I91" s="137">
        <v>0.83333333333333337</v>
      </c>
      <c r="J91" s="132">
        <v>0</v>
      </c>
      <c r="K91" s="169">
        <v>19.03</v>
      </c>
      <c r="L91" s="133">
        <f t="shared" si="2"/>
        <v>0</v>
      </c>
      <c r="M91" s="132">
        <v>1</v>
      </c>
      <c r="N91" s="169">
        <v>137.57</v>
      </c>
      <c r="O91" s="133">
        <f t="shared" si="3"/>
        <v>137.57</v>
      </c>
      <c r="P91" s="132"/>
      <c r="Q91" s="132"/>
      <c r="R91" s="132"/>
      <c r="S91" s="132"/>
      <c r="T91" s="132">
        <f>Tabela4[[#This Row],[Valor do contrato sem o equipamento]]/30.4375*3</f>
        <v>0</v>
      </c>
      <c r="U91" s="132">
        <f>Tabela4[[#This Row],[Valor contrato]]*(30.4375-Tabela4[[#This Row],[Dias inoperantes]])/30.4375</f>
        <v>0</v>
      </c>
      <c r="V91" s="134"/>
      <c r="W91" s="135"/>
      <c r="X91" s="132"/>
      <c r="Y91" s="135">
        <f>Tabela4[[#This Row],[Diferença]]*Tabela4[[#This Row],[Quantidade]]</f>
        <v>0</v>
      </c>
    </row>
    <row r="92" spans="2:25" ht="15" hidden="1" thickBot="1">
      <c r="B92" s="129" t="s">
        <v>17</v>
      </c>
      <c r="C92" s="129" t="s">
        <v>30</v>
      </c>
      <c r="D92" s="129" t="s">
        <v>73</v>
      </c>
      <c r="E92" s="130">
        <v>45658</v>
      </c>
      <c r="F92" s="131" t="s">
        <v>362</v>
      </c>
      <c r="G92" s="129" t="s">
        <v>335</v>
      </c>
      <c r="H92" s="137">
        <v>0.4375</v>
      </c>
      <c r="I92" s="137">
        <v>0.9375</v>
      </c>
      <c r="J92" s="132">
        <v>4.5</v>
      </c>
      <c r="K92" s="169">
        <v>17.14</v>
      </c>
      <c r="L92" s="133">
        <f t="shared" si="2"/>
        <v>77.13</v>
      </c>
      <c r="M92" s="132">
        <v>0</v>
      </c>
      <c r="N92" s="169">
        <v>123.91</v>
      </c>
      <c r="O92" s="133">
        <f t="shared" si="3"/>
        <v>0</v>
      </c>
      <c r="P92" s="132"/>
      <c r="Q92" s="132"/>
      <c r="R92" s="132"/>
      <c r="S92" s="132"/>
      <c r="T92" s="132">
        <f>Tabela4[[#This Row],[Valor do contrato sem o equipamento]]/30.4375*3</f>
        <v>0</v>
      </c>
      <c r="U92" s="132">
        <f>Tabela4[[#This Row],[Valor contrato]]*(30.4375-Tabela4[[#This Row],[Dias inoperantes]])/30.4375</f>
        <v>0</v>
      </c>
      <c r="V92" s="134"/>
      <c r="W92" s="135"/>
      <c r="X92" s="132"/>
      <c r="Y92" s="135">
        <f>Tabela4[[#This Row],[Diferença]]*Tabela4[[#This Row],[Quantidade]]</f>
        <v>0</v>
      </c>
    </row>
    <row r="93" spans="2:25" ht="16.399999999999999" hidden="1" customHeight="1" thickBot="1">
      <c r="B93" s="129" t="s">
        <v>17</v>
      </c>
      <c r="C93" s="129" t="s">
        <v>160</v>
      </c>
      <c r="D93" s="129" t="s">
        <v>73</v>
      </c>
      <c r="E93" s="130">
        <v>45689</v>
      </c>
      <c r="F93" s="131" t="s">
        <v>351</v>
      </c>
      <c r="G93" s="129" t="s">
        <v>333</v>
      </c>
      <c r="H93" s="137">
        <v>0.33333333333333331</v>
      </c>
      <c r="I93" s="137">
        <v>0.83333333333333337</v>
      </c>
      <c r="J93" s="132">
        <f>12+20/60</f>
        <v>12.333333333333334</v>
      </c>
      <c r="K93" s="169">
        <v>17.22</v>
      </c>
      <c r="L93" s="133">
        <f t="shared" si="2"/>
        <v>212.38</v>
      </c>
      <c r="M93" s="132"/>
      <c r="N93" s="169">
        <v>124.46</v>
      </c>
      <c r="O93" s="133">
        <f t="shared" si="3"/>
        <v>0</v>
      </c>
      <c r="P93" s="132"/>
      <c r="Q93" s="132"/>
      <c r="R93" s="132"/>
      <c r="S93" s="132"/>
      <c r="T93" s="132">
        <f>Tabela4[[#This Row],[Valor do contrato sem o equipamento]]/30.4375*3</f>
        <v>0</v>
      </c>
      <c r="U93" s="132">
        <f>Tabela4[[#This Row],[Valor contrato]]*(30.4375-Tabela4[[#This Row],[Dias inoperantes]])/30.4375</f>
        <v>0</v>
      </c>
      <c r="V93" s="134"/>
      <c r="W93" s="135"/>
      <c r="X93" s="132"/>
      <c r="Y93" s="135">
        <f>Tabela4[[#This Row],[Diferença]]*Tabela4[[#This Row],[Quantidade]]</f>
        <v>0</v>
      </c>
    </row>
    <row r="94" spans="2:25" ht="15" hidden="1" thickBot="1">
      <c r="B94" s="129" t="s">
        <v>17</v>
      </c>
      <c r="C94" s="129" t="s">
        <v>30</v>
      </c>
      <c r="D94" s="129" t="s">
        <v>73</v>
      </c>
      <c r="E94" s="130">
        <v>45717</v>
      </c>
      <c r="F94" s="131" t="s">
        <v>366</v>
      </c>
      <c r="G94" s="129" t="s">
        <v>335</v>
      </c>
      <c r="H94" s="137">
        <v>0.41666666666666669</v>
      </c>
      <c r="I94" s="137">
        <v>0.76388888888888884</v>
      </c>
      <c r="J94" s="132">
        <v>0</v>
      </c>
      <c r="K94" s="169">
        <v>21.29</v>
      </c>
      <c r="L94" s="133">
        <f t="shared" si="2"/>
        <v>0</v>
      </c>
      <c r="M94" s="132"/>
      <c r="N94" s="169">
        <v>153.87</v>
      </c>
      <c r="O94" s="133">
        <f t="shared" si="3"/>
        <v>0</v>
      </c>
      <c r="P94" s="132"/>
      <c r="Q94" s="132"/>
      <c r="R94" s="132"/>
      <c r="S94" s="132"/>
      <c r="T94" s="132">
        <f>Tabela4[[#This Row],[Valor do contrato sem o equipamento]]/30.4375*3</f>
        <v>0</v>
      </c>
      <c r="U94" s="132">
        <f>Tabela4[[#This Row],[Valor contrato]]*(30.4375-Tabela4[[#This Row],[Dias inoperantes]])/30.4375</f>
        <v>0</v>
      </c>
      <c r="V94" s="134"/>
      <c r="W94" s="135"/>
      <c r="X94" s="132"/>
      <c r="Y94" s="135">
        <f>Tabela4[[#This Row],[Diferença]]*Tabela4[[#This Row],[Quantidade]]</f>
        <v>0</v>
      </c>
    </row>
    <row r="95" spans="2:25" ht="15" hidden="1" thickBot="1">
      <c r="B95" s="129" t="s">
        <v>17</v>
      </c>
      <c r="C95" s="129" t="s">
        <v>30</v>
      </c>
      <c r="D95" s="129" t="s">
        <v>73</v>
      </c>
      <c r="E95" s="130">
        <v>45717</v>
      </c>
      <c r="F95" s="131" t="s">
        <v>351</v>
      </c>
      <c r="G95" s="129" t="s">
        <v>335</v>
      </c>
      <c r="H95" s="137">
        <v>0.25</v>
      </c>
      <c r="I95" s="137">
        <v>0.59722222222222221</v>
      </c>
      <c r="J95" s="132">
        <v>0</v>
      </c>
      <c r="K95" s="169">
        <v>18.41</v>
      </c>
      <c r="L95" s="133">
        <f t="shared" si="2"/>
        <v>0</v>
      </c>
      <c r="M95" s="132">
        <v>2</v>
      </c>
      <c r="N95" s="169">
        <v>133.08000000000001</v>
      </c>
      <c r="O95" s="133">
        <f t="shared" si="3"/>
        <v>266.16000000000003</v>
      </c>
      <c r="P95" s="132"/>
      <c r="Q95" s="132"/>
      <c r="R95" s="132"/>
      <c r="S95" s="132"/>
      <c r="T95" s="132">
        <f>Tabela4[[#This Row],[Valor do contrato sem o equipamento]]/30.4375*3</f>
        <v>0</v>
      </c>
      <c r="U95" s="132">
        <f>Tabela4[[#This Row],[Valor contrato]]*(30.4375-Tabela4[[#This Row],[Dias inoperantes]])/30.4375</f>
        <v>0</v>
      </c>
      <c r="V95" s="134"/>
      <c r="W95" s="135"/>
      <c r="X95" s="132"/>
      <c r="Y95" s="135">
        <f>Tabela4[[#This Row],[Diferença]]*Tabela4[[#This Row],[Quantidade]]</f>
        <v>0</v>
      </c>
    </row>
    <row r="96" spans="2:25" ht="15" hidden="1" thickBot="1">
      <c r="B96" s="129" t="s">
        <v>17</v>
      </c>
      <c r="C96" s="129" t="s">
        <v>30</v>
      </c>
      <c r="D96" s="129" t="s">
        <v>73</v>
      </c>
      <c r="E96" s="130">
        <v>45717</v>
      </c>
      <c r="F96" s="131" t="s">
        <v>351</v>
      </c>
      <c r="G96" s="129" t="s">
        <v>335</v>
      </c>
      <c r="H96" s="137">
        <v>0.5</v>
      </c>
      <c r="I96" s="137">
        <v>0.84722222222222221</v>
      </c>
      <c r="J96" s="132">
        <v>0</v>
      </c>
      <c r="K96" s="169">
        <v>19.03</v>
      </c>
      <c r="L96" s="133">
        <f t="shared" si="2"/>
        <v>0</v>
      </c>
      <c r="M96" s="132"/>
      <c r="N96" s="169">
        <v>137.57</v>
      </c>
      <c r="O96" s="133">
        <f t="shared" si="3"/>
        <v>0</v>
      </c>
      <c r="P96" s="132"/>
      <c r="Q96" s="132"/>
      <c r="R96" s="132"/>
      <c r="S96" s="132"/>
      <c r="T96" s="132">
        <f>Tabela4[[#This Row],[Valor do contrato sem o equipamento]]/30.4375*3</f>
        <v>0</v>
      </c>
      <c r="U96" s="132">
        <f>Tabela4[[#This Row],[Valor contrato]]*(30.4375-Tabela4[[#This Row],[Dias inoperantes]])/30.4375</f>
        <v>0</v>
      </c>
      <c r="V96" s="134"/>
      <c r="W96" s="135"/>
      <c r="X96" s="132"/>
      <c r="Y96" s="135">
        <f>Tabela4[[#This Row],[Diferença]]*Tabela4[[#This Row],[Quantidade]]</f>
        <v>0</v>
      </c>
    </row>
    <row r="97" spans="2:25" ht="15" hidden="1" thickBot="1">
      <c r="B97" s="129" t="s">
        <v>17</v>
      </c>
      <c r="C97" s="129" t="s">
        <v>30</v>
      </c>
      <c r="D97" s="129" t="s">
        <v>73</v>
      </c>
      <c r="E97" s="130">
        <v>45717</v>
      </c>
      <c r="F97" s="131" t="s">
        <v>367</v>
      </c>
      <c r="G97" s="129" t="s">
        <v>333</v>
      </c>
      <c r="H97" s="137">
        <v>0.41666666666666669</v>
      </c>
      <c r="I97" s="137">
        <v>0.91666666666666663</v>
      </c>
      <c r="J97" s="132">
        <v>0</v>
      </c>
      <c r="K97" s="169">
        <v>20.010000000000002</v>
      </c>
      <c r="L97" s="133">
        <f t="shared" si="2"/>
        <v>0</v>
      </c>
      <c r="M97" s="132">
        <v>1</v>
      </c>
      <c r="N97" s="169">
        <v>144.62</v>
      </c>
      <c r="O97" s="133">
        <f t="shared" si="3"/>
        <v>144.62</v>
      </c>
      <c r="P97" s="132"/>
      <c r="Q97" s="132"/>
      <c r="R97" s="132"/>
      <c r="S97" s="132"/>
      <c r="T97" s="132">
        <f>Tabela4[[#This Row],[Valor do contrato sem o equipamento]]/30.4375*3</f>
        <v>0</v>
      </c>
      <c r="U97" s="132">
        <f>Tabela4[[#This Row],[Valor contrato]]*(30.4375-Tabela4[[#This Row],[Dias inoperantes]])/30.4375</f>
        <v>0</v>
      </c>
      <c r="V97" s="134"/>
      <c r="W97" s="135"/>
      <c r="X97" s="132"/>
      <c r="Y97" s="135">
        <f>Tabela4[[#This Row],[Diferença]]*Tabela4[[#This Row],[Quantidade]]</f>
        <v>0</v>
      </c>
    </row>
    <row r="98" spans="2:25" ht="15" hidden="1" thickBot="1">
      <c r="B98" s="129" t="s">
        <v>17</v>
      </c>
      <c r="C98" s="129" t="s">
        <v>30</v>
      </c>
      <c r="D98" s="129" t="s">
        <v>73</v>
      </c>
      <c r="E98" s="130">
        <v>45717</v>
      </c>
      <c r="F98" s="131" t="s">
        <v>367</v>
      </c>
      <c r="G98" s="129" t="s">
        <v>335</v>
      </c>
      <c r="H98" s="137">
        <v>0.25</v>
      </c>
      <c r="I98" s="137">
        <v>0.59722222222222221</v>
      </c>
      <c r="J98" s="132">
        <v>0</v>
      </c>
      <c r="K98" s="169">
        <v>21.42</v>
      </c>
      <c r="L98" s="133">
        <f t="shared" si="2"/>
        <v>0</v>
      </c>
      <c r="M98" s="132"/>
      <c r="N98" s="169">
        <v>154.82</v>
      </c>
      <c r="O98" s="133">
        <f t="shared" si="3"/>
        <v>0</v>
      </c>
      <c r="P98" s="132"/>
      <c r="Q98" s="132"/>
      <c r="R98" s="132"/>
      <c r="S98" s="132"/>
      <c r="T98" s="132">
        <f>Tabela4[[#This Row],[Valor do contrato sem o equipamento]]/30.4375*3</f>
        <v>0</v>
      </c>
      <c r="U98" s="132">
        <f>Tabela4[[#This Row],[Valor contrato]]*(30.4375-Tabela4[[#This Row],[Dias inoperantes]])/30.4375</f>
        <v>0</v>
      </c>
      <c r="V98" s="134"/>
      <c r="W98" s="135"/>
      <c r="X98" s="132"/>
      <c r="Y98" s="135">
        <f>Tabela4[[#This Row],[Diferença]]*Tabela4[[#This Row],[Quantidade]]</f>
        <v>0</v>
      </c>
    </row>
    <row r="99" spans="2:25" ht="15" hidden="1" thickBot="1">
      <c r="B99" s="129" t="s">
        <v>17</v>
      </c>
      <c r="C99" s="129" t="s">
        <v>30</v>
      </c>
      <c r="D99" s="129" t="s">
        <v>73</v>
      </c>
      <c r="E99" s="130">
        <v>45717</v>
      </c>
      <c r="F99" s="131" t="s">
        <v>367</v>
      </c>
      <c r="G99" s="129" t="s">
        <v>335</v>
      </c>
      <c r="H99" s="137">
        <v>0.56944444444444442</v>
      </c>
      <c r="I99" s="137">
        <v>0.91666666666666663</v>
      </c>
      <c r="J99" s="132">
        <v>0</v>
      </c>
      <c r="K99" s="169">
        <v>21.42</v>
      </c>
      <c r="L99" s="133">
        <f t="shared" si="2"/>
        <v>0</v>
      </c>
      <c r="M99" s="132">
        <v>2</v>
      </c>
      <c r="N99" s="169">
        <v>154.82</v>
      </c>
      <c r="O99" s="133">
        <f t="shared" si="3"/>
        <v>309.64</v>
      </c>
      <c r="P99" s="132"/>
      <c r="Q99" s="132"/>
      <c r="R99" s="132"/>
      <c r="S99" s="132"/>
      <c r="T99" s="132">
        <f>Tabela4[[#This Row],[Valor do contrato sem o equipamento]]/30.4375*3</f>
        <v>0</v>
      </c>
      <c r="U99" s="132">
        <f>Tabela4[[#This Row],[Valor contrato]]*(30.4375-Tabela4[[#This Row],[Dias inoperantes]])/30.4375</f>
        <v>0</v>
      </c>
      <c r="V99" s="134"/>
      <c r="W99" s="135"/>
      <c r="X99" s="132"/>
      <c r="Y99" s="135">
        <f>Tabela4[[#This Row],[Diferença]]*Tabela4[[#This Row],[Quantidade]]</f>
        <v>0</v>
      </c>
    </row>
    <row r="100" spans="2:25" ht="15" hidden="1" thickBot="1">
      <c r="B100" s="129" t="s">
        <v>17</v>
      </c>
      <c r="C100" s="129" t="s">
        <v>30</v>
      </c>
      <c r="D100" s="129" t="s">
        <v>73</v>
      </c>
      <c r="E100" s="130">
        <v>45717</v>
      </c>
      <c r="F100" s="131" t="s">
        <v>351</v>
      </c>
      <c r="G100" s="129" t="s">
        <v>335</v>
      </c>
      <c r="H100" s="137">
        <v>0.56944444444444442</v>
      </c>
      <c r="I100" s="137">
        <v>0.91666666666666663</v>
      </c>
      <c r="J100" s="132">
        <v>0</v>
      </c>
      <c r="K100" s="169">
        <v>18.41</v>
      </c>
      <c r="L100" s="133">
        <f t="shared" si="2"/>
        <v>0</v>
      </c>
      <c r="M100" s="132">
        <v>5</v>
      </c>
      <c r="N100" s="169">
        <v>133.08000000000001</v>
      </c>
      <c r="O100" s="133">
        <f t="shared" si="3"/>
        <v>665.40000000000009</v>
      </c>
      <c r="P100" s="132"/>
      <c r="Q100" s="132"/>
      <c r="R100" s="132"/>
      <c r="S100" s="132"/>
      <c r="T100" s="132">
        <f>Tabela4[[#This Row],[Valor do contrato sem o equipamento]]/30.4375*3</f>
        <v>0</v>
      </c>
      <c r="U100" s="132">
        <f>Tabela4[[#This Row],[Valor contrato]]*(30.4375-Tabela4[[#This Row],[Dias inoperantes]])/30.4375</f>
        <v>0</v>
      </c>
      <c r="V100" s="134"/>
      <c r="W100" s="135"/>
      <c r="X100" s="132"/>
      <c r="Y100" s="135">
        <f>Tabela4[[#This Row],[Diferença]]*Tabela4[[#This Row],[Quantidade]]</f>
        <v>0</v>
      </c>
    </row>
    <row r="101" spans="2:25" ht="15" hidden="1" thickBot="1">
      <c r="B101" s="129" t="s">
        <v>17</v>
      </c>
      <c r="C101" s="129" t="s">
        <v>30</v>
      </c>
      <c r="D101" s="129" t="s">
        <v>73</v>
      </c>
      <c r="E101" s="130">
        <v>45717</v>
      </c>
      <c r="F101" s="131" t="s">
        <v>368</v>
      </c>
      <c r="G101" s="129" t="s">
        <v>335</v>
      </c>
      <c r="H101" s="137">
        <v>0.33333333333333331</v>
      </c>
      <c r="I101" s="137">
        <v>0.68055555555555547</v>
      </c>
      <c r="J101" s="132">
        <v>0</v>
      </c>
      <c r="K101" s="169">
        <v>18.41</v>
      </c>
      <c r="L101" s="133">
        <f t="shared" si="2"/>
        <v>0</v>
      </c>
      <c r="M101" s="132"/>
      <c r="N101" s="169">
        <v>133.08000000000001</v>
      </c>
      <c r="O101" s="133">
        <f t="shared" si="3"/>
        <v>0</v>
      </c>
      <c r="P101" s="132"/>
      <c r="Q101" s="132"/>
      <c r="R101" s="132"/>
      <c r="S101" s="132"/>
      <c r="T101" s="132">
        <f>Tabela4[[#This Row],[Valor do contrato sem o equipamento]]/30.4375*3</f>
        <v>0</v>
      </c>
      <c r="U101" s="132">
        <f>Tabela4[[#This Row],[Valor contrato]]*(30.4375-Tabela4[[#This Row],[Dias inoperantes]])/30.4375</f>
        <v>0</v>
      </c>
      <c r="V101" s="134"/>
      <c r="W101" s="135"/>
      <c r="X101" s="132"/>
      <c r="Y101" s="135">
        <f>Tabela4[[#This Row],[Diferença]]*Tabela4[[#This Row],[Quantidade]]</f>
        <v>0</v>
      </c>
    </row>
    <row r="102" spans="2:25" ht="15" hidden="1" thickBot="1">
      <c r="B102" s="129" t="s">
        <v>17</v>
      </c>
      <c r="C102" s="129" t="s">
        <v>30</v>
      </c>
      <c r="D102" s="129" t="s">
        <v>73</v>
      </c>
      <c r="E102" s="130">
        <v>45717</v>
      </c>
      <c r="F102" s="131" t="s">
        <v>352</v>
      </c>
      <c r="G102" s="129" t="s">
        <v>333</v>
      </c>
      <c r="H102" s="137">
        <v>0.4375</v>
      </c>
      <c r="I102" s="137">
        <v>0.9375</v>
      </c>
      <c r="J102" s="132">
        <v>0</v>
      </c>
      <c r="K102" s="169">
        <v>17.14</v>
      </c>
      <c r="L102" s="133">
        <f t="shared" si="2"/>
        <v>0</v>
      </c>
      <c r="M102" s="132">
        <v>1</v>
      </c>
      <c r="N102" s="169">
        <v>123.91</v>
      </c>
      <c r="O102" s="133">
        <f t="shared" si="3"/>
        <v>123.91</v>
      </c>
      <c r="P102" s="132"/>
      <c r="Q102" s="132"/>
      <c r="R102" s="132"/>
      <c r="S102" s="132"/>
      <c r="T102" s="132">
        <f>Tabela4[[#This Row],[Valor do contrato sem o equipamento]]/30.4375*3</f>
        <v>0</v>
      </c>
      <c r="U102" s="132">
        <f>Tabela4[[#This Row],[Valor contrato]]*(30.4375-Tabela4[[#This Row],[Dias inoperantes]])/30.4375</f>
        <v>0</v>
      </c>
      <c r="V102" s="134"/>
      <c r="W102" s="135"/>
      <c r="X102" s="132"/>
      <c r="Y102" s="135">
        <f>Tabela4[[#This Row],[Diferença]]*Tabela4[[#This Row],[Quantidade]]</f>
        <v>0</v>
      </c>
    </row>
    <row r="103" spans="2:25" ht="15" hidden="1" thickBot="1">
      <c r="B103" s="129" t="s">
        <v>17</v>
      </c>
      <c r="C103" s="129" t="s">
        <v>30</v>
      </c>
      <c r="D103" s="129" t="s">
        <v>73</v>
      </c>
      <c r="E103" s="130">
        <v>45717</v>
      </c>
      <c r="F103" s="131" t="s">
        <v>369</v>
      </c>
      <c r="G103" s="129" t="s">
        <v>333</v>
      </c>
      <c r="H103" s="137">
        <v>0.41666666666666669</v>
      </c>
      <c r="I103" s="137">
        <v>0.91666666666666663</v>
      </c>
      <c r="J103" s="132">
        <v>0</v>
      </c>
      <c r="K103" s="169">
        <v>17</v>
      </c>
      <c r="L103" s="133">
        <f t="shared" si="2"/>
        <v>0</v>
      </c>
      <c r="M103" s="132">
        <v>2</v>
      </c>
      <c r="N103" s="169">
        <v>122.88</v>
      </c>
      <c r="O103" s="133">
        <f t="shared" si="3"/>
        <v>245.76</v>
      </c>
      <c r="P103" s="132"/>
      <c r="Q103" s="132"/>
      <c r="R103" s="132"/>
      <c r="S103" s="132"/>
      <c r="T103" s="132">
        <f>Tabela4[[#This Row],[Valor do contrato sem o equipamento]]/30.4375*3</f>
        <v>0</v>
      </c>
      <c r="U103" s="132">
        <f>Tabela4[[#This Row],[Valor contrato]]*(30.4375-Tabela4[[#This Row],[Dias inoperantes]])/30.4375</f>
        <v>0</v>
      </c>
      <c r="V103" s="134"/>
      <c r="W103" s="135"/>
      <c r="X103" s="132"/>
      <c r="Y103" s="135">
        <f>Tabela4[[#This Row],[Diferença]]*Tabela4[[#This Row],[Quantidade]]</f>
        <v>0</v>
      </c>
    </row>
    <row r="104" spans="2:25" ht="15" hidden="1" thickBot="1">
      <c r="B104" s="129" t="s">
        <v>17</v>
      </c>
      <c r="C104" s="129" t="s">
        <v>30</v>
      </c>
      <c r="D104" s="129" t="s">
        <v>73</v>
      </c>
      <c r="E104" s="130">
        <v>45717</v>
      </c>
      <c r="F104" s="131" t="s">
        <v>370</v>
      </c>
      <c r="G104" s="129" t="s">
        <v>333</v>
      </c>
      <c r="H104" s="137">
        <v>0.91666666666666663</v>
      </c>
      <c r="I104" s="137">
        <v>0.41666666666666669</v>
      </c>
      <c r="J104" s="132">
        <v>0</v>
      </c>
      <c r="K104" s="169">
        <v>19.7</v>
      </c>
      <c r="L104" s="133">
        <f t="shared" si="2"/>
        <v>0</v>
      </c>
      <c r="M104" s="132"/>
      <c r="N104" s="169">
        <v>142.38</v>
      </c>
      <c r="O104" s="133">
        <f t="shared" si="3"/>
        <v>0</v>
      </c>
      <c r="P104" s="132"/>
      <c r="Q104" s="132"/>
      <c r="R104" s="132"/>
      <c r="S104" s="132"/>
      <c r="T104" s="132">
        <f>Tabela4[[#This Row],[Valor do contrato sem o equipamento]]/30.4375*3</f>
        <v>0</v>
      </c>
      <c r="U104" s="132">
        <f>Tabela4[[#This Row],[Valor contrato]]*(30.4375-Tabela4[[#This Row],[Dias inoperantes]])/30.4375</f>
        <v>0</v>
      </c>
      <c r="V104" s="134"/>
      <c r="W104" s="135"/>
      <c r="X104" s="132"/>
      <c r="Y104" s="135">
        <f>Tabela4[[#This Row],[Diferença]]*Tabela4[[#This Row],[Quantidade]]</f>
        <v>0</v>
      </c>
    </row>
    <row r="105" spans="2:25" ht="15" hidden="1" thickBot="1">
      <c r="B105" s="129" t="s">
        <v>17</v>
      </c>
      <c r="C105" s="129" t="s">
        <v>30</v>
      </c>
      <c r="D105" s="129" t="s">
        <v>73</v>
      </c>
      <c r="E105" s="130">
        <v>45717</v>
      </c>
      <c r="F105" s="131" t="s">
        <v>371</v>
      </c>
      <c r="G105" s="129" t="s">
        <v>335</v>
      </c>
      <c r="H105" s="137">
        <v>0.25</v>
      </c>
      <c r="I105" s="137">
        <v>0.59722222222222221</v>
      </c>
      <c r="J105" s="132">
        <v>0</v>
      </c>
      <c r="K105" s="169">
        <v>25.8</v>
      </c>
      <c r="L105" s="133">
        <f t="shared" si="2"/>
        <v>0</v>
      </c>
      <c r="M105" s="132"/>
      <c r="N105" s="169">
        <v>186.45</v>
      </c>
      <c r="O105" s="133">
        <f t="shared" si="3"/>
        <v>0</v>
      </c>
      <c r="P105" s="132"/>
      <c r="Q105" s="132"/>
      <c r="R105" s="132"/>
      <c r="S105" s="132"/>
      <c r="T105" s="132">
        <f>Tabela4[[#This Row],[Valor do contrato sem o equipamento]]/30.4375*3</f>
        <v>0</v>
      </c>
      <c r="U105" s="132">
        <f>Tabela4[[#This Row],[Valor contrato]]*(30.4375-Tabela4[[#This Row],[Dias inoperantes]])/30.4375</f>
        <v>0</v>
      </c>
      <c r="V105" s="134"/>
      <c r="W105" s="135"/>
      <c r="X105" s="132"/>
      <c r="Y105" s="135">
        <f>Tabela4[[#This Row],[Diferença]]*Tabela4[[#This Row],[Quantidade]]</f>
        <v>0</v>
      </c>
    </row>
    <row r="106" spans="2:25" ht="15" hidden="1" thickBot="1">
      <c r="B106" s="129" t="s">
        <v>17</v>
      </c>
      <c r="C106" s="129" t="s">
        <v>30</v>
      </c>
      <c r="D106" s="129" t="s">
        <v>73</v>
      </c>
      <c r="E106" s="130">
        <v>45717</v>
      </c>
      <c r="F106" s="131" t="s">
        <v>371</v>
      </c>
      <c r="G106" s="129" t="s">
        <v>335</v>
      </c>
      <c r="H106" s="137">
        <v>0.56944444444444442</v>
      </c>
      <c r="I106" s="137">
        <v>0.91666666666666663</v>
      </c>
      <c r="J106" s="132">
        <v>0</v>
      </c>
      <c r="K106" s="169">
        <v>25.8</v>
      </c>
      <c r="L106" s="133">
        <f t="shared" si="2"/>
        <v>0</v>
      </c>
      <c r="M106" s="132"/>
      <c r="N106" s="169">
        <v>186.45</v>
      </c>
      <c r="O106" s="133">
        <f t="shared" si="3"/>
        <v>0</v>
      </c>
      <c r="P106" s="132"/>
      <c r="Q106" s="132"/>
      <c r="R106" s="132"/>
      <c r="S106" s="132"/>
      <c r="T106" s="132">
        <f>Tabela4[[#This Row],[Valor do contrato sem o equipamento]]/30.4375*3</f>
        <v>0</v>
      </c>
      <c r="U106" s="132">
        <f>Tabela4[[#This Row],[Valor contrato]]*(30.4375-Tabela4[[#This Row],[Dias inoperantes]])/30.4375</f>
        <v>0</v>
      </c>
      <c r="V106" s="134"/>
      <c r="W106" s="135"/>
      <c r="X106" s="132"/>
      <c r="Y106" s="135">
        <f>Tabela4[[#This Row],[Diferença]]*Tabela4[[#This Row],[Quantidade]]</f>
        <v>0</v>
      </c>
    </row>
    <row r="107" spans="2:25" ht="15" hidden="1" thickBot="1">
      <c r="B107" s="129" t="s">
        <v>17</v>
      </c>
      <c r="C107" s="129" t="s">
        <v>30</v>
      </c>
      <c r="D107" s="129" t="s">
        <v>73</v>
      </c>
      <c r="E107" s="130">
        <v>45717</v>
      </c>
      <c r="F107" s="131" t="s">
        <v>372</v>
      </c>
      <c r="G107" s="129" t="s">
        <v>333</v>
      </c>
      <c r="H107" s="137">
        <v>0.375</v>
      </c>
      <c r="I107" s="137">
        <v>0.875</v>
      </c>
      <c r="J107" s="132">
        <v>0</v>
      </c>
      <c r="K107" s="169">
        <v>24.47</v>
      </c>
      <c r="L107" s="133">
        <f t="shared" si="2"/>
        <v>0</v>
      </c>
      <c r="M107" s="132"/>
      <c r="N107" s="169">
        <v>176.87</v>
      </c>
      <c r="O107" s="133">
        <f t="shared" si="3"/>
        <v>0</v>
      </c>
      <c r="P107" s="132"/>
      <c r="Q107" s="132"/>
      <c r="R107" s="132"/>
      <c r="S107" s="132"/>
      <c r="T107" s="132">
        <f>Tabela4[[#This Row],[Valor do contrato sem o equipamento]]/30.4375*3</f>
        <v>0</v>
      </c>
      <c r="U107" s="132">
        <f>Tabela4[[#This Row],[Valor contrato]]*(30.4375-Tabela4[[#This Row],[Dias inoperantes]])/30.4375</f>
        <v>0</v>
      </c>
      <c r="V107" s="134"/>
      <c r="W107" s="135"/>
      <c r="X107" s="132"/>
      <c r="Y107" s="135">
        <f>Tabela4[[#This Row],[Diferença]]*Tabela4[[#This Row],[Quantidade]]</f>
        <v>0</v>
      </c>
    </row>
    <row r="108" spans="2:25" ht="15" hidden="1" thickBot="1">
      <c r="B108" s="129" t="s">
        <v>17</v>
      </c>
      <c r="C108" s="129" t="s">
        <v>30</v>
      </c>
      <c r="D108" s="129" t="s">
        <v>73</v>
      </c>
      <c r="E108" s="130">
        <v>45717</v>
      </c>
      <c r="F108" s="131" t="s">
        <v>372</v>
      </c>
      <c r="G108" s="129" t="s">
        <v>333</v>
      </c>
      <c r="H108" s="137">
        <v>0.375</v>
      </c>
      <c r="I108" s="137">
        <v>0.875</v>
      </c>
      <c r="J108" s="132">
        <v>0</v>
      </c>
      <c r="K108" s="169">
        <v>24.47</v>
      </c>
      <c r="L108" s="133">
        <f t="shared" si="2"/>
        <v>0</v>
      </c>
      <c r="M108" s="132"/>
      <c r="N108" s="169">
        <v>176.87</v>
      </c>
      <c r="O108" s="133">
        <f t="shared" si="3"/>
        <v>0</v>
      </c>
      <c r="P108" s="132"/>
      <c r="Q108" s="132"/>
      <c r="R108" s="132"/>
      <c r="S108" s="132"/>
      <c r="T108" s="132">
        <f>Tabela4[[#This Row],[Valor do contrato sem o equipamento]]/30.4375*3</f>
        <v>0</v>
      </c>
      <c r="U108" s="132">
        <f>Tabela4[[#This Row],[Valor contrato]]*(30.4375-Tabela4[[#This Row],[Dias inoperantes]])/30.4375</f>
        <v>0</v>
      </c>
      <c r="V108" s="134"/>
      <c r="W108" s="135"/>
      <c r="X108" s="132"/>
      <c r="Y108" s="135">
        <f>Tabela4[[#This Row],[Diferença]]*Tabela4[[#This Row],[Quantidade]]</f>
        <v>0</v>
      </c>
    </row>
    <row r="109" spans="2:25" ht="15" hidden="1" thickBot="1">
      <c r="B109" s="129" t="s">
        <v>17</v>
      </c>
      <c r="C109" s="129" t="s">
        <v>30</v>
      </c>
      <c r="D109" s="129" t="s">
        <v>73</v>
      </c>
      <c r="E109" s="130">
        <v>45717</v>
      </c>
      <c r="F109" s="131" t="s">
        <v>351</v>
      </c>
      <c r="G109" s="129" t="s">
        <v>335</v>
      </c>
      <c r="H109" s="137">
        <v>0.59027777777777779</v>
      </c>
      <c r="I109" s="137">
        <v>0.9375</v>
      </c>
      <c r="J109" s="132">
        <v>0</v>
      </c>
      <c r="K109" s="169">
        <v>18.649999999999999</v>
      </c>
      <c r="L109" s="133">
        <f t="shared" si="2"/>
        <v>0</v>
      </c>
      <c r="M109" s="132"/>
      <c r="N109" s="169">
        <v>134.77000000000001</v>
      </c>
      <c r="O109" s="133">
        <f t="shared" si="3"/>
        <v>0</v>
      </c>
      <c r="P109" s="132"/>
      <c r="Q109" s="132"/>
      <c r="R109" s="132"/>
      <c r="S109" s="132"/>
      <c r="T109" s="132">
        <f>Tabela4[[#This Row],[Valor do contrato sem o equipamento]]/30.4375*3</f>
        <v>0</v>
      </c>
      <c r="U109" s="132">
        <f>Tabela4[[#This Row],[Valor contrato]]*(30.4375-Tabela4[[#This Row],[Dias inoperantes]])/30.4375</f>
        <v>0</v>
      </c>
      <c r="V109" s="134"/>
      <c r="W109" s="135"/>
      <c r="X109" s="132"/>
      <c r="Y109" s="135">
        <f>Tabela4[[#This Row],[Diferença]]*Tabela4[[#This Row],[Quantidade]]</f>
        <v>0</v>
      </c>
    </row>
    <row r="110" spans="2:25" ht="26.5" hidden="1" thickBot="1">
      <c r="B110" s="129" t="s">
        <v>17</v>
      </c>
      <c r="C110" s="129" t="s">
        <v>160</v>
      </c>
      <c r="D110" s="129" t="s">
        <v>73</v>
      </c>
      <c r="E110" s="130">
        <v>45717</v>
      </c>
      <c r="F110" s="131" t="s">
        <v>351</v>
      </c>
      <c r="G110" s="129" t="s">
        <v>333</v>
      </c>
      <c r="H110" s="137">
        <v>0.33333333333333331</v>
      </c>
      <c r="I110" s="137">
        <v>0.83333333333333337</v>
      </c>
      <c r="J110" s="132">
        <v>0</v>
      </c>
      <c r="K110" s="169">
        <v>17.22</v>
      </c>
      <c r="L110" s="133">
        <f t="shared" si="2"/>
        <v>0</v>
      </c>
      <c r="M110" s="132">
        <v>3</v>
      </c>
      <c r="N110" s="169">
        <v>124.46</v>
      </c>
      <c r="O110" s="133">
        <f t="shared" si="3"/>
        <v>373.38</v>
      </c>
      <c r="P110" s="132"/>
      <c r="Q110" s="132"/>
      <c r="R110" s="132"/>
      <c r="S110" s="132"/>
      <c r="T110" s="132">
        <f>Tabela4[[#This Row],[Valor do contrato sem o equipamento]]/30.4375*3</f>
        <v>0</v>
      </c>
      <c r="U110" s="132">
        <f>Tabela4[[#This Row],[Valor contrato]]*(30.4375-Tabela4[[#This Row],[Dias inoperantes]])/30.4375</f>
        <v>0</v>
      </c>
      <c r="V110" s="134"/>
      <c r="W110" s="135"/>
      <c r="X110" s="132"/>
      <c r="Y110" s="135">
        <f>Tabela4[[#This Row],[Diferença]]*Tabela4[[#This Row],[Quantidade]]</f>
        <v>0</v>
      </c>
    </row>
    <row r="111" spans="2:25" ht="15" hidden="1" thickBot="1">
      <c r="B111" s="129" t="s">
        <v>17</v>
      </c>
      <c r="C111" s="129" t="s">
        <v>30</v>
      </c>
      <c r="D111" s="129" t="s">
        <v>73</v>
      </c>
      <c r="E111" s="130">
        <v>45748</v>
      </c>
      <c r="F111" s="131" t="s">
        <v>366</v>
      </c>
      <c r="G111" s="129" t="s">
        <v>335</v>
      </c>
      <c r="H111" s="137">
        <v>0.41666666666666669</v>
      </c>
      <c r="I111" s="137">
        <v>0.76388888888888884</v>
      </c>
      <c r="J111" s="132">
        <v>0</v>
      </c>
      <c r="K111" s="169"/>
      <c r="L111" s="133">
        <f t="shared" si="2"/>
        <v>0</v>
      </c>
      <c r="M111" s="132">
        <v>2</v>
      </c>
      <c r="N111" s="169">
        <v>153.87</v>
      </c>
      <c r="O111" s="133">
        <f t="shared" si="3"/>
        <v>307.74</v>
      </c>
      <c r="P111" s="132"/>
      <c r="Q111" s="132"/>
      <c r="R111" s="132"/>
      <c r="S111" s="132"/>
      <c r="T111" s="132">
        <f>Tabela4[[#This Row],[Valor do contrato sem o equipamento]]/30.4375*3</f>
        <v>0</v>
      </c>
      <c r="U111" s="132">
        <f>Tabela4[[#This Row],[Valor contrato]]*(30.4375-Tabela4[[#This Row],[Dias inoperantes]])/30.4375</f>
        <v>0</v>
      </c>
      <c r="V111" s="134"/>
      <c r="W111" s="135"/>
      <c r="X111" s="132"/>
      <c r="Y111" s="135">
        <f>Tabela4[[#This Row],[Diferença]]*Tabela4[[#This Row],[Quantidade]]</f>
        <v>0</v>
      </c>
    </row>
    <row r="112" spans="2:25" ht="15" hidden="1" thickBot="1">
      <c r="B112" s="129" t="s">
        <v>17</v>
      </c>
      <c r="C112" s="129" t="s">
        <v>30</v>
      </c>
      <c r="D112" s="129" t="s">
        <v>73</v>
      </c>
      <c r="E112" s="130">
        <v>45748</v>
      </c>
      <c r="F112" s="131" t="s">
        <v>351</v>
      </c>
      <c r="G112" s="129" t="s">
        <v>335</v>
      </c>
      <c r="H112" s="137">
        <v>0.25</v>
      </c>
      <c r="I112" s="137">
        <v>0.59722222222222221</v>
      </c>
      <c r="J112" s="132">
        <v>0</v>
      </c>
      <c r="K112" s="169"/>
      <c r="L112" s="133">
        <f t="shared" si="2"/>
        <v>0</v>
      </c>
      <c r="M112" s="132">
        <v>2</v>
      </c>
      <c r="N112" s="169">
        <v>133.08000000000001</v>
      </c>
      <c r="O112" s="133">
        <f t="shared" si="3"/>
        <v>266.16000000000003</v>
      </c>
      <c r="P112" s="132"/>
      <c r="Q112" s="132"/>
      <c r="R112" s="132"/>
      <c r="S112" s="132"/>
      <c r="T112" s="132">
        <f>Tabela4[[#This Row],[Valor do contrato sem o equipamento]]/30.4375*3</f>
        <v>0</v>
      </c>
      <c r="U112" s="132">
        <f>Tabela4[[#This Row],[Valor contrato]]*(30.4375-Tabela4[[#This Row],[Dias inoperantes]])/30.4375</f>
        <v>0</v>
      </c>
      <c r="V112" s="134"/>
      <c r="W112" s="135"/>
      <c r="X112" s="132"/>
      <c r="Y112" s="135">
        <f>Tabela4[[#This Row],[Diferença]]*Tabela4[[#This Row],[Quantidade]]</f>
        <v>0</v>
      </c>
    </row>
    <row r="113" spans="2:25" ht="15" hidden="1" thickBot="1">
      <c r="B113" s="129" t="s">
        <v>17</v>
      </c>
      <c r="C113" s="129" t="s">
        <v>30</v>
      </c>
      <c r="D113" s="129" t="s">
        <v>73</v>
      </c>
      <c r="E113" s="130">
        <v>45748</v>
      </c>
      <c r="F113" s="131" t="s">
        <v>351</v>
      </c>
      <c r="G113" s="129" t="s">
        <v>335</v>
      </c>
      <c r="H113" s="137">
        <v>0.56944444444444442</v>
      </c>
      <c r="I113" s="137">
        <v>0.91666666666666663</v>
      </c>
      <c r="J113" s="132">
        <v>0</v>
      </c>
      <c r="K113" s="169"/>
      <c r="L113" s="133">
        <f t="shared" si="2"/>
        <v>0</v>
      </c>
      <c r="M113" s="132">
        <v>1</v>
      </c>
      <c r="N113" s="169">
        <v>133.08000000000001</v>
      </c>
      <c r="O113" s="133">
        <f t="shared" si="3"/>
        <v>133.08000000000001</v>
      </c>
      <c r="P113" s="132"/>
      <c r="Q113" s="132"/>
      <c r="R113" s="132"/>
      <c r="S113" s="132"/>
      <c r="T113" s="132">
        <f>Tabela4[[#This Row],[Valor do contrato sem o equipamento]]/30.4375*3</f>
        <v>0</v>
      </c>
      <c r="U113" s="132">
        <f>Tabela4[[#This Row],[Valor contrato]]*(30.4375-Tabela4[[#This Row],[Dias inoperantes]])/30.4375</f>
        <v>0</v>
      </c>
      <c r="V113" s="134"/>
      <c r="W113" s="135"/>
      <c r="X113" s="132"/>
      <c r="Y113" s="135">
        <f>Tabela4[[#This Row],[Diferença]]*Tabela4[[#This Row],[Quantidade]]</f>
        <v>0</v>
      </c>
    </row>
    <row r="114" spans="2:25" ht="15" hidden="1" thickBot="1">
      <c r="B114" s="129" t="s">
        <v>17</v>
      </c>
      <c r="C114" s="129" t="s">
        <v>30</v>
      </c>
      <c r="D114" s="129" t="s">
        <v>73</v>
      </c>
      <c r="E114" s="130">
        <v>45748</v>
      </c>
      <c r="F114" s="131" t="s">
        <v>368</v>
      </c>
      <c r="G114" s="129" t="s">
        <v>335</v>
      </c>
      <c r="H114" s="137">
        <v>0.33333333333333331</v>
      </c>
      <c r="I114" s="137">
        <v>0.68055555555555547</v>
      </c>
      <c r="J114" s="132">
        <v>0</v>
      </c>
      <c r="K114" s="169"/>
      <c r="L114" s="133">
        <f t="shared" si="2"/>
        <v>0</v>
      </c>
      <c r="M114" s="132"/>
      <c r="N114" s="169">
        <v>133.08000000000001</v>
      </c>
      <c r="O114" s="133">
        <f t="shared" si="3"/>
        <v>0</v>
      </c>
      <c r="P114" s="132"/>
      <c r="Q114" s="132"/>
      <c r="R114" s="132"/>
      <c r="S114" s="132"/>
      <c r="T114" s="132">
        <f>Tabela4[[#This Row],[Valor do contrato sem o equipamento]]/30.4375*3</f>
        <v>0</v>
      </c>
      <c r="U114" s="132">
        <f>Tabela4[[#This Row],[Valor contrato]]*(30.4375-Tabela4[[#This Row],[Dias inoperantes]])/30.4375</f>
        <v>0</v>
      </c>
      <c r="V114" s="134"/>
      <c r="W114" s="135"/>
      <c r="X114" s="132"/>
      <c r="Y114" s="135">
        <f>Tabela4[[#This Row],[Diferença]]*Tabela4[[#This Row],[Quantidade]]</f>
        <v>0</v>
      </c>
    </row>
    <row r="115" spans="2:25" ht="15" hidden="1" thickBot="1">
      <c r="B115" s="129" t="s">
        <v>17</v>
      </c>
      <c r="C115" s="129" t="s">
        <v>30</v>
      </c>
      <c r="D115" s="129" t="s">
        <v>73</v>
      </c>
      <c r="E115" s="130">
        <v>45748</v>
      </c>
      <c r="F115" s="131" t="s">
        <v>352</v>
      </c>
      <c r="G115" s="129" t="s">
        <v>333</v>
      </c>
      <c r="H115" s="137">
        <v>0.4375</v>
      </c>
      <c r="I115" s="137">
        <v>0.9375</v>
      </c>
      <c r="J115" s="132">
        <v>0</v>
      </c>
      <c r="K115" s="169"/>
      <c r="L115" s="133">
        <f t="shared" si="2"/>
        <v>0</v>
      </c>
      <c r="M115" s="132">
        <v>1</v>
      </c>
      <c r="N115" s="169">
        <v>123.91</v>
      </c>
      <c r="O115" s="133">
        <f t="shared" si="3"/>
        <v>123.91</v>
      </c>
      <c r="P115" s="132"/>
      <c r="Q115" s="132"/>
      <c r="R115" s="132"/>
      <c r="S115" s="132"/>
      <c r="T115" s="132">
        <f>Tabela4[[#This Row],[Valor do contrato sem o equipamento]]/30.4375*3</f>
        <v>0</v>
      </c>
      <c r="U115" s="132">
        <f>Tabela4[[#This Row],[Valor contrato]]*(30.4375-Tabela4[[#This Row],[Dias inoperantes]])/30.4375</f>
        <v>0</v>
      </c>
      <c r="V115" s="134"/>
      <c r="W115" s="135"/>
      <c r="X115" s="132"/>
      <c r="Y115" s="135">
        <f>Tabela4[[#This Row],[Diferença]]*Tabela4[[#This Row],[Quantidade]]</f>
        <v>0</v>
      </c>
    </row>
    <row r="116" spans="2:25" ht="15" hidden="1" thickBot="1">
      <c r="B116" s="129" t="s">
        <v>17</v>
      </c>
      <c r="C116" s="129" t="s">
        <v>30</v>
      </c>
      <c r="D116" s="129" t="s">
        <v>73</v>
      </c>
      <c r="E116" s="130">
        <v>45748</v>
      </c>
      <c r="F116" s="131" t="s">
        <v>367</v>
      </c>
      <c r="G116" s="129" t="s">
        <v>333</v>
      </c>
      <c r="H116" s="137">
        <v>0.41666666666666669</v>
      </c>
      <c r="I116" s="137">
        <v>0.91666666666666663</v>
      </c>
      <c r="J116" s="132">
        <v>0</v>
      </c>
      <c r="K116" s="169"/>
      <c r="L116" s="133">
        <f t="shared" si="2"/>
        <v>0</v>
      </c>
      <c r="M116" s="132"/>
      <c r="N116" s="169">
        <v>144.62</v>
      </c>
      <c r="O116" s="133">
        <f t="shared" si="3"/>
        <v>0</v>
      </c>
      <c r="P116" s="132"/>
      <c r="Q116" s="132"/>
      <c r="R116" s="132"/>
      <c r="S116" s="132"/>
      <c r="T116" s="132">
        <f>Tabela4[[#This Row],[Valor do contrato sem o equipamento]]/30.4375*3</f>
        <v>0</v>
      </c>
      <c r="U116" s="132">
        <f>Tabela4[[#This Row],[Valor contrato]]*(30.4375-Tabela4[[#This Row],[Dias inoperantes]])/30.4375</f>
        <v>0</v>
      </c>
      <c r="V116" s="134"/>
      <c r="W116" s="135"/>
      <c r="X116" s="132"/>
      <c r="Y116" s="135">
        <f>Tabela4[[#This Row],[Diferença]]*Tabela4[[#This Row],[Quantidade]]</f>
        <v>0</v>
      </c>
    </row>
    <row r="117" spans="2:25" ht="15" hidden="1" thickBot="1">
      <c r="B117" s="129" t="s">
        <v>17</v>
      </c>
      <c r="C117" s="129" t="s">
        <v>30</v>
      </c>
      <c r="D117" s="129" t="s">
        <v>73</v>
      </c>
      <c r="E117" s="130">
        <v>45748</v>
      </c>
      <c r="F117" s="131" t="s">
        <v>367</v>
      </c>
      <c r="G117" s="129" t="s">
        <v>335</v>
      </c>
      <c r="H117" s="137">
        <v>0.25</v>
      </c>
      <c r="I117" s="137">
        <v>0.59722222222222221</v>
      </c>
      <c r="J117" s="132">
        <v>0</v>
      </c>
      <c r="K117" s="169"/>
      <c r="L117" s="133">
        <f t="shared" si="2"/>
        <v>0</v>
      </c>
      <c r="M117" s="132"/>
      <c r="N117" s="169">
        <v>154.82</v>
      </c>
      <c r="O117" s="133">
        <f t="shared" si="3"/>
        <v>0</v>
      </c>
      <c r="P117" s="132"/>
      <c r="Q117" s="132"/>
      <c r="R117" s="132"/>
      <c r="S117" s="132"/>
      <c r="T117" s="132">
        <f>Tabela4[[#This Row],[Valor do contrato sem o equipamento]]/30.4375*3</f>
        <v>0</v>
      </c>
      <c r="U117" s="132">
        <f>Tabela4[[#This Row],[Valor contrato]]*(30.4375-Tabela4[[#This Row],[Dias inoperantes]])/30.4375</f>
        <v>0</v>
      </c>
      <c r="V117" s="134"/>
      <c r="W117" s="135"/>
      <c r="X117" s="132"/>
      <c r="Y117" s="135">
        <f>Tabela4[[#This Row],[Diferença]]*Tabela4[[#This Row],[Quantidade]]</f>
        <v>0</v>
      </c>
    </row>
    <row r="118" spans="2:25" ht="15" hidden="1" thickBot="1">
      <c r="B118" s="129" t="s">
        <v>17</v>
      </c>
      <c r="C118" s="129" t="s">
        <v>30</v>
      </c>
      <c r="D118" s="129" t="s">
        <v>73</v>
      </c>
      <c r="E118" s="130">
        <v>45748</v>
      </c>
      <c r="F118" s="131" t="s">
        <v>367</v>
      </c>
      <c r="G118" s="129" t="s">
        <v>335</v>
      </c>
      <c r="H118" s="137">
        <v>0.56944444444444442</v>
      </c>
      <c r="I118" s="137">
        <v>0.91666666666666663</v>
      </c>
      <c r="J118" s="132">
        <v>0</v>
      </c>
      <c r="K118" s="169"/>
      <c r="L118" s="133">
        <f t="shared" si="2"/>
        <v>0</v>
      </c>
      <c r="M118" s="132"/>
      <c r="N118" s="169">
        <v>154.82</v>
      </c>
      <c r="O118" s="133">
        <f t="shared" si="3"/>
        <v>0</v>
      </c>
      <c r="P118" s="132"/>
      <c r="Q118" s="132"/>
      <c r="R118" s="132"/>
      <c r="S118" s="132"/>
      <c r="T118" s="132">
        <f>Tabela4[[#This Row],[Valor do contrato sem o equipamento]]/30.4375*3</f>
        <v>0</v>
      </c>
      <c r="U118" s="132">
        <f>Tabela4[[#This Row],[Valor contrato]]*(30.4375-Tabela4[[#This Row],[Dias inoperantes]])/30.4375</f>
        <v>0</v>
      </c>
      <c r="V118" s="134"/>
      <c r="W118" s="135"/>
      <c r="X118" s="132"/>
      <c r="Y118" s="135">
        <f>Tabela4[[#This Row],[Diferença]]*Tabela4[[#This Row],[Quantidade]]</f>
        <v>0</v>
      </c>
    </row>
    <row r="119" spans="2:25" ht="15" hidden="1" thickBot="1">
      <c r="B119" s="129" t="s">
        <v>17</v>
      </c>
      <c r="C119" s="129" t="s">
        <v>30</v>
      </c>
      <c r="D119" s="129" t="s">
        <v>68</v>
      </c>
      <c r="E119" s="130">
        <v>45870</v>
      </c>
      <c r="F119" s="131" t="s">
        <v>351</v>
      </c>
      <c r="G119" s="129" t="s">
        <v>333</v>
      </c>
      <c r="H119" s="137">
        <v>0.4375</v>
      </c>
      <c r="I119" s="137">
        <v>0.9375</v>
      </c>
      <c r="J119" s="132">
        <v>0</v>
      </c>
      <c r="K119" s="169">
        <v>18.260000000000002</v>
      </c>
      <c r="L119" s="133">
        <f t="shared" si="2"/>
        <v>0</v>
      </c>
      <c r="M119" s="132">
        <v>2</v>
      </c>
      <c r="N119" s="169">
        <v>132.01</v>
      </c>
      <c r="O119" s="133">
        <f t="shared" si="3"/>
        <v>264.02</v>
      </c>
      <c r="P119" s="132"/>
      <c r="Q119" s="132"/>
      <c r="R119" s="132"/>
      <c r="S119" s="132"/>
      <c r="T119" s="132">
        <f>Tabela4[[#This Row],[Valor do contrato sem o equipamento]]/30.4375*3</f>
        <v>0</v>
      </c>
      <c r="U119" s="132">
        <f>Tabela4[[#This Row],[Valor contrato]]*(30.4375-Tabela4[[#This Row],[Dias inoperantes]])/30.4375</f>
        <v>0</v>
      </c>
      <c r="V119" s="134"/>
      <c r="W119" s="135"/>
      <c r="X119" s="132"/>
      <c r="Y119" s="135">
        <f>Tabela4[[#This Row],[Diferença]]*Tabela4[[#This Row],[Quantidade]]</f>
        <v>0</v>
      </c>
    </row>
    <row r="120" spans="2:25" ht="15" hidden="1" thickBot="1">
      <c r="B120" s="129" t="s">
        <v>17</v>
      </c>
      <c r="C120" s="129" t="s">
        <v>30</v>
      </c>
      <c r="D120" s="129" t="s">
        <v>68</v>
      </c>
      <c r="E120" s="130">
        <v>45870</v>
      </c>
      <c r="F120" s="131" t="s">
        <v>351</v>
      </c>
      <c r="G120" s="129" t="s">
        <v>335</v>
      </c>
      <c r="H120" s="137">
        <v>0.56944444444444442</v>
      </c>
      <c r="I120" s="137">
        <v>0.91666666666666663</v>
      </c>
      <c r="J120" s="132">
        <v>0</v>
      </c>
      <c r="K120" s="169">
        <v>19.96</v>
      </c>
      <c r="L120" s="133">
        <f t="shared" si="2"/>
        <v>0</v>
      </c>
      <c r="M120" s="132">
        <v>6</v>
      </c>
      <c r="N120" s="169">
        <v>144.29</v>
      </c>
      <c r="O120" s="133">
        <f t="shared" si="3"/>
        <v>865.74</v>
      </c>
      <c r="P120" s="132"/>
      <c r="Q120" s="132"/>
      <c r="R120" s="132"/>
      <c r="S120" s="132"/>
      <c r="T120" s="132">
        <f>Tabela4[[#This Row],[Valor do contrato sem o equipamento]]/30.4375*3</f>
        <v>0</v>
      </c>
      <c r="U120" s="132">
        <f>Tabela4[[#This Row],[Valor contrato]]*(30.4375-Tabela4[[#This Row],[Dias inoperantes]])/30.4375</f>
        <v>0</v>
      </c>
      <c r="V120" s="134"/>
      <c r="W120" s="135"/>
      <c r="X120" s="132"/>
      <c r="Y120" s="135">
        <f>Tabela4[[#This Row],[Diferença]]*Tabela4[[#This Row],[Quantidade]]</f>
        <v>0</v>
      </c>
    </row>
    <row r="121" spans="2:25" ht="15" hidden="1" thickBot="1">
      <c r="B121" s="129" t="s">
        <v>17</v>
      </c>
      <c r="C121" s="129" t="s">
        <v>30</v>
      </c>
      <c r="D121" s="129" t="s">
        <v>68</v>
      </c>
      <c r="E121" s="130">
        <v>45870</v>
      </c>
      <c r="F121" s="131" t="s">
        <v>373</v>
      </c>
      <c r="G121" s="129" t="s">
        <v>333</v>
      </c>
      <c r="H121" s="137">
        <v>0.41666666666666669</v>
      </c>
      <c r="I121" s="137">
        <v>0.91666666666666663</v>
      </c>
      <c r="J121" s="132">
        <v>0</v>
      </c>
      <c r="K121" s="169">
        <v>21.45</v>
      </c>
      <c r="L121" s="133">
        <f t="shared" si="2"/>
        <v>0</v>
      </c>
      <c r="M121" s="132">
        <v>2</v>
      </c>
      <c r="N121" s="169">
        <v>155.07</v>
      </c>
      <c r="O121" s="133">
        <f t="shared" si="3"/>
        <v>310.14</v>
      </c>
      <c r="P121" s="132"/>
      <c r="Q121" s="132"/>
      <c r="R121" s="132"/>
      <c r="S121" s="132"/>
      <c r="T121" s="132">
        <f>Tabela4[[#This Row],[Valor do contrato sem o equipamento]]/30.4375*3</f>
        <v>0</v>
      </c>
      <c r="U121" s="132">
        <f>Tabela4[[#This Row],[Valor contrato]]*(30.4375-Tabela4[[#This Row],[Dias inoperantes]])/30.4375</f>
        <v>0</v>
      </c>
      <c r="V121" s="134"/>
      <c r="W121" s="135"/>
      <c r="X121" s="132"/>
      <c r="Y121" s="135">
        <f>Tabela4[[#This Row],[Diferença]]*Tabela4[[#This Row],[Quantidade]]</f>
        <v>0</v>
      </c>
    </row>
    <row r="122" spans="2:25" ht="15" hidden="1" thickBot="1">
      <c r="B122" s="129" t="s">
        <v>17</v>
      </c>
      <c r="C122" s="129" t="s">
        <v>30</v>
      </c>
      <c r="D122" s="129" t="s">
        <v>68</v>
      </c>
      <c r="E122" s="130">
        <v>45870</v>
      </c>
      <c r="F122" s="131" t="s">
        <v>352</v>
      </c>
      <c r="G122" s="129" t="s">
        <v>333</v>
      </c>
      <c r="H122" s="137">
        <v>0.4375</v>
      </c>
      <c r="I122" s="137">
        <v>0.9375</v>
      </c>
      <c r="J122" s="132">
        <v>0</v>
      </c>
      <c r="K122" s="169">
        <v>18.760000000000002</v>
      </c>
      <c r="L122" s="133">
        <f t="shared" si="2"/>
        <v>0</v>
      </c>
      <c r="M122" s="132">
        <v>1</v>
      </c>
      <c r="N122" s="169">
        <v>135.38</v>
      </c>
      <c r="O122" s="133">
        <f t="shared" si="3"/>
        <v>135.38</v>
      </c>
      <c r="P122" s="132"/>
      <c r="Q122" s="132"/>
      <c r="R122" s="132"/>
      <c r="S122" s="132"/>
      <c r="T122" s="132">
        <f>Tabela4[[#This Row],[Valor do contrato sem o equipamento]]/30.4375*3</f>
        <v>0</v>
      </c>
      <c r="U122" s="132">
        <f>Tabela4[[#This Row],[Valor contrato]]*(30.4375-Tabela4[[#This Row],[Dias inoperantes]])/30.4375</f>
        <v>0</v>
      </c>
      <c r="V122" s="134"/>
      <c r="W122" s="135"/>
      <c r="X122" s="132"/>
      <c r="Y122" s="135">
        <f>Tabela4[[#This Row],[Diferença]]*Tabela4[[#This Row],[Quantidade]]</f>
        <v>0</v>
      </c>
    </row>
    <row r="123" spans="2:25" ht="15" hidden="1" thickBot="1">
      <c r="B123" s="113" t="s">
        <v>17</v>
      </c>
      <c r="C123" s="113" t="s">
        <v>30</v>
      </c>
      <c r="D123" s="113" t="s">
        <v>68</v>
      </c>
      <c r="E123" s="114">
        <v>45870</v>
      </c>
      <c r="F123" s="119" t="s">
        <v>370</v>
      </c>
      <c r="G123" s="137" t="s">
        <v>333</v>
      </c>
      <c r="H123" s="137">
        <v>0.91666666666666663</v>
      </c>
      <c r="I123" s="137">
        <v>0.41666666666666669</v>
      </c>
      <c r="J123" s="132">
        <v>0</v>
      </c>
      <c r="K123" s="169">
        <v>22.96</v>
      </c>
      <c r="L123" s="133">
        <f>J123*K123</f>
        <v>0</v>
      </c>
      <c r="M123" s="132">
        <v>1</v>
      </c>
      <c r="N123" s="169">
        <v>165.94</v>
      </c>
      <c r="O123" s="133">
        <f>M123*N123</f>
        <v>165.94</v>
      </c>
      <c r="P123" s="115"/>
      <c r="Q123" s="132"/>
      <c r="R123" s="132"/>
      <c r="S123" s="134"/>
      <c r="T123" s="134">
        <f>Tabela4[[#This Row],[Valor do contrato sem o equipamento]]/30.4375*3</f>
        <v>0</v>
      </c>
      <c r="U123" s="134">
        <f>Tabela4[[#This Row],[Valor contrato]]*(30.4375-Tabela4[[#This Row],[Dias inoperantes]])/30.4375</f>
        <v>0</v>
      </c>
      <c r="V123" s="116"/>
      <c r="W123" s="150"/>
      <c r="X123" s="132"/>
      <c r="Y123" s="123">
        <f>Tabela4[[#This Row],[Diferença]]*Tabela4[[#This Row],[Quantidade]]</f>
        <v>0</v>
      </c>
    </row>
    <row r="124" spans="2:25" ht="15" hidden="1" thickBot="1">
      <c r="B124" s="129" t="s">
        <v>17</v>
      </c>
      <c r="C124" s="129" t="s">
        <v>30</v>
      </c>
      <c r="D124" s="129" t="s">
        <v>68</v>
      </c>
      <c r="E124" s="130">
        <v>45870</v>
      </c>
      <c r="F124" s="131" t="s">
        <v>366</v>
      </c>
      <c r="G124" s="129" t="s">
        <v>335</v>
      </c>
      <c r="H124" s="137">
        <v>0.44444444444444442</v>
      </c>
      <c r="I124" s="137">
        <v>0.79166666666666663</v>
      </c>
      <c r="J124" s="132">
        <v>0</v>
      </c>
      <c r="K124" s="169">
        <v>22.32</v>
      </c>
      <c r="L124" s="133">
        <f t="shared" si="2"/>
        <v>0</v>
      </c>
      <c r="M124" s="132">
        <v>1</v>
      </c>
      <c r="N124" s="169">
        <v>161.33000000000001</v>
      </c>
      <c r="O124" s="133">
        <f t="shared" si="3"/>
        <v>161.33000000000001</v>
      </c>
      <c r="P124" s="132"/>
      <c r="Q124" s="132"/>
      <c r="R124" s="132"/>
      <c r="S124" s="132"/>
      <c r="T124" s="132">
        <f>Tabela4[[#This Row],[Valor do contrato sem o equipamento]]/30.4375*3</f>
        <v>0</v>
      </c>
      <c r="U124" s="132">
        <f>Tabela4[[#This Row],[Valor contrato]]*(30.4375-Tabela4[[#This Row],[Dias inoperantes]])/30.4375</f>
        <v>0</v>
      </c>
      <c r="V124" s="134"/>
      <c r="W124" s="135"/>
      <c r="X124" s="132"/>
      <c r="Y124" s="135">
        <f>Tabela4[[#This Row],[Diferença]]*Tabela4[[#This Row],[Quantidade]]</f>
        <v>0</v>
      </c>
    </row>
    <row r="125" spans="2:25" ht="15" hidden="1" thickBot="1">
      <c r="B125" s="129" t="s">
        <v>17</v>
      </c>
      <c r="C125" s="129" t="s">
        <v>30</v>
      </c>
      <c r="D125" s="129" t="s">
        <v>73</v>
      </c>
      <c r="E125" s="130">
        <v>45748</v>
      </c>
      <c r="F125" s="131" t="s">
        <v>369</v>
      </c>
      <c r="G125" s="129" t="s">
        <v>333</v>
      </c>
      <c r="H125" s="137">
        <v>0.41666666666666669</v>
      </c>
      <c r="I125" s="137">
        <v>0.91666666666666663</v>
      </c>
      <c r="J125" s="132">
        <v>0</v>
      </c>
      <c r="K125" s="169"/>
      <c r="L125" s="133">
        <f t="shared" si="2"/>
        <v>0</v>
      </c>
      <c r="M125" s="132">
        <v>1</v>
      </c>
      <c r="N125" s="169">
        <v>122.88</v>
      </c>
      <c r="O125" s="133">
        <f t="shared" si="3"/>
        <v>122.88</v>
      </c>
      <c r="P125" s="132"/>
      <c r="Q125" s="132"/>
      <c r="R125" s="132"/>
      <c r="S125" s="132"/>
      <c r="T125" s="132">
        <f>Tabela4[[#This Row],[Valor do contrato sem o equipamento]]/30.4375*3</f>
        <v>0</v>
      </c>
      <c r="U125" s="132">
        <f>Tabela4[[#This Row],[Valor contrato]]*(30.4375-Tabela4[[#This Row],[Dias inoperantes]])/30.4375</f>
        <v>0</v>
      </c>
      <c r="V125" s="134"/>
      <c r="W125" s="135"/>
      <c r="X125" s="132"/>
      <c r="Y125" s="135">
        <f>Tabela4[[#This Row],[Diferença]]*Tabela4[[#This Row],[Quantidade]]</f>
        <v>0</v>
      </c>
    </row>
    <row r="126" spans="2:25" ht="15" hidden="1" thickBot="1">
      <c r="B126" s="129" t="s">
        <v>17</v>
      </c>
      <c r="C126" s="129" t="s">
        <v>33</v>
      </c>
      <c r="D126" s="129" t="s">
        <v>73</v>
      </c>
      <c r="E126" s="130">
        <v>45839</v>
      </c>
      <c r="F126" s="129" t="s">
        <v>374</v>
      </c>
      <c r="G126" s="129" t="s">
        <v>355</v>
      </c>
      <c r="H126" s="137">
        <v>0.25</v>
      </c>
      <c r="I126" s="137">
        <v>0.625</v>
      </c>
      <c r="J126" s="132">
        <v>0</v>
      </c>
      <c r="K126" s="169">
        <v>31.66</v>
      </c>
      <c r="L126" s="133">
        <f t="shared" si="2"/>
        <v>0</v>
      </c>
      <c r="M126" s="132">
        <v>1</v>
      </c>
      <c r="N126" s="169">
        <v>228.8</v>
      </c>
      <c r="O126" s="133">
        <f t="shared" si="3"/>
        <v>228.8</v>
      </c>
      <c r="P126" s="132"/>
      <c r="Q126" s="132"/>
      <c r="R126" s="132"/>
      <c r="S126" s="134"/>
      <c r="T126" s="134">
        <f>Tabela4[[#This Row],[Valor do contrato sem o equipamento]]/30.4375*3</f>
        <v>0</v>
      </c>
      <c r="U126" s="134">
        <f>Tabela4[[#This Row],[Valor contrato]]*(30.4375-Tabela4[[#This Row],[Dias inoperantes]])/30.4375</f>
        <v>0</v>
      </c>
      <c r="V126" s="134"/>
      <c r="W126" s="135"/>
      <c r="X126" s="140"/>
      <c r="Y126" s="135">
        <f>Tabela4[[#This Row],[Diferença]]*Tabela4[[#This Row],[Quantidade]]</f>
        <v>0</v>
      </c>
    </row>
    <row r="127" spans="2:25" ht="15" hidden="1" thickBot="1">
      <c r="B127" s="129" t="s">
        <v>17</v>
      </c>
      <c r="C127" s="129" t="s">
        <v>33</v>
      </c>
      <c r="D127" s="129" t="s">
        <v>73</v>
      </c>
      <c r="E127" s="130">
        <v>45839</v>
      </c>
      <c r="F127" s="131" t="s">
        <v>375</v>
      </c>
      <c r="G127" s="137" t="s">
        <v>355</v>
      </c>
      <c r="H127" s="137">
        <v>0.25</v>
      </c>
      <c r="I127" s="137">
        <v>0.625</v>
      </c>
      <c r="J127" s="132">
        <v>0</v>
      </c>
      <c r="K127" s="133">
        <v>21.68</v>
      </c>
      <c r="L127" s="133">
        <f t="shared" si="2"/>
        <v>0</v>
      </c>
      <c r="M127" s="132">
        <v>1</v>
      </c>
      <c r="N127" s="133">
        <v>156.72999999999999</v>
      </c>
      <c r="O127" s="133">
        <f t="shared" si="3"/>
        <v>156.72999999999999</v>
      </c>
      <c r="P127" s="132"/>
      <c r="Q127" s="132"/>
      <c r="R127" s="132"/>
      <c r="S127" s="134"/>
      <c r="T127" s="134">
        <f>Tabela4[[#This Row],[Valor do contrato sem o equipamento]]/30.4375*3</f>
        <v>0</v>
      </c>
      <c r="U127" s="134">
        <f>Tabela4[[#This Row],[Valor contrato]]*(30.4375-Tabela4[[#This Row],[Dias inoperantes]])/30.4375</f>
        <v>0</v>
      </c>
      <c r="V127" s="134"/>
      <c r="W127" s="135"/>
      <c r="X127" s="140"/>
      <c r="Y127" s="135">
        <f>Tabela4[[#This Row],[Diferença]]*Tabela4[[#This Row],[Quantidade]]</f>
        <v>0</v>
      </c>
    </row>
    <row r="128" spans="2:25" ht="15" hidden="1" thickBot="1">
      <c r="B128" s="129" t="s">
        <v>14</v>
      </c>
      <c r="C128" s="129" t="s">
        <v>32</v>
      </c>
      <c r="D128" s="129" t="s">
        <v>39</v>
      </c>
      <c r="E128" s="130">
        <v>45658</v>
      </c>
      <c r="F128" s="131" t="s">
        <v>376</v>
      </c>
      <c r="G128" s="129" t="s">
        <v>333</v>
      </c>
      <c r="H128" s="137">
        <v>0.41666666666666669</v>
      </c>
      <c r="I128" s="137">
        <v>0.91666666666666663</v>
      </c>
      <c r="J128" s="132">
        <v>117</v>
      </c>
      <c r="K128" s="169">
        <v>34.409999999999997</v>
      </c>
      <c r="L128" s="133">
        <f t="shared" si="2"/>
        <v>4025.97</v>
      </c>
      <c r="M128" s="132"/>
      <c r="N128" s="169"/>
      <c r="O128" s="133">
        <f t="shared" si="3"/>
        <v>0</v>
      </c>
      <c r="P128" s="132"/>
      <c r="Q128" s="132"/>
      <c r="R128" s="132"/>
      <c r="S128" s="132"/>
      <c r="T128" s="132">
        <f>Tabela4[[#This Row],[Valor do contrato sem o equipamento]]/30.4375*3</f>
        <v>0</v>
      </c>
      <c r="U128" s="132">
        <f>Tabela4[[#This Row],[Valor contrato]]*(30.4375-Tabela4[[#This Row],[Dias inoperantes]])/30.4375</f>
        <v>0</v>
      </c>
      <c r="V128" s="134"/>
      <c r="W128" s="135"/>
      <c r="X128" s="132"/>
      <c r="Y128" s="135">
        <f>Tabela4[[#This Row],[Diferença]]*Tabela4[[#This Row],[Quantidade]]</f>
        <v>0</v>
      </c>
    </row>
    <row r="129" spans="2:25" ht="15" hidden="1" thickBot="1">
      <c r="B129" s="113" t="s">
        <v>14</v>
      </c>
      <c r="C129" s="113" t="s">
        <v>25</v>
      </c>
      <c r="D129" s="113" t="s">
        <v>40</v>
      </c>
      <c r="E129" s="114">
        <v>45870</v>
      </c>
      <c r="F129" s="119" t="s">
        <v>358</v>
      </c>
      <c r="G129" s="137" t="s">
        <v>355</v>
      </c>
      <c r="H129" s="137">
        <v>0.5083333333333333</v>
      </c>
      <c r="I129" s="137">
        <v>0.91666666666666663</v>
      </c>
      <c r="J129" s="132">
        <v>0</v>
      </c>
      <c r="K129" s="169">
        <v>39.94</v>
      </c>
      <c r="L129" s="169">
        <f>J129*K129</f>
        <v>0</v>
      </c>
      <c r="M129" s="132">
        <v>10</v>
      </c>
      <c r="N129" s="169">
        <v>288.7</v>
      </c>
      <c r="O129" s="169">
        <f>M129*N129</f>
        <v>2887</v>
      </c>
      <c r="P129" s="115"/>
      <c r="Q129" s="132"/>
      <c r="R129" s="132"/>
      <c r="S129" s="134"/>
      <c r="T129" s="134">
        <f>Tabela4[[#This Row],[Valor do contrato sem o equipamento]]/30.4375*3</f>
        <v>0</v>
      </c>
      <c r="U129" s="134">
        <f>Tabela4[[#This Row],[Valor contrato]]*(30.4375-Tabela4[[#This Row],[Dias inoperantes]])/30.4375</f>
        <v>0</v>
      </c>
      <c r="V129" s="116"/>
      <c r="W129" s="150"/>
      <c r="X129" s="132"/>
      <c r="Y129" s="123">
        <f>Tabela4[[#This Row],[Diferença]]*Tabela4[[#This Row],[Quantidade]]</f>
        <v>0</v>
      </c>
    </row>
    <row r="130" spans="2:25" ht="15" hidden="1" thickBot="1">
      <c r="B130" s="129" t="s">
        <v>14</v>
      </c>
      <c r="C130" s="129" t="s">
        <v>31</v>
      </c>
      <c r="D130" s="129" t="s">
        <v>39</v>
      </c>
      <c r="E130" s="130">
        <v>45658</v>
      </c>
      <c r="F130" s="131" t="s">
        <v>361</v>
      </c>
      <c r="G130" s="129" t="s">
        <v>377</v>
      </c>
      <c r="H130" s="137">
        <v>0.41666666666666702</v>
      </c>
      <c r="I130" s="137">
        <v>0.91666666666666696</v>
      </c>
      <c r="J130" s="132">
        <v>15</v>
      </c>
      <c r="K130" s="169"/>
      <c r="L130" s="133">
        <f t="shared" si="2"/>
        <v>0</v>
      </c>
      <c r="M130" s="132"/>
      <c r="N130" s="169"/>
      <c r="O130" s="133">
        <f t="shared" si="3"/>
        <v>0</v>
      </c>
      <c r="P130" s="132"/>
      <c r="Q130" s="132"/>
      <c r="R130" s="132"/>
      <c r="S130" s="132"/>
      <c r="T130" s="132">
        <f>Tabela4[[#This Row],[Valor do contrato sem o equipamento]]/30.4375*3</f>
        <v>0</v>
      </c>
      <c r="U130" s="132">
        <f>Tabela4[[#This Row],[Valor contrato]]*(30.4375-Tabela4[[#This Row],[Dias inoperantes]])/30.4375</f>
        <v>0</v>
      </c>
      <c r="V130" s="134"/>
      <c r="W130" s="135"/>
      <c r="X130" s="132"/>
      <c r="Y130" s="135">
        <f>Tabela4[[#This Row],[Diferença]]*Tabela4[[#This Row],[Quantidade]]</f>
        <v>0</v>
      </c>
    </row>
    <row r="131" spans="2:25" ht="15" hidden="1" thickBot="1">
      <c r="B131" s="129" t="s">
        <v>14</v>
      </c>
      <c r="C131" s="129" t="s">
        <v>31</v>
      </c>
      <c r="D131" s="129" t="s">
        <v>39</v>
      </c>
      <c r="E131" s="130">
        <v>45658</v>
      </c>
      <c r="F131" s="131" t="s">
        <v>378</v>
      </c>
      <c r="G131" s="129" t="s">
        <v>377</v>
      </c>
      <c r="H131" s="137">
        <v>0.79166666666666696</v>
      </c>
      <c r="I131" s="137">
        <v>0.29166666666666702</v>
      </c>
      <c r="J131" s="132">
        <v>73</v>
      </c>
      <c r="K131" s="169"/>
      <c r="L131" s="133">
        <f t="shared" si="2"/>
        <v>0</v>
      </c>
      <c r="M131" s="132"/>
      <c r="N131" s="169"/>
      <c r="O131" s="133">
        <f t="shared" si="3"/>
        <v>0</v>
      </c>
      <c r="P131" s="132"/>
      <c r="Q131" s="132"/>
      <c r="R131" s="132"/>
      <c r="S131" s="132"/>
      <c r="T131" s="132">
        <f>Tabela4[[#This Row],[Valor do contrato sem o equipamento]]/30.4375*3</f>
        <v>0</v>
      </c>
      <c r="U131" s="132">
        <f>Tabela4[[#This Row],[Valor contrato]]*(30.4375-Tabela4[[#This Row],[Dias inoperantes]])/30.4375</f>
        <v>0</v>
      </c>
      <c r="V131" s="134"/>
      <c r="W131" s="135"/>
      <c r="X131" s="132"/>
      <c r="Y131" s="135">
        <f>Tabela4[[#This Row],[Diferença]]*Tabela4[[#This Row],[Quantidade]]</f>
        <v>0</v>
      </c>
    </row>
    <row r="132" spans="2:25" ht="15" hidden="1" thickBot="1">
      <c r="B132" s="129" t="s">
        <v>14</v>
      </c>
      <c r="C132" s="129" t="s">
        <v>31</v>
      </c>
      <c r="D132" s="129" t="s">
        <v>39</v>
      </c>
      <c r="E132" s="130">
        <v>45658</v>
      </c>
      <c r="F132" s="131" t="s">
        <v>361</v>
      </c>
      <c r="G132" s="129" t="s">
        <v>379</v>
      </c>
      <c r="H132" s="137">
        <v>0.29166666666666702</v>
      </c>
      <c r="I132" s="137">
        <v>0.64583333333333304</v>
      </c>
      <c r="J132" s="132">
        <v>20.5</v>
      </c>
      <c r="K132" s="169"/>
      <c r="L132" s="133">
        <f t="shared" si="2"/>
        <v>0</v>
      </c>
      <c r="M132" s="132"/>
      <c r="N132" s="169"/>
      <c r="O132" s="133">
        <f t="shared" si="3"/>
        <v>0</v>
      </c>
      <c r="P132" s="132"/>
      <c r="Q132" s="132"/>
      <c r="R132" s="132"/>
      <c r="S132" s="132"/>
      <c r="T132" s="132">
        <f>Tabela4[[#This Row],[Valor do contrato sem o equipamento]]/30.4375*3</f>
        <v>0</v>
      </c>
      <c r="U132" s="132">
        <f>Tabela4[[#This Row],[Valor contrato]]*(30.4375-Tabela4[[#This Row],[Dias inoperantes]])/30.4375</f>
        <v>0</v>
      </c>
      <c r="V132" s="134"/>
      <c r="W132" s="135"/>
      <c r="X132" s="132"/>
      <c r="Y132" s="135">
        <f>Tabela4[[#This Row],[Diferença]]*Tabela4[[#This Row],[Quantidade]]</f>
        <v>0</v>
      </c>
    </row>
    <row r="133" spans="2:25" ht="15" hidden="1" thickBot="1">
      <c r="B133" s="129" t="s">
        <v>14</v>
      </c>
      <c r="C133" s="129" t="s">
        <v>31</v>
      </c>
      <c r="D133" s="129" t="s">
        <v>39</v>
      </c>
      <c r="E133" s="130">
        <v>45717</v>
      </c>
      <c r="F133" s="131" t="s">
        <v>361</v>
      </c>
      <c r="G133" s="129" t="s">
        <v>377</v>
      </c>
      <c r="H133" s="137">
        <v>0.41666666666666702</v>
      </c>
      <c r="I133" s="137">
        <v>0.91666666666666696</v>
      </c>
      <c r="J133" s="132">
        <v>9</v>
      </c>
      <c r="K133" s="169">
        <v>21.43</v>
      </c>
      <c r="L133" s="133">
        <f t="shared" si="2"/>
        <v>192.87</v>
      </c>
      <c r="M133" s="132">
        <v>3</v>
      </c>
      <c r="N133" s="169">
        <v>128.84</v>
      </c>
      <c r="O133" s="133">
        <f t="shared" si="3"/>
        <v>386.52</v>
      </c>
      <c r="P133" s="132"/>
      <c r="Q133" s="132"/>
      <c r="R133" s="132"/>
      <c r="S133" s="132"/>
      <c r="T133" s="132">
        <f>Tabela4[[#This Row],[Valor do contrato sem o equipamento]]/30.4375*3</f>
        <v>0</v>
      </c>
      <c r="U133" s="132">
        <f>Tabela4[[#This Row],[Valor contrato]]*(30.4375-Tabela4[[#This Row],[Dias inoperantes]])/30.4375</f>
        <v>0</v>
      </c>
      <c r="V133" s="134"/>
      <c r="W133" s="135"/>
      <c r="X133" s="140"/>
      <c r="Y133" s="135">
        <f>Tabela4[[#This Row],[Diferença]]*Tabela4[[#This Row],[Quantidade]]</f>
        <v>0</v>
      </c>
    </row>
    <row r="134" spans="2:25" ht="15" hidden="1" thickBot="1">
      <c r="B134" s="129" t="s">
        <v>14</v>
      </c>
      <c r="C134" s="129" t="s">
        <v>31</v>
      </c>
      <c r="D134" s="129" t="s">
        <v>39</v>
      </c>
      <c r="E134" s="130">
        <v>45717</v>
      </c>
      <c r="F134" s="131" t="s">
        <v>378</v>
      </c>
      <c r="G134" s="129" t="s">
        <v>377</v>
      </c>
      <c r="H134" s="137">
        <v>0.79166666666666696</v>
      </c>
      <c r="I134" s="137">
        <v>0.29166666666666702</v>
      </c>
      <c r="J134" s="132"/>
      <c r="K134" s="169">
        <v>24.02</v>
      </c>
      <c r="L134" s="133">
        <f t="shared" si="2"/>
        <v>0</v>
      </c>
      <c r="M134" s="132"/>
      <c r="N134" s="169">
        <v>144.41999999999999</v>
      </c>
      <c r="O134" s="133">
        <f t="shared" si="3"/>
        <v>0</v>
      </c>
      <c r="P134" s="132"/>
      <c r="Q134" s="132"/>
      <c r="R134" s="132"/>
      <c r="S134" s="132"/>
      <c r="T134" s="132">
        <f>Tabela4[[#This Row],[Valor do contrato sem o equipamento]]/30.4375*3</f>
        <v>0</v>
      </c>
      <c r="U134" s="132">
        <f>Tabela4[[#This Row],[Valor contrato]]*(30.4375-Tabela4[[#This Row],[Dias inoperantes]])/30.4375</f>
        <v>0</v>
      </c>
      <c r="V134" s="134"/>
      <c r="W134" s="135"/>
      <c r="X134" s="140"/>
      <c r="Y134" s="135">
        <f>Tabela4[[#This Row],[Diferença]]*Tabela4[[#This Row],[Quantidade]]</f>
        <v>0</v>
      </c>
    </row>
    <row r="135" spans="2:25" ht="15" hidden="1" thickBot="1">
      <c r="B135" s="129" t="s">
        <v>14</v>
      </c>
      <c r="C135" s="129" t="s">
        <v>31</v>
      </c>
      <c r="D135" s="129" t="s">
        <v>39</v>
      </c>
      <c r="E135" s="130">
        <v>45717</v>
      </c>
      <c r="F135" s="131" t="s">
        <v>361</v>
      </c>
      <c r="G135" s="129" t="s">
        <v>379</v>
      </c>
      <c r="H135" s="137">
        <v>0.29166666666666702</v>
      </c>
      <c r="I135" s="137">
        <v>0.64583333333333304</v>
      </c>
      <c r="J135" s="132"/>
      <c r="K135" s="169">
        <v>17.03</v>
      </c>
      <c r="L135" s="133">
        <f t="shared" si="2"/>
        <v>0</v>
      </c>
      <c r="M135" s="132"/>
      <c r="N135" s="169">
        <v>123.09</v>
      </c>
      <c r="O135" s="133">
        <f t="shared" si="3"/>
        <v>0</v>
      </c>
      <c r="P135" s="132"/>
      <c r="Q135" s="132"/>
      <c r="R135" s="132"/>
      <c r="S135" s="132"/>
      <c r="T135" s="132">
        <f>Tabela4[[#This Row],[Valor do contrato sem o equipamento]]/30.4375*3</f>
        <v>0</v>
      </c>
      <c r="U135" s="132">
        <f>Tabela4[[#This Row],[Valor contrato]]*(30.4375-Tabela4[[#This Row],[Dias inoperantes]])/30.4375</f>
        <v>0</v>
      </c>
      <c r="V135" s="134"/>
      <c r="W135" s="135"/>
      <c r="X135" s="140"/>
      <c r="Y135" s="135">
        <f>Tabela4[[#This Row],[Diferença]]*Tabela4[[#This Row],[Quantidade]]</f>
        <v>0</v>
      </c>
    </row>
    <row r="136" spans="2:25" ht="15" hidden="1" thickBot="1">
      <c r="B136" s="129" t="s">
        <v>14</v>
      </c>
      <c r="C136" s="129" t="s">
        <v>31</v>
      </c>
      <c r="D136" s="129" t="s">
        <v>39</v>
      </c>
      <c r="E136" s="130">
        <v>45717</v>
      </c>
      <c r="F136" s="131" t="s">
        <v>361</v>
      </c>
      <c r="G136" s="129" t="s">
        <v>379</v>
      </c>
      <c r="H136" s="137">
        <v>0.65833333333333299</v>
      </c>
      <c r="I136" s="137">
        <v>0.999999999999997</v>
      </c>
      <c r="J136" s="132"/>
      <c r="K136" s="169">
        <v>19.850000000000001</v>
      </c>
      <c r="L136" s="133">
        <f t="shared" si="2"/>
        <v>0</v>
      </c>
      <c r="M136" s="132"/>
      <c r="N136" s="169">
        <v>143.47999999999999</v>
      </c>
      <c r="O136" s="133">
        <f t="shared" si="3"/>
        <v>0</v>
      </c>
      <c r="P136" s="132"/>
      <c r="Q136" s="132"/>
      <c r="R136" s="132"/>
      <c r="S136" s="132"/>
      <c r="T136" s="132">
        <f>Tabela4[[#This Row],[Valor do contrato sem o equipamento]]/30.4375*3</f>
        <v>0</v>
      </c>
      <c r="U136" s="132">
        <f>Tabela4[[#This Row],[Valor contrato]]*(30.4375-Tabela4[[#This Row],[Dias inoperantes]])/30.4375</f>
        <v>0</v>
      </c>
      <c r="V136" s="134"/>
      <c r="W136" s="135"/>
      <c r="X136" s="140"/>
      <c r="Y136" s="135">
        <f>Tabela4[[#This Row],[Diferença]]*Tabela4[[#This Row],[Quantidade]]</f>
        <v>0</v>
      </c>
    </row>
    <row r="137" spans="2:25" ht="15" hidden="1" thickBot="1">
      <c r="B137" s="129" t="s">
        <v>14</v>
      </c>
      <c r="C137" s="129" t="s">
        <v>31</v>
      </c>
      <c r="D137" s="129" t="s">
        <v>39</v>
      </c>
      <c r="E137" s="130">
        <v>45748</v>
      </c>
      <c r="F137" s="131" t="s">
        <v>361</v>
      </c>
      <c r="G137" s="129" t="s">
        <v>377</v>
      </c>
      <c r="H137" s="137">
        <v>0.41666666666666702</v>
      </c>
      <c r="I137" s="137">
        <v>0.91666666666666696</v>
      </c>
      <c r="J137" s="132">
        <f>3*6+(9*3)+5.5</f>
        <v>50.5</v>
      </c>
      <c r="K137" s="169">
        <v>21.43</v>
      </c>
      <c r="L137" s="133">
        <f t="shared" si="2"/>
        <v>1082.2149999999999</v>
      </c>
      <c r="M137" s="132">
        <v>1</v>
      </c>
      <c r="N137" s="169">
        <v>128.84</v>
      </c>
      <c r="O137" s="133">
        <f t="shared" si="3"/>
        <v>128.84</v>
      </c>
      <c r="P137" s="132"/>
      <c r="Q137" s="132"/>
      <c r="R137" s="132"/>
      <c r="S137" s="132"/>
      <c r="T137" s="132">
        <f>Tabela4[[#This Row],[Valor do contrato sem o equipamento]]/30.4375*3</f>
        <v>0</v>
      </c>
      <c r="U137" s="132">
        <f>Tabela4[[#This Row],[Valor contrato]]*(30.4375-Tabela4[[#This Row],[Dias inoperantes]])/30.4375</f>
        <v>0</v>
      </c>
      <c r="V137" s="134"/>
      <c r="W137" s="135"/>
      <c r="X137" s="140"/>
      <c r="Y137" s="135">
        <f>Tabela4[[#This Row],[Diferença]]*Tabela4[[#This Row],[Quantidade]]</f>
        <v>0</v>
      </c>
    </row>
    <row r="138" spans="2:25" ht="15" hidden="1" thickBot="1">
      <c r="B138" s="129" t="s">
        <v>14</v>
      </c>
      <c r="C138" s="129" t="s">
        <v>31</v>
      </c>
      <c r="D138" s="129" t="s">
        <v>39</v>
      </c>
      <c r="E138" s="130">
        <v>45748</v>
      </c>
      <c r="F138" s="131" t="s">
        <v>378</v>
      </c>
      <c r="G138" s="129" t="s">
        <v>377</v>
      </c>
      <c r="H138" s="137">
        <v>0.79166666666666696</v>
      </c>
      <c r="I138" s="137">
        <v>0.29166666666666702</v>
      </c>
      <c r="J138" s="132">
        <v>7</v>
      </c>
      <c r="K138" s="169">
        <v>24.02</v>
      </c>
      <c r="L138" s="133">
        <f t="shared" si="2"/>
        <v>168.14</v>
      </c>
      <c r="M138" s="132"/>
      <c r="N138" s="169">
        <v>144.41999999999999</v>
      </c>
      <c r="O138" s="133">
        <f t="shared" si="3"/>
        <v>0</v>
      </c>
      <c r="P138" s="132"/>
      <c r="Q138" s="132"/>
      <c r="R138" s="132"/>
      <c r="S138" s="132"/>
      <c r="T138" s="132">
        <f>Tabela4[[#This Row],[Valor do contrato sem o equipamento]]/30.4375*3</f>
        <v>0</v>
      </c>
      <c r="U138" s="132">
        <f>Tabela4[[#This Row],[Valor contrato]]*(30.4375-Tabela4[[#This Row],[Dias inoperantes]])/30.4375</f>
        <v>0</v>
      </c>
      <c r="V138" s="134"/>
      <c r="W138" s="135"/>
      <c r="X138" s="140"/>
      <c r="Y138" s="135">
        <f>Tabela4[[#This Row],[Diferença]]*Tabela4[[#This Row],[Quantidade]]</f>
        <v>0</v>
      </c>
    </row>
    <row r="139" spans="2:25" ht="15" hidden="1" thickBot="1">
      <c r="B139" s="129" t="s">
        <v>14</v>
      </c>
      <c r="C139" s="129" t="s">
        <v>31</v>
      </c>
      <c r="D139" s="129" t="s">
        <v>39</v>
      </c>
      <c r="E139" s="130">
        <v>45748</v>
      </c>
      <c r="F139" s="131" t="s">
        <v>361</v>
      </c>
      <c r="G139" s="129" t="s">
        <v>379</v>
      </c>
      <c r="H139" s="137">
        <v>0.29166666666666702</v>
      </c>
      <c r="I139" s="137">
        <v>0.64583333333333304</v>
      </c>
      <c r="J139" s="132"/>
      <c r="K139" s="169">
        <v>17.03</v>
      </c>
      <c r="L139" s="133">
        <f t="shared" si="2"/>
        <v>0</v>
      </c>
      <c r="M139" s="132">
        <v>1</v>
      </c>
      <c r="N139" s="169">
        <v>123.09</v>
      </c>
      <c r="O139" s="133">
        <f t="shared" si="3"/>
        <v>123.09</v>
      </c>
      <c r="P139" s="132"/>
      <c r="Q139" s="132"/>
      <c r="R139" s="132"/>
      <c r="S139" s="132"/>
      <c r="T139" s="132">
        <f>Tabela4[[#This Row],[Valor do contrato sem o equipamento]]/30.4375*3</f>
        <v>0</v>
      </c>
      <c r="U139" s="132">
        <f>Tabela4[[#This Row],[Valor contrato]]*(30.4375-Tabela4[[#This Row],[Dias inoperantes]])/30.4375</f>
        <v>0</v>
      </c>
      <c r="V139" s="134"/>
      <c r="W139" s="135"/>
      <c r="X139" s="140"/>
      <c r="Y139" s="135">
        <f>Tabela4[[#This Row],[Diferença]]*Tabela4[[#This Row],[Quantidade]]</f>
        <v>0</v>
      </c>
    </row>
    <row r="140" spans="2:25" ht="15" hidden="1" thickBot="1">
      <c r="B140" s="129" t="s">
        <v>14</v>
      </c>
      <c r="C140" s="129" t="s">
        <v>31</v>
      </c>
      <c r="D140" s="129" t="s">
        <v>39</v>
      </c>
      <c r="E140" s="130">
        <v>45748</v>
      </c>
      <c r="F140" s="131" t="s">
        <v>361</v>
      </c>
      <c r="G140" s="129" t="s">
        <v>379</v>
      </c>
      <c r="H140" s="137">
        <v>0.65833333333333299</v>
      </c>
      <c r="I140" s="137">
        <v>0.999999999999997</v>
      </c>
      <c r="J140" s="132">
        <v>3.5</v>
      </c>
      <c r="K140" s="169">
        <v>19.850000000000001</v>
      </c>
      <c r="L140" s="133">
        <f t="shared" ref="L140:L213" si="6">J140*K140</f>
        <v>69.475000000000009</v>
      </c>
      <c r="M140" s="132"/>
      <c r="N140" s="169">
        <v>143.47999999999999</v>
      </c>
      <c r="O140" s="133">
        <f t="shared" ref="O140:O213" si="7">M140*N140</f>
        <v>0</v>
      </c>
      <c r="P140" s="132"/>
      <c r="Q140" s="132"/>
      <c r="R140" s="132"/>
      <c r="S140" s="132"/>
      <c r="T140" s="132">
        <f>Tabela4[[#This Row],[Valor do contrato sem o equipamento]]/30.4375*3</f>
        <v>0</v>
      </c>
      <c r="U140" s="132">
        <f>Tabela4[[#This Row],[Valor contrato]]*(30.4375-Tabela4[[#This Row],[Dias inoperantes]])/30.4375</f>
        <v>0</v>
      </c>
      <c r="V140" s="134"/>
      <c r="W140" s="135"/>
      <c r="X140" s="140"/>
      <c r="Y140" s="135">
        <f>Tabela4[[#This Row],[Diferença]]*Tabela4[[#This Row],[Quantidade]]</f>
        <v>0</v>
      </c>
    </row>
    <row r="141" spans="2:25" ht="15" hidden="1" thickBot="1">
      <c r="B141" s="129" t="s">
        <v>14</v>
      </c>
      <c r="C141" s="129" t="s">
        <v>32</v>
      </c>
      <c r="D141" s="129" t="s">
        <v>39</v>
      </c>
      <c r="E141" s="130">
        <v>45717</v>
      </c>
      <c r="F141" s="131" t="s">
        <v>380</v>
      </c>
      <c r="G141" s="129" t="s">
        <v>377</v>
      </c>
      <c r="H141" s="137">
        <v>0.41666666666666702</v>
      </c>
      <c r="I141" s="137">
        <v>0.91666666666666696</v>
      </c>
      <c r="J141" s="132"/>
      <c r="K141" s="169">
        <v>66.17</v>
      </c>
      <c r="L141" s="133">
        <f t="shared" si="6"/>
        <v>0</v>
      </c>
      <c r="M141" s="132"/>
      <c r="N141" s="169">
        <v>397.83</v>
      </c>
      <c r="O141" s="133">
        <f t="shared" si="7"/>
        <v>0</v>
      </c>
      <c r="P141" s="132"/>
      <c r="Q141" s="132"/>
      <c r="R141" s="132"/>
      <c r="S141" s="132"/>
      <c r="T141" s="132">
        <f>Tabela4[[#This Row],[Valor do contrato sem o equipamento]]/30.4375*3</f>
        <v>0</v>
      </c>
      <c r="U141" s="132">
        <f>Tabela4[[#This Row],[Valor contrato]]*(30.4375-Tabela4[[#This Row],[Dias inoperantes]])/30.4375</f>
        <v>0</v>
      </c>
      <c r="V141" s="134"/>
      <c r="W141" s="135"/>
      <c r="X141" s="140"/>
      <c r="Y141" s="135">
        <f>Tabela4[[#This Row],[Diferença]]*Tabela4[[#This Row],[Quantidade]]</f>
        <v>0</v>
      </c>
    </row>
    <row r="142" spans="2:25" ht="15" hidden="1" thickBot="1">
      <c r="B142" s="129" t="s">
        <v>14</v>
      </c>
      <c r="C142" s="129" t="s">
        <v>32</v>
      </c>
      <c r="D142" s="129" t="s">
        <v>39</v>
      </c>
      <c r="E142" s="130">
        <v>45717</v>
      </c>
      <c r="F142" s="131" t="s">
        <v>381</v>
      </c>
      <c r="G142" s="129" t="s">
        <v>377</v>
      </c>
      <c r="H142" s="137">
        <v>0.41666666666666702</v>
      </c>
      <c r="I142" s="137">
        <v>0.91666666666666696</v>
      </c>
      <c r="J142" s="132"/>
      <c r="K142" s="169">
        <v>0</v>
      </c>
      <c r="L142" s="133">
        <f t="shared" si="6"/>
        <v>0</v>
      </c>
      <c r="M142" s="132"/>
      <c r="N142" s="169">
        <v>32.99</v>
      </c>
      <c r="O142" s="133">
        <f t="shared" si="7"/>
        <v>0</v>
      </c>
      <c r="P142" s="132"/>
      <c r="Q142" s="132"/>
      <c r="R142" s="132"/>
      <c r="S142" s="132"/>
      <c r="T142" s="132">
        <f>Tabela4[[#This Row],[Valor do contrato sem o equipamento]]/30.4375*3</f>
        <v>0</v>
      </c>
      <c r="U142" s="132">
        <f>Tabela4[[#This Row],[Valor contrato]]*(30.4375-Tabela4[[#This Row],[Dias inoperantes]])/30.4375</f>
        <v>0</v>
      </c>
      <c r="V142" s="134"/>
      <c r="W142" s="135"/>
      <c r="X142" s="140"/>
      <c r="Y142" s="135">
        <f>Tabela4[[#This Row],[Diferença]]*Tabela4[[#This Row],[Quantidade]]</f>
        <v>0</v>
      </c>
    </row>
    <row r="143" spans="2:25" ht="15" hidden="1" thickBot="1">
      <c r="B143" s="129" t="s">
        <v>14</v>
      </c>
      <c r="C143" s="129" t="s">
        <v>32</v>
      </c>
      <c r="D143" s="129" t="s">
        <v>39</v>
      </c>
      <c r="E143" s="130">
        <v>45717</v>
      </c>
      <c r="F143" s="131" t="s">
        <v>376</v>
      </c>
      <c r="G143" s="129" t="s">
        <v>377</v>
      </c>
      <c r="H143" s="137">
        <v>0.41666666666666702</v>
      </c>
      <c r="I143" s="137">
        <v>0.91666666666666696</v>
      </c>
      <c r="J143" s="132"/>
      <c r="K143" s="169">
        <v>34.479999999999997</v>
      </c>
      <c r="L143" s="133">
        <f t="shared" si="6"/>
        <v>0</v>
      </c>
      <c r="M143" s="132"/>
      <c r="N143" s="169">
        <v>207.33</v>
      </c>
      <c r="O143" s="133">
        <f t="shared" si="7"/>
        <v>0</v>
      </c>
      <c r="P143" s="132"/>
      <c r="Q143" s="132"/>
      <c r="R143" s="132"/>
      <c r="S143" s="132"/>
      <c r="T143" s="132">
        <f>Tabela4[[#This Row],[Valor do contrato sem o equipamento]]/30.4375*3</f>
        <v>0</v>
      </c>
      <c r="U143" s="132">
        <f>Tabela4[[#This Row],[Valor contrato]]*(30.4375-Tabela4[[#This Row],[Dias inoperantes]])/30.4375</f>
        <v>0</v>
      </c>
      <c r="V143" s="134"/>
      <c r="W143" s="135"/>
      <c r="X143" s="140"/>
      <c r="Y143" s="135">
        <f>Tabela4[[#This Row],[Diferença]]*Tabela4[[#This Row],[Quantidade]]</f>
        <v>0</v>
      </c>
    </row>
    <row r="144" spans="2:25" ht="15" hidden="1" thickBot="1">
      <c r="B144" s="129" t="s">
        <v>14</v>
      </c>
      <c r="C144" s="129" t="s">
        <v>32</v>
      </c>
      <c r="D144" s="129" t="s">
        <v>39</v>
      </c>
      <c r="E144" s="130">
        <v>45717</v>
      </c>
      <c r="F144" s="131" t="s">
        <v>376</v>
      </c>
      <c r="G144" s="129" t="s">
        <v>377</v>
      </c>
      <c r="H144" s="137">
        <v>0.29166666666666702</v>
      </c>
      <c r="I144" s="137">
        <v>0.79166666666666696</v>
      </c>
      <c r="J144" s="132">
        <f>3*2</f>
        <v>6</v>
      </c>
      <c r="K144" s="169">
        <v>34.25</v>
      </c>
      <c r="L144" s="133">
        <f t="shared" si="6"/>
        <v>205.5</v>
      </c>
      <c r="M144" s="132">
        <v>0</v>
      </c>
      <c r="N144" s="169">
        <v>205.95</v>
      </c>
      <c r="O144" s="133">
        <f t="shared" si="7"/>
        <v>0</v>
      </c>
      <c r="P144" s="132"/>
      <c r="Q144" s="132"/>
      <c r="R144" s="132"/>
      <c r="S144" s="132"/>
      <c r="T144" s="132">
        <f>Tabela4[[#This Row],[Valor do contrato sem o equipamento]]/30.4375*3</f>
        <v>0</v>
      </c>
      <c r="U144" s="132">
        <f>Tabela4[[#This Row],[Valor contrato]]*(30.4375-Tabela4[[#This Row],[Dias inoperantes]])/30.4375</f>
        <v>0</v>
      </c>
      <c r="V144" s="134"/>
      <c r="W144" s="135"/>
      <c r="X144" s="140"/>
      <c r="Y144" s="135">
        <f>Tabela4[[#This Row],[Diferença]]*Tabela4[[#This Row],[Quantidade]]</f>
        <v>0</v>
      </c>
    </row>
    <row r="145" spans="2:25" ht="15" hidden="1" thickBot="1">
      <c r="B145" s="129" t="s">
        <v>14</v>
      </c>
      <c r="C145" s="129" t="s">
        <v>32</v>
      </c>
      <c r="D145" s="129" t="s">
        <v>39</v>
      </c>
      <c r="E145" s="130">
        <v>45717</v>
      </c>
      <c r="F145" s="131" t="s">
        <v>376</v>
      </c>
      <c r="G145" s="129" t="s">
        <v>377</v>
      </c>
      <c r="H145" s="137">
        <v>0.79166666666666696</v>
      </c>
      <c r="I145" s="137">
        <v>0.29166666666666702</v>
      </c>
      <c r="J145" s="132"/>
      <c r="K145" s="169">
        <v>38.159999999999997</v>
      </c>
      <c r="L145" s="133">
        <f t="shared" si="6"/>
        <v>0</v>
      </c>
      <c r="M145" s="132"/>
      <c r="N145" s="169">
        <v>229.42</v>
      </c>
      <c r="O145" s="133">
        <f t="shared" si="7"/>
        <v>0</v>
      </c>
      <c r="P145" s="132"/>
      <c r="Q145" s="132"/>
      <c r="R145" s="132"/>
      <c r="S145" s="132"/>
      <c r="T145" s="132">
        <f>Tabela4[[#This Row],[Valor do contrato sem o equipamento]]/30.4375*3</f>
        <v>0</v>
      </c>
      <c r="U145" s="132">
        <f>Tabela4[[#This Row],[Valor contrato]]*(30.4375-Tabela4[[#This Row],[Dias inoperantes]])/30.4375</f>
        <v>0</v>
      </c>
      <c r="V145" s="134"/>
      <c r="W145" s="135"/>
      <c r="X145" s="140"/>
      <c r="Y145" s="135">
        <f>Tabela4[[#This Row],[Diferença]]*Tabela4[[#This Row],[Quantidade]]</f>
        <v>0</v>
      </c>
    </row>
    <row r="146" spans="2:25" ht="15" hidden="1" thickBot="1">
      <c r="B146" s="129" t="s">
        <v>14</v>
      </c>
      <c r="C146" s="129" t="s">
        <v>32</v>
      </c>
      <c r="D146" s="129" t="s">
        <v>39</v>
      </c>
      <c r="E146" s="130">
        <v>45717</v>
      </c>
      <c r="F146" s="131" t="s">
        <v>382</v>
      </c>
      <c r="G146" s="129" t="s">
        <v>377</v>
      </c>
      <c r="H146" s="137">
        <v>0.79166666666666696</v>
      </c>
      <c r="I146" s="137">
        <v>0.29166666666666702</v>
      </c>
      <c r="J146" s="132"/>
      <c r="K146" s="169">
        <v>38.159999999999997</v>
      </c>
      <c r="L146" s="133">
        <f t="shared" si="6"/>
        <v>0</v>
      </c>
      <c r="M146" s="132"/>
      <c r="N146" s="169">
        <v>229.42</v>
      </c>
      <c r="O146" s="133">
        <f t="shared" si="7"/>
        <v>0</v>
      </c>
      <c r="P146" s="132"/>
      <c r="Q146" s="132"/>
      <c r="R146" s="132"/>
      <c r="S146" s="132"/>
      <c r="T146" s="132">
        <f>Tabela4[[#This Row],[Valor do contrato sem o equipamento]]/30.4375*3</f>
        <v>0</v>
      </c>
      <c r="U146" s="132">
        <f>Tabela4[[#This Row],[Valor contrato]]*(30.4375-Tabela4[[#This Row],[Dias inoperantes]])/30.4375</f>
        <v>0</v>
      </c>
      <c r="V146" s="134"/>
      <c r="W146" s="135"/>
      <c r="X146" s="140"/>
      <c r="Y146" s="135">
        <f>Tabela4[[#This Row],[Diferença]]*Tabela4[[#This Row],[Quantidade]]</f>
        <v>0</v>
      </c>
    </row>
    <row r="147" spans="2:25" ht="15" hidden="1" thickBot="1">
      <c r="B147" s="129" t="s">
        <v>14</v>
      </c>
      <c r="C147" s="129" t="s">
        <v>32</v>
      </c>
      <c r="D147" s="129" t="s">
        <v>39</v>
      </c>
      <c r="E147" s="130">
        <v>45717</v>
      </c>
      <c r="F147" s="131" t="s">
        <v>376</v>
      </c>
      <c r="G147" s="129" t="s">
        <v>379</v>
      </c>
      <c r="H147" s="137">
        <v>0.29166666666666702</v>
      </c>
      <c r="I147" s="137">
        <v>0.625</v>
      </c>
      <c r="J147" s="132"/>
      <c r="K147" s="169">
        <v>25.53</v>
      </c>
      <c r="L147" s="133">
        <f t="shared" si="6"/>
        <v>0</v>
      </c>
      <c r="M147" s="132"/>
      <c r="N147" s="169">
        <v>184.54</v>
      </c>
      <c r="O147" s="133">
        <f t="shared" si="7"/>
        <v>0</v>
      </c>
      <c r="P147" s="132"/>
      <c r="Q147" s="132"/>
      <c r="R147" s="132"/>
      <c r="S147" s="132"/>
      <c r="T147" s="132">
        <f>Tabela4[[#This Row],[Valor do contrato sem o equipamento]]/30.4375*3</f>
        <v>0</v>
      </c>
      <c r="U147" s="132">
        <f>Tabela4[[#This Row],[Valor contrato]]*(30.4375-Tabela4[[#This Row],[Dias inoperantes]])/30.4375</f>
        <v>0</v>
      </c>
      <c r="V147" s="134"/>
      <c r="W147" s="135"/>
      <c r="X147" s="140"/>
      <c r="Y147" s="135">
        <f>Tabela4[[#This Row],[Diferença]]*Tabela4[[#This Row],[Quantidade]]</f>
        <v>0</v>
      </c>
    </row>
    <row r="148" spans="2:25" ht="15" hidden="1" thickBot="1">
      <c r="B148" s="129" t="s">
        <v>14</v>
      </c>
      <c r="C148" s="129" t="s">
        <v>32</v>
      </c>
      <c r="D148" s="129" t="s">
        <v>39</v>
      </c>
      <c r="E148" s="130">
        <v>45717</v>
      </c>
      <c r="F148" s="131" t="s">
        <v>376</v>
      </c>
      <c r="G148" s="129" t="s">
        <v>379</v>
      </c>
      <c r="H148" s="137">
        <v>0.64583333333333304</v>
      </c>
      <c r="I148" s="137">
        <v>0.999999999999997</v>
      </c>
      <c r="J148" s="132">
        <v>6.5</v>
      </c>
      <c r="K148" s="169">
        <v>27.11</v>
      </c>
      <c r="L148" s="133">
        <f t="shared" si="6"/>
        <v>176.215</v>
      </c>
      <c r="M148" s="132">
        <v>0</v>
      </c>
      <c r="N148" s="169">
        <v>195.91</v>
      </c>
      <c r="O148" s="133">
        <f t="shared" si="7"/>
        <v>0</v>
      </c>
      <c r="P148" s="132"/>
      <c r="Q148" s="132"/>
      <c r="R148" s="132"/>
      <c r="S148" s="132"/>
      <c r="T148" s="132">
        <f>Tabela4[[#This Row],[Valor do contrato sem o equipamento]]/30.4375*3</f>
        <v>0</v>
      </c>
      <c r="U148" s="132">
        <f>Tabela4[[#This Row],[Valor contrato]]*(30.4375-Tabela4[[#This Row],[Dias inoperantes]])/30.4375</f>
        <v>0</v>
      </c>
      <c r="V148" s="134"/>
      <c r="W148" s="135"/>
      <c r="X148" s="140"/>
      <c r="Y148" s="135">
        <f>Tabela4[[#This Row],[Diferença]]*Tabela4[[#This Row],[Quantidade]]</f>
        <v>0</v>
      </c>
    </row>
    <row r="149" spans="2:25" ht="15" hidden="1" thickBot="1">
      <c r="B149" s="129" t="s">
        <v>14</v>
      </c>
      <c r="C149" s="129" t="s">
        <v>32</v>
      </c>
      <c r="D149" s="129" t="s">
        <v>39</v>
      </c>
      <c r="E149" s="130">
        <v>45717</v>
      </c>
      <c r="F149" s="131" t="s">
        <v>383</v>
      </c>
      <c r="G149" s="129" t="s">
        <v>377</v>
      </c>
      <c r="H149" s="137">
        <v>0.29166666666666702</v>
      </c>
      <c r="I149" s="137">
        <v>0.79166666666666696</v>
      </c>
      <c r="J149" s="132"/>
      <c r="K149" s="169">
        <v>39.85</v>
      </c>
      <c r="L149" s="133">
        <f t="shared" si="6"/>
        <v>0</v>
      </c>
      <c r="M149" s="132"/>
      <c r="N149" s="169">
        <v>239.62</v>
      </c>
      <c r="O149" s="133">
        <f t="shared" si="7"/>
        <v>0</v>
      </c>
      <c r="P149" s="132"/>
      <c r="Q149" s="132"/>
      <c r="R149" s="132"/>
      <c r="S149" s="132"/>
      <c r="T149" s="132">
        <f>Tabela4[[#This Row],[Valor do contrato sem o equipamento]]/30.4375*3</f>
        <v>0</v>
      </c>
      <c r="U149" s="132">
        <f>Tabela4[[#This Row],[Valor contrato]]*(30.4375-Tabela4[[#This Row],[Dias inoperantes]])/30.4375</f>
        <v>0</v>
      </c>
      <c r="V149" s="134"/>
      <c r="W149" s="135"/>
      <c r="X149" s="140"/>
      <c r="Y149" s="135">
        <f>Tabela4[[#This Row],[Diferença]]*Tabela4[[#This Row],[Quantidade]]</f>
        <v>0</v>
      </c>
    </row>
    <row r="150" spans="2:25" ht="15" hidden="1" thickBot="1">
      <c r="B150" s="129" t="s">
        <v>14</v>
      </c>
      <c r="C150" s="129" t="s">
        <v>32</v>
      </c>
      <c r="D150" s="129" t="s">
        <v>39</v>
      </c>
      <c r="E150" s="130">
        <v>45717</v>
      </c>
      <c r="F150" s="131" t="s">
        <v>384</v>
      </c>
      <c r="G150" s="129" t="s">
        <v>359</v>
      </c>
      <c r="H150" s="137">
        <v>0.33333333333333298</v>
      </c>
      <c r="I150" s="137">
        <v>0.74166666666666703</v>
      </c>
      <c r="J150" s="132"/>
      <c r="K150" s="169">
        <v>5.82</v>
      </c>
      <c r="L150" s="133">
        <f t="shared" si="6"/>
        <v>0</v>
      </c>
      <c r="M150" s="132"/>
      <c r="N150" s="169">
        <v>42.08</v>
      </c>
      <c r="O150" s="133">
        <f t="shared" si="7"/>
        <v>0</v>
      </c>
      <c r="P150" s="132"/>
      <c r="Q150" s="132"/>
      <c r="R150" s="132"/>
      <c r="S150" s="132"/>
      <c r="T150" s="132">
        <f>Tabela4[[#This Row],[Valor do contrato sem o equipamento]]/30.4375*3</f>
        <v>0</v>
      </c>
      <c r="U150" s="132">
        <f>Tabela4[[#This Row],[Valor contrato]]*(30.4375-Tabela4[[#This Row],[Dias inoperantes]])/30.4375</f>
        <v>0</v>
      </c>
      <c r="V150" s="134"/>
      <c r="W150" s="135"/>
      <c r="X150" s="140"/>
      <c r="Y150" s="135">
        <f>Tabela4[[#This Row],[Diferença]]*Tabela4[[#This Row],[Quantidade]]</f>
        <v>0</v>
      </c>
    </row>
    <row r="151" spans="2:25" ht="15" hidden="1" thickBot="1">
      <c r="B151" s="129" t="s">
        <v>14</v>
      </c>
      <c r="C151" s="129" t="s">
        <v>32</v>
      </c>
      <c r="D151" s="129" t="s">
        <v>39</v>
      </c>
      <c r="E151" s="130">
        <v>45717</v>
      </c>
      <c r="F151" s="131" t="s">
        <v>383</v>
      </c>
      <c r="G151" s="129" t="s">
        <v>377</v>
      </c>
      <c r="H151" s="137">
        <v>0.79166666666666696</v>
      </c>
      <c r="I151" s="137">
        <v>0.29166666666666702</v>
      </c>
      <c r="J151" s="132"/>
      <c r="K151" s="169">
        <v>44.54</v>
      </c>
      <c r="L151" s="133">
        <f t="shared" si="6"/>
        <v>0</v>
      </c>
      <c r="M151" s="132"/>
      <c r="N151" s="169">
        <v>267.79000000000002</v>
      </c>
      <c r="O151" s="133">
        <f t="shared" si="7"/>
        <v>0</v>
      </c>
      <c r="P151" s="132"/>
      <c r="Q151" s="132"/>
      <c r="R151" s="132"/>
      <c r="S151" s="132"/>
      <c r="T151" s="132">
        <f>Tabela4[[#This Row],[Valor do contrato sem o equipamento]]/30.4375*3</f>
        <v>0</v>
      </c>
      <c r="U151" s="132">
        <f>Tabela4[[#This Row],[Valor contrato]]*(30.4375-Tabela4[[#This Row],[Dias inoperantes]])/30.4375</f>
        <v>0</v>
      </c>
      <c r="V151" s="134"/>
      <c r="W151" s="135"/>
      <c r="X151" s="140"/>
      <c r="Y151" s="135">
        <f>Tabela4[[#This Row],[Diferença]]*Tabela4[[#This Row],[Quantidade]]</f>
        <v>0</v>
      </c>
    </row>
    <row r="152" spans="2:25" ht="15" hidden="1" thickBot="1">
      <c r="B152" s="129" t="s">
        <v>14</v>
      </c>
      <c r="C152" s="129" t="s">
        <v>32</v>
      </c>
      <c r="D152" s="129" t="s">
        <v>39</v>
      </c>
      <c r="E152" s="130">
        <v>45717</v>
      </c>
      <c r="F152" s="131" t="s">
        <v>376</v>
      </c>
      <c r="G152" s="129" t="s">
        <v>377</v>
      </c>
      <c r="H152" s="137">
        <v>0.79166666666666696</v>
      </c>
      <c r="I152" s="137">
        <v>0.29166666666666702</v>
      </c>
      <c r="J152" s="132"/>
      <c r="K152" s="169">
        <v>43.18</v>
      </c>
      <c r="L152" s="133">
        <f t="shared" si="6"/>
        <v>0</v>
      </c>
      <c r="M152" s="132"/>
      <c r="N152" s="169">
        <v>259.64</v>
      </c>
      <c r="O152" s="133">
        <f t="shared" si="7"/>
        <v>0</v>
      </c>
      <c r="P152" s="132"/>
      <c r="Q152" s="132"/>
      <c r="R152" s="132"/>
      <c r="S152" s="132"/>
      <c r="T152" s="132">
        <f>Tabela4[[#This Row],[Valor do contrato sem o equipamento]]/30.4375*3</f>
        <v>0</v>
      </c>
      <c r="U152" s="132">
        <f>Tabela4[[#This Row],[Valor contrato]]*(30.4375-Tabela4[[#This Row],[Dias inoperantes]])/30.4375</f>
        <v>0</v>
      </c>
      <c r="V152" s="134"/>
      <c r="W152" s="135"/>
      <c r="X152" s="140"/>
      <c r="Y152" s="135">
        <f>Tabela4[[#This Row],[Diferença]]*Tabela4[[#This Row],[Quantidade]]</f>
        <v>0</v>
      </c>
    </row>
    <row r="153" spans="2:25" ht="15" hidden="1" thickBot="1">
      <c r="B153" s="129" t="s">
        <v>14</v>
      </c>
      <c r="C153" s="129" t="s">
        <v>32</v>
      </c>
      <c r="D153" s="129" t="s">
        <v>39</v>
      </c>
      <c r="E153" s="130">
        <v>45717</v>
      </c>
      <c r="F153" s="131" t="s">
        <v>383</v>
      </c>
      <c r="G153" s="129" t="s">
        <v>379</v>
      </c>
      <c r="H153" s="137">
        <v>0.41666666666666702</v>
      </c>
      <c r="I153" s="137">
        <v>0.78333333333333299</v>
      </c>
      <c r="J153" s="132"/>
      <c r="K153" s="169">
        <v>30.86</v>
      </c>
      <c r="L153" s="133">
        <f t="shared" si="6"/>
        <v>0</v>
      </c>
      <c r="M153" s="132"/>
      <c r="N153" s="169">
        <v>223.04</v>
      </c>
      <c r="O153" s="133">
        <f t="shared" si="7"/>
        <v>0</v>
      </c>
      <c r="P153" s="132"/>
      <c r="Q153" s="132"/>
      <c r="R153" s="132"/>
      <c r="S153" s="132"/>
      <c r="T153" s="132">
        <f>Tabela4[[#This Row],[Valor do contrato sem o equipamento]]/30.4375*3</f>
        <v>0</v>
      </c>
      <c r="U153" s="132">
        <f>Tabela4[[#This Row],[Valor contrato]]*(30.4375-Tabela4[[#This Row],[Dias inoperantes]])/30.4375</f>
        <v>0</v>
      </c>
      <c r="V153" s="134"/>
      <c r="W153" s="135"/>
      <c r="X153" s="140"/>
      <c r="Y153" s="135">
        <f>Tabela4[[#This Row],[Diferença]]*Tabela4[[#This Row],[Quantidade]]</f>
        <v>0</v>
      </c>
    </row>
    <row r="154" spans="2:25" ht="15" hidden="1" thickBot="1">
      <c r="B154" s="129" t="s">
        <v>14</v>
      </c>
      <c r="C154" s="129" t="s">
        <v>32</v>
      </c>
      <c r="D154" s="129" t="s">
        <v>39</v>
      </c>
      <c r="E154" s="130">
        <v>45717</v>
      </c>
      <c r="F154" s="131" t="s">
        <v>385</v>
      </c>
      <c r="G154" s="129" t="s">
        <v>377</v>
      </c>
      <c r="H154" s="137">
        <v>0.41666666666666702</v>
      </c>
      <c r="I154" s="137">
        <v>0.91666666666666696</v>
      </c>
      <c r="J154" s="132"/>
      <c r="K154" s="169">
        <v>38.68</v>
      </c>
      <c r="L154" s="133">
        <f t="shared" si="6"/>
        <v>0</v>
      </c>
      <c r="M154" s="132"/>
      <c r="N154" s="169">
        <v>232.55</v>
      </c>
      <c r="O154" s="133">
        <f t="shared" si="7"/>
        <v>0</v>
      </c>
      <c r="P154" s="132"/>
      <c r="Q154" s="132"/>
      <c r="R154" s="132"/>
      <c r="S154" s="132"/>
      <c r="T154" s="132">
        <f>Tabela4[[#This Row],[Valor do contrato sem o equipamento]]/30.4375*3</f>
        <v>0</v>
      </c>
      <c r="U154" s="132">
        <f>Tabela4[[#This Row],[Valor contrato]]*(30.4375-Tabela4[[#This Row],[Dias inoperantes]])/30.4375</f>
        <v>0</v>
      </c>
      <c r="V154" s="134"/>
      <c r="W154" s="135"/>
      <c r="X154" s="140"/>
      <c r="Y154" s="135">
        <f>Tabela4[[#This Row],[Diferença]]*Tabela4[[#This Row],[Quantidade]]</f>
        <v>0</v>
      </c>
    </row>
    <row r="155" spans="2:25" ht="15" hidden="1" thickBot="1">
      <c r="B155" s="129" t="s">
        <v>14</v>
      </c>
      <c r="C155" s="129" t="s">
        <v>32</v>
      </c>
      <c r="D155" s="129" t="s">
        <v>39</v>
      </c>
      <c r="E155" s="130">
        <v>45717</v>
      </c>
      <c r="F155" s="131" t="s">
        <v>382</v>
      </c>
      <c r="G155" s="129" t="s">
        <v>379</v>
      </c>
      <c r="H155" s="137">
        <v>0.41666666666666702</v>
      </c>
      <c r="I155" s="137">
        <v>0.78333333333333299</v>
      </c>
      <c r="J155" s="132"/>
      <c r="K155" s="169">
        <v>25.72</v>
      </c>
      <c r="L155" s="133">
        <f t="shared" si="6"/>
        <v>0</v>
      </c>
      <c r="M155" s="132"/>
      <c r="N155" s="169">
        <v>185.87</v>
      </c>
      <c r="O155" s="133">
        <f t="shared" si="7"/>
        <v>0</v>
      </c>
      <c r="P155" s="132"/>
      <c r="Q155" s="132"/>
      <c r="R155" s="132"/>
      <c r="S155" s="132"/>
      <c r="T155" s="132">
        <f>Tabela4[[#This Row],[Valor do contrato sem o equipamento]]/30.4375*3</f>
        <v>0</v>
      </c>
      <c r="U155" s="132">
        <f>Tabela4[[#This Row],[Valor contrato]]*(30.4375-Tabela4[[#This Row],[Dias inoperantes]])/30.4375</f>
        <v>0</v>
      </c>
      <c r="V155" s="134"/>
      <c r="W155" s="135"/>
      <c r="X155" s="140"/>
      <c r="Y155" s="135">
        <f>Tabela4[[#This Row],[Diferença]]*Tabela4[[#This Row],[Quantidade]]</f>
        <v>0</v>
      </c>
    </row>
    <row r="156" spans="2:25" ht="15" hidden="1" thickBot="1">
      <c r="B156" s="129" t="s">
        <v>14</v>
      </c>
      <c r="C156" s="129" t="s">
        <v>32</v>
      </c>
      <c r="D156" s="129" t="s">
        <v>39</v>
      </c>
      <c r="E156" s="130">
        <v>45717</v>
      </c>
      <c r="F156" s="131" t="s">
        <v>382</v>
      </c>
      <c r="G156" s="129" t="s">
        <v>377</v>
      </c>
      <c r="H156" s="137">
        <v>0.41666666666666702</v>
      </c>
      <c r="I156" s="137">
        <v>0.91666666666666696</v>
      </c>
      <c r="J156" s="132"/>
      <c r="K156" s="169">
        <v>34.25</v>
      </c>
      <c r="L156" s="133">
        <f t="shared" si="6"/>
        <v>0</v>
      </c>
      <c r="M156" s="132"/>
      <c r="N156" s="169">
        <v>205.95</v>
      </c>
      <c r="O156" s="133">
        <f t="shared" si="7"/>
        <v>0</v>
      </c>
      <c r="P156" s="132"/>
      <c r="Q156" s="132"/>
      <c r="R156" s="132"/>
      <c r="S156" s="132"/>
      <c r="T156" s="132">
        <f>Tabela4[[#This Row],[Valor do contrato sem o equipamento]]/30.4375*3</f>
        <v>0</v>
      </c>
      <c r="U156" s="132">
        <f>Tabela4[[#This Row],[Valor contrato]]*(30.4375-Tabela4[[#This Row],[Dias inoperantes]])/30.4375</f>
        <v>0</v>
      </c>
      <c r="V156" s="134"/>
      <c r="W156" s="135"/>
      <c r="X156" s="140"/>
      <c r="Y156" s="135">
        <f>Tabela4[[#This Row],[Diferença]]*Tabela4[[#This Row],[Quantidade]]</f>
        <v>0</v>
      </c>
    </row>
    <row r="157" spans="2:25" ht="15" hidden="1" thickBot="1">
      <c r="B157" s="129" t="s">
        <v>14</v>
      </c>
      <c r="C157" s="129" t="s">
        <v>32</v>
      </c>
      <c r="D157" s="129" t="s">
        <v>39</v>
      </c>
      <c r="E157" s="130">
        <v>45748</v>
      </c>
      <c r="F157" s="131" t="s">
        <v>380</v>
      </c>
      <c r="G157" s="129" t="s">
        <v>377</v>
      </c>
      <c r="H157" s="137">
        <v>0.41666666666666702</v>
      </c>
      <c r="I157" s="137">
        <v>0.91666666666666696</v>
      </c>
      <c r="J157" s="132"/>
      <c r="K157" s="169">
        <v>66.17</v>
      </c>
      <c r="L157" s="133">
        <f t="shared" si="6"/>
        <v>0</v>
      </c>
      <c r="M157" s="132"/>
      <c r="N157" s="169">
        <v>397.83</v>
      </c>
      <c r="O157" s="133">
        <f t="shared" si="7"/>
        <v>0</v>
      </c>
      <c r="P157" s="132"/>
      <c r="Q157" s="132"/>
      <c r="R157" s="132"/>
      <c r="S157" s="132"/>
      <c r="T157" s="132">
        <f>Tabela4[[#This Row],[Valor do contrato sem o equipamento]]/30.4375*3</f>
        <v>0</v>
      </c>
      <c r="U157" s="132">
        <f>Tabela4[[#This Row],[Valor contrato]]*(30.4375-Tabela4[[#This Row],[Dias inoperantes]])/30.4375</f>
        <v>0</v>
      </c>
      <c r="V157" s="134"/>
      <c r="W157" s="135"/>
      <c r="X157" s="140"/>
      <c r="Y157" s="135">
        <f>Tabela4[[#This Row],[Diferença]]*Tabela4[[#This Row],[Quantidade]]</f>
        <v>0</v>
      </c>
    </row>
    <row r="158" spans="2:25" ht="15" hidden="1" thickBot="1">
      <c r="B158" s="129" t="s">
        <v>14</v>
      </c>
      <c r="C158" s="129" t="s">
        <v>32</v>
      </c>
      <c r="D158" s="129" t="s">
        <v>39</v>
      </c>
      <c r="E158" s="130">
        <v>45748</v>
      </c>
      <c r="F158" s="131" t="s">
        <v>381</v>
      </c>
      <c r="G158" s="129" t="s">
        <v>377</v>
      </c>
      <c r="H158" s="137">
        <v>0.41666666666666702</v>
      </c>
      <c r="I158" s="137">
        <v>0.91666666666666696</v>
      </c>
      <c r="J158" s="132"/>
      <c r="K158" s="169">
        <v>0</v>
      </c>
      <c r="L158" s="133">
        <f t="shared" si="6"/>
        <v>0</v>
      </c>
      <c r="M158" s="132"/>
      <c r="N158" s="169">
        <v>32.99</v>
      </c>
      <c r="O158" s="133">
        <f t="shared" si="7"/>
        <v>0</v>
      </c>
      <c r="P158" s="132"/>
      <c r="Q158" s="132"/>
      <c r="R158" s="132"/>
      <c r="S158" s="132"/>
      <c r="T158" s="132">
        <f>Tabela4[[#This Row],[Valor do contrato sem o equipamento]]/30.4375*3</f>
        <v>0</v>
      </c>
      <c r="U158" s="132">
        <f>Tabela4[[#This Row],[Valor contrato]]*(30.4375-Tabela4[[#This Row],[Dias inoperantes]])/30.4375</f>
        <v>0</v>
      </c>
      <c r="V158" s="134"/>
      <c r="W158" s="135"/>
      <c r="X158" s="140"/>
      <c r="Y158" s="135">
        <f>Tabela4[[#This Row],[Diferença]]*Tabela4[[#This Row],[Quantidade]]</f>
        <v>0</v>
      </c>
    </row>
    <row r="159" spans="2:25" ht="15" hidden="1" thickBot="1">
      <c r="B159" s="129" t="s">
        <v>14</v>
      </c>
      <c r="C159" s="129" t="s">
        <v>32</v>
      </c>
      <c r="D159" s="129" t="s">
        <v>39</v>
      </c>
      <c r="E159" s="130">
        <v>45748</v>
      </c>
      <c r="F159" s="131" t="s">
        <v>376</v>
      </c>
      <c r="G159" s="129" t="s">
        <v>377</v>
      </c>
      <c r="H159" s="137">
        <v>0.41666666666666702</v>
      </c>
      <c r="I159" s="137">
        <v>0.91666666666666696</v>
      </c>
      <c r="J159" s="132">
        <v>11</v>
      </c>
      <c r="K159" s="169">
        <v>34.479999999999997</v>
      </c>
      <c r="L159" s="133">
        <f t="shared" si="6"/>
        <v>379.28</v>
      </c>
      <c r="M159" s="132">
        <v>7</v>
      </c>
      <c r="N159" s="169">
        <v>207.33</v>
      </c>
      <c r="O159" s="133">
        <f t="shared" si="7"/>
        <v>1451.3100000000002</v>
      </c>
      <c r="P159" s="132"/>
      <c r="Q159" s="132"/>
      <c r="R159" s="132"/>
      <c r="S159" s="132"/>
      <c r="T159" s="132">
        <f>Tabela4[[#This Row],[Valor do contrato sem o equipamento]]/30.4375*3</f>
        <v>0</v>
      </c>
      <c r="U159" s="132">
        <f>Tabela4[[#This Row],[Valor contrato]]*(30.4375-Tabela4[[#This Row],[Dias inoperantes]])/30.4375</f>
        <v>0</v>
      </c>
      <c r="V159" s="134"/>
      <c r="W159" s="135"/>
      <c r="X159" s="140"/>
      <c r="Y159" s="135">
        <f>Tabela4[[#This Row],[Diferença]]*Tabela4[[#This Row],[Quantidade]]</f>
        <v>0</v>
      </c>
    </row>
    <row r="160" spans="2:25" ht="15" hidden="1" thickBot="1">
      <c r="B160" s="129" t="s">
        <v>14</v>
      </c>
      <c r="C160" s="129" t="s">
        <v>32</v>
      </c>
      <c r="D160" s="129" t="s">
        <v>39</v>
      </c>
      <c r="E160" s="130">
        <v>45748</v>
      </c>
      <c r="F160" s="131" t="s">
        <v>376</v>
      </c>
      <c r="G160" s="129" t="s">
        <v>377</v>
      </c>
      <c r="H160" s="137">
        <v>0.29166666666666702</v>
      </c>
      <c r="I160" s="137">
        <v>0.79166666666666696</v>
      </c>
      <c r="J160" s="132"/>
      <c r="K160" s="169">
        <v>34.25</v>
      </c>
      <c r="L160" s="133">
        <f t="shared" si="6"/>
        <v>0</v>
      </c>
      <c r="M160" s="132"/>
      <c r="N160" s="169">
        <v>205.95</v>
      </c>
      <c r="O160" s="133">
        <f t="shared" si="7"/>
        <v>0</v>
      </c>
      <c r="P160" s="132"/>
      <c r="Q160" s="132"/>
      <c r="R160" s="132"/>
      <c r="S160" s="132"/>
      <c r="T160" s="132">
        <f>Tabela4[[#This Row],[Valor do contrato sem o equipamento]]/30.4375*3</f>
        <v>0</v>
      </c>
      <c r="U160" s="132">
        <f>Tabela4[[#This Row],[Valor contrato]]*(30.4375-Tabela4[[#This Row],[Dias inoperantes]])/30.4375</f>
        <v>0</v>
      </c>
      <c r="V160" s="134"/>
      <c r="W160" s="135"/>
      <c r="X160" s="140"/>
      <c r="Y160" s="135">
        <f>Tabela4[[#This Row],[Diferença]]*Tabela4[[#This Row],[Quantidade]]</f>
        <v>0</v>
      </c>
    </row>
    <row r="161" spans="2:25" ht="15" hidden="1" thickBot="1">
      <c r="B161" s="129" t="s">
        <v>14</v>
      </c>
      <c r="C161" s="129" t="s">
        <v>32</v>
      </c>
      <c r="D161" s="129" t="s">
        <v>39</v>
      </c>
      <c r="E161" s="130">
        <v>45748</v>
      </c>
      <c r="F161" s="131" t="s">
        <v>376</v>
      </c>
      <c r="G161" s="129" t="s">
        <v>377</v>
      </c>
      <c r="H161" s="137">
        <v>0.79166666666666696</v>
      </c>
      <c r="I161" s="137">
        <v>0.29166666666666702</v>
      </c>
      <c r="J161" s="132">
        <f>24</f>
        <v>24</v>
      </c>
      <c r="K161" s="169">
        <v>38.159999999999997</v>
      </c>
      <c r="L161" s="133">
        <f t="shared" si="6"/>
        <v>915.83999999999992</v>
      </c>
      <c r="M161" s="132"/>
      <c r="N161" s="169">
        <v>229.42</v>
      </c>
      <c r="O161" s="133">
        <f t="shared" si="7"/>
        <v>0</v>
      </c>
      <c r="P161" s="132"/>
      <c r="Q161" s="132"/>
      <c r="R161" s="132"/>
      <c r="S161" s="132"/>
      <c r="T161" s="132">
        <f>Tabela4[[#This Row],[Valor do contrato sem o equipamento]]/30.4375*3</f>
        <v>0</v>
      </c>
      <c r="U161" s="132">
        <f>Tabela4[[#This Row],[Valor contrato]]*(30.4375-Tabela4[[#This Row],[Dias inoperantes]])/30.4375</f>
        <v>0</v>
      </c>
      <c r="V161" s="134"/>
      <c r="W161" s="135"/>
      <c r="X161" s="140"/>
      <c r="Y161" s="135">
        <f>Tabela4[[#This Row],[Diferença]]*Tabela4[[#This Row],[Quantidade]]</f>
        <v>0</v>
      </c>
    </row>
    <row r="162" spans="2:25" ht="15" hidden="1" thickBot="1">
      <c r="B162" s="129" t="s">
        <v>14</v>
      </c>
      <c r="C162" s="129" t="s">
        <v>32</v>
      </c>
      <c r="D162" s="129" t="s">
        <v>39</v>
      </c>
      <c r="E162" s="130">
        <v>45748</v>
      </c>
      <c r="F162" s="131" t="s">
        <v>382</v>
      </c>
      <c r="G162" s="129" t="s">
        <v>377</v>
      </c>
      <c r="H162" s="137">
        <v>0.79166666666666696</v>
      </c>
      <c r="I162" s="137">
        <v>0.29166666666666702</v>
      </c>
      <c r="J162" s="132"/>
      <c r="K162" s="169">
        <v>38.159999999999997</v>
      </c>
      <c r="L162" s="133">
        <f t="shared" si="6"/>
        <v>0</v>
      </c>
      <c r="M162" s="132"/>
      <c r="N162" s="169">
        <v>229.42</v>
      </c>
      <c r="O162" s="133">
        <f t="shared" si="7"/>
        <v>0</v>
      </c>
      <c r="P162" s="132"/>
      <c r="Q162" s="132"/>
      <c r="R162" s="132"/>
      <c r="S162" s="132"/>
      <c r="T162" s="132">
        <f>Tabela4[[#This Row],[Valor do contrato sem o equipamento]]/30.4375*3</f>
        <v>0</v>
      </c>
      <c r="U162" s="132">
        <f>Tabela4[[#This Row],[Valor contrato]]*(30.4375-Tabela4[[#This Row],[Dias inoperantes]])/30.4375</f>
        <v>0</v>
      </c>
      <c r="V162" s="134"/>
      <c r="W162" s="135"/>
      <c r="X162" s="140"/>
      <c r="Y162" s="135">
        <f>Tabela4[[#This Row],[Diferença]]*Tabela4[[#This Row],[Quantidade]]</f>
        <v>0</v>
      </c>
    </row>
    <row r="163" spans="2:25" ht="15" hidden="1" thickBot="1">
      <c r="B163" s="129" t="s">
        <v>14</v>
      </c>
      <c r="C163" s="129" t="s">
        <v>32</v>
      </c>
      <c r="D163" s="129" t="s">
        <v>39</v>
      </c>
      <c r="E163" s="130">
        <v>45748</v>
      </c>
      <c r="F163" s="131" t="s">
        <v>376</v>
      </c>
      <c r="G163" s="129" t="s">
        <v>379</v>
      </c>
      <c r="H163" s="137">
        <v>0.29166666666666702</v>
      </c>
      <c r="I163" s="137">
        <v>0.625</v>
      </c>
      <c r="J163" s="132">
        <v>8.5</v>
      </c>
      <c r="K163" s="169">
        <v>25.53</v>
      </c>
      <c r="L163" s="133">
        <f t="shared" si="6"/>
        <v>217.005</v>
      </c>
      <c r="M163" s="132"/>
      <c r="N163" s="169">
        <v>184.54</v>
      </c>
      <c r="O163" s="133">
        <f t="shared" si="7"/>
        <v>0</v>
      </c>
      <c r="P163" s="132"/>
      <c r="Q163" s="132"/>
      <c r="R163" s="132"/>
      <c r="S163" s="132"/>
      <c r="T163" s="132">
        <f>Tabela4[[#This Row],[Valor do contrato sem o equipamento]]/30.4375*3</f>
        <v>0</v>
      </c>
      <c r="U163" s="132">
        <f>Tabela4[[#This Row],[Valor contrato]]*(30.4375-Tabela4[[#This Row],[Dias inoperantes]])/30.4375</f>
        <v>0</v>
      </c>
      <c r="V163" s="134"/>
      <c r="W163" s="135"/>
      <c r="X163" s="140"/>
      <c r="Y163" s="135">
        <f>Tabela4[[#This Row],[Diferença]]*Tabela4[[#This Row],[Quantidade]]</f>
        <v>0</v>
      </c>
    </row>
    <row r="164" spans="2:25" ht="15" hidden="1" thickBot="1">
      <c r="B164" s="129" t="s">
        <v>14</v>
      </c>
      <c r="C164" s="129" t="s">
        <v>32</v>
      </c>
      <c r="D164" s="129" t="s">
        <v>39</v>
      </c>
      <c r="E164" s="130">
        <v>45748</v>
      </c>
      <c r="F164" s="131" t="s">
        <v>376</v>
      </c>
      <c r="G164" s="129" t="s">
        <v>379</v>
      </c>
      <c r="H164" s="137">
        <v>0.64583333333333304</v>
      </c>
      <c r="I164" s="137">
        <v>0.999999999999997</v>
      </c>
      <c r="J164" s="132"/>
      <c r="K164" s="169">
        <v>27.11</v>
      </c>
      <c r="L164" s="133">
        <f t="shared" si="6"/>
        <v>0</v>
      </c>
      <c r="M164" s="132"/>
      <c r="N164" s="169">
        <v>195.91</v>
      </c>
      <c r="O164" s="133">
        <f t="shared" si="7"/>
        <v>0</v>
      </c>
      <c r="P164" s="132"/>
      <c r="Q164" s="132"/>
      <c r="R164" s="132"/>
      <c r="S164" s="132"/>
      <c r="T164" s="132">
        <f>Tabela4[[#This Row],[Valor do contrato sem o equipamento]]/30.4375*3</f>
        <v>0</v>
      </c>
      <c r="U164" s="132">
        <f>Tabela4[[#This Row],[Valor contrato]]*(30.4375-Tabela4[[#This Row],[Dias inoperantes]])/30.4375</f>
        <v>0</v>
      </c>
      <c r="V164" s="134"/>
      <c r="W164" s="135"/>
      <c r="X164" s="140"/>
      <c r="Y164" s="135">
        <f>Tabela4[[#This Row],[Diferença]]*Tabela4[[#This Row],[Quantidade]]</f>
        <v>0</v>
      </c>
    </row>
    <row r="165" spans="2:25" ht="15" hidden="1" thickBot="1">
      <c r="B165" s="129" t="s">
        <v>14</v>
      </c>
      <c r="C165" s="129" t="s">
        <v>32</v>
      </c>
      <c r="D165" s="129" t="s">
        <v>39</v>
      </c>
      <c r="E165" s="130">
        <v>45748</v>
      </c>
      <c r="F165" s="119" t="s">
        <v>383</v>
      </c>
      <c r="G165" s="129" t="s">
        <v>377</v>
      </c>
      <c r="H165" s="137">
        <v>0.29166666666666702</v>
      </c>
      <c r="I165" s="137">
        <v>0.79166666666666696</v>
      </c>
      <c r="J165" s="132"/>
      <c r="K165" s="169">
        <v>39.85</v>
      </c>
      <c r="L165" s="133">
        <f t="shared" si="6"/>
        <v>0</v>
      </c>
      <c r="M165" s="132"/>
      <c r="N165" s="169">
        <v>239.62</v>
      </c>
      <c r="O165" s="133">
        <f t="shared" si="7"/>
        <v>0</v>
      </c>
      <c r="P165" s="132"/>
      <c r="Q165" s="132"/>
      <c r="R165" s="132"/>
      <c r="S165" s="132"/>
      <c r="T165" s="132">
        <f>Tabela4[[#This Row],[Valor do contrato sem o equipamento]]/30.4375*3</f>
        <v>0</v>
      </c>
      <c r="U165" s="132">
        <f>Tabela4[[#This Row],[Valor contrato]]*(30.4375-Tabela4[[#This Row],[Dias inoperantes]])/30.4375</f>
        <v>0</v>
      </c>
      <c r="V165" s="134"/>
      <c r="W165" s="135"/>
      <c r="X165" s="140"/>
      <c r="Y165" s="135">
        <f>Tabela4[[#This Row],[Diferença]]*Tabela4[[#This Row],[Quantidade]]</f>
        <v>0</v>
      </c>
    </row>
    <row r="166" spans="2:25" ht="15" hidden="1" thickBot="1">
      <c r="B166" s="171" t="s">
        <v>14</v>
      </c>
      <c r="C166" s="171" t="s">
        <v>32</v>
      </c>
      <c r="D166" s="171" t="s">
        <v>39</v>
      </c>
      <c r="E166" s="172">
        <v>45748</v>
      </c>
      <c r="F166" s="173" t="s">
        <v>384</v>
      </c>
      <c r="G166" s="129" t="s">
        <v>359</v>
      </c>
      <c r="H166" s="137">
        <v>0.33333333333333298</v>
      </c>
      <c r="I166" s="137">
        <v>0.74166666666666703</v>
      </c>
      <c r="J166" s="132"/>
      <c r="K166" s="169">
        <v>5.82</v>
      </c>
      <c r="L166" s="133">
        <f t="shared" si="6"/>
        <v>0</v>
      </c>
      <c r="M166" s="132"/>
      <c r="N166" s="169">
        <v>42.08</v>
      </c>
      <c r="O166" s="133">
        <f t="shared" si="7"/>
        <v>0</v>
      </c>
      <c r="P166" s="174"/>
      <c r="Q166" s="132"/>
      <c r="R166" s="132"/>
      <c r="S166" s="132"/>
      <c r="T166" s="132">
        <f>Tabela4[[#This Row],[Valor do contrato sem o equipamento]]/30.4375*3</f>
        <v>0</v>
      </c>
      <c r="U166" s="132">
        <f>Tabela4[[#This Row],[Valor contrato]]*(30.4375-Tabela4[[#This Row],[Dias inoperantes]])/30.4375</f>
        <v>0</v>
      </c>
      <c r="V166" s="116"/>
      <c r="W166" s="150"/>
      <c r="X166" s="140"/>
      <c r="Y166" s="175">
        <f>Tabela4[[#This Row],[Diferença]]*Tabela4[[#This Row],[Quantidade]]</f>
        <v>0</v>
      </c>
    </row>
    <row r="167" spans="2:25" ht="15" hidden="1" thickBot="1">
      <c r="B167" s="129" t="s">
        <v>14</v>
      </c>
      <c r="C167" s="129" t="s">
        <v>32</v>
      </c>
      <c r="D167" s="129" t="s">
        <v>39</v>
      </c>
      <c r="E167" s="130">
        <v>45748</v>
      </c>
      <c r="F167" s="131" t="s">
        <v>383</v>
      </c>
      <c r="G167" s="129" t="s">
        <v>377</v>
      </c>
      <c r="H167" s="137">
        <v>0.79166666666666696</v>
      </c>
      <c r="I167" s="137">
        <v>0.29166666666666702</v>
      </c>
      <c r="J167" s="132">
        <v>4</v>
      </c>
      <c r="K167" s="169">
        <v>44.54</v>
      </c>
      <c r="L167" s="133">
        <f t="shared" si="6"/>
        <v>178.16</v>
      </c>
      <c r="M167" s="132"/>
      <c r="N167" s="169">
        <v>267.79000000000002</v>
      </c>
      <c r="O167" s="133">
        <f t="shared" si="7"/>
        <v>0</v>
      </c>
      <c r="P167" s="132"/>
      <c r="Q167" s="132"/>
      <c r="R167" s="132"/>
      <c r="S167" s="132"/>
      <c r="T167" s="132">
        <f>Tabela4[[#This Row],[Valor do contrato sem o equipamento]]/30.4375*3</f>
        <v>0</v>
      </c>
      <c r="U167" s="132">
        <f>Tabela4[[#This Row],[Valor contrato]]*(30.4375-Tabela4[[#This Row],[Dias inoperantes]])/30.4375</f>
        <v>0</v>
      </c>
      <c r="V167" s="134"/>
      <c r="W167" s="135"/>
      <c r="X167" s="140"/>
      <c r="Y167" s="135">
        <f>Tabela4[[#This Row],[Diferença]]*Tabela4[[#This Row],[Quantidade]]</f>
        <v>0</v>
      </c>
    </row>
    <row r="168" spans="2:25" ht="15" hidden="1" thickBot="1">
      <c r="B168" s="129" t="s">
        <v>14</v>
      </c>
      <c r="C168" s="129" t="s">
        <v>32</v>
      </c>
      <c r="D168" s="129" t="s">
        <v>39</v>
      </c>
      <c r="E168" s="130">
        <v>45748</v>
      </c>
      <c r="F168" s="131" t="s">
        <v>376</v>
      </c>
      <c r="G168" s="129" t="s">
        <v>377</v>
      </c>
      <c r="H168" s="137">
        <v>0.79166666666666696</v>
      </c>
      <c r="I168" s="137">
        <v>0.29166666666666702</v>
      </c>
      <c r="J168" s="132"/>
      <c r="K168" s="169">
        <v>43.18</v>
      </c>
      <c r="L168" s="133">
        <f t="shared" si="6"/>
        <v>0</v>
      </c>
      <c r="M168" s="132"/>
      <c r="N168" s="169">
        <v>259.64</v>
      </c>
      <c r="O168" s="133">
        <f t="shared" si="7"/>
        <v>0</v>
      </c>
      <c r="P168" s="132"/>
      <c r="Q168" s="132"/>
      <c r="R168" s="132"/>
      <c r="S168" s="132"/>
      <c r="T168" s="132">
        <f>Tabela4[[#This Row],[Valor do contrato sem o equipamento]]/30.4375*3</f>
        <v>0</v>
      </c>
      <c r="U168" s="132">
        <f>Tabela4[[#This Row],[Valor contrato]]*(30.4375-Tabela4[[#This Row],[Dias inoperantes]])/30.4375</f>
        <v>0</v>
      </c>
      <c r="V168" s="134"/>
      <c r="W168" s="135"/>
      <c r="X168" s="140"/>
      <c r="Y168" s="135">
        <f>Tabela4[[#This Row],[Diferença]]*Tabela4[[#This Row],[Quantidade]]</f>
        <v>0</v>
      </c>
    </row>
    <row r="169" spans="2:25" ht="15" hidden="1" thickBot="1">
      <c r="B169" s="129" t="s">
        <v>14</v>
      </c>
      <c r="C169" s="129" t="s">
        <v>32</v>
      </c>
      <c r="D169" s="129" t="s">
        <v>39</v>
      </c>
      <c r="E169" s="130">
        <v>45748</v>
      </c>
      <c r="F169" s="131" t="s">
        <v>383</v>
      </c>
      <c r="G169" s="129" t="s">
        <v>379</v>
      </c>
      <c r="H169" s="137">
        <v>0.41666666666666702</v>
      </c>
      <c r="I169" s="137">
        <v>0.78333333333333299</v>
      </c>
      <c r="J169" s="132"/>
      <c r="K169" s="169">
        <v>30.86</v>
      </c>
      <c r="L169" s="133">
        <f t="shared" si="6"/>
        <v>0</v>
      </c>
      <c r="M169" s="132"/>
      <c r="N169" s="169">
        <v>223.04</v>
      </c>
      <c r="O169" s="133">
        <f t="shared" si="7"/>
        <v>0</v>
      </c>
      <c r="P169" s="132"/>
      <c r="Q169" s="132"/>
      <c r="R169" s="132"/>
      <c r="S169" s="132"/>
      <c r="T169" s="132">
        <f>Tabela4[[#This Row],[Valor do contrato sem o equipamento]]/30.4375*3</f>
        <v>0</v>
      </c>
      <c r="U169" s="132">
        <f>Tabela4[[#This Row],[Valor contrato]]*(30.4375-Tabela4[[#This Row],[Dias inoperantes]])/30.4375</f>
        <v>0</v>
      </c>
      <c r="V169" s="134"/>
      <c r="W169" s="135"/>
      <c r="X169" s="140"/>
      <c r="Y169" s="135">
        <f>Tabela4[[#This Row],[Diferença]]*Tabela4[[#This Row],[Quantidade]]</f>
        <v>0</v>
      </c>
    </row>
    <row r="170" spans="2:25" ht="15" hidden="1" thickBot="1">
      <c r="B170" s="129" t="s">
        <v>14</v>
      </c>
      <c r="C170" s="129" t="s">
        <v>32</v>
      </c>
      <c r="D170" s="129" t="s">
        <v>39</v>
      </c>
      <c r="E170" s="130">
        <v>45748</v>
      </c>
      <c r="F170" s="131" t="s">
        <v>385</v>
      </c>
      <c r="G170" s="129" t="s">
        <v>377</v>
      </c>
      <c r="H170" s="137">
        <v>0.41666666666666702</v>
      </c>
      <c r="I170" s="137">
        <v>0.91666666666666696</v>
      </c>
      <c r="J170" s="132"/>
      <c r="K170" s="169">
        <v>38.68</v>
      </c>
      <c r="L170" s="133">
        <f t="shared" si="6"/>
        <v>0</v>
      </c>
      <c r="M170" s="132"/>
      <c r="N170" s="169">
        <v>232.55</v>
      </c>
      <c r="O170" s="133">
        <f t="shared" si="7"/>
        <v>0</v>
      </c>
      <c r="P170" s="132"/>
      <c r="Q170" s="132"/>
      <c r="R170" s="132"/>
      <c r="S170" s="132"/>
      <c r="T170" s="132">
        <f>Tabela4[[#This Row],[Valor do contrato sem o equipamento]]/30.4375*3</f>
        <v>0</v>
      </c>
      <c r="U170" s="132">
        <f>Tabela4[[#This Row],[Valor contrato]]*(30.4375-Tabela4[[#This Row],[Dias inoperantes]])/30.4375</f>
        <v>0</v>
      </c>
      <c r="V170" s="134"/>
      <c r="W170" s="135"/>
      <c r="X170" s="140"/>
      <c r="Y170" s="135">
        <f>Tabela4[[#This Row],[Diferença]]*Tabela4[[#This Row],[Quantidade]]</f>
        <v>0</v>
      </c>
    </row>
    <row r="171" spans="2:25" ht="15" hidden="1" thickBot="1">
      <c r="B171" s="129" t="s">
        <v>14</v>
      </c>
      <c r="C171" s="129" t="s">
        <v>32</v>
      </c>
      <c r="D171" s="129" t="s">
        <v>39</v>
      </c>
      <c r="E171" s="130">
        <v>45748</v>
      </c>
      <c r="F171" s="131" t="s">
        <v>382</v>
      </c>
      <c r="G171" s="129" t="s">
        <v>379</v>
      </c>
      <c r="H171" s="137">
        <v>0.41666666666666702</v>
      </c>
      <c r="I171" s="137">
        <v>0.78333333333333299</v>
      </c>
      <c r="J171" s="132"/>
      <c r="K171" s="169">
        <v>25.72</v>
      </c>
      <c r="L171" s="133">
        <f t="shared" si="6"/>
        <v>0</v>
      </c>
      <c r="M171" s="132"/>
      <c r="N171" s="169">
        <v>185.87</v>
      </c>
      <c r="O171" s="133">
        <f t="shared" si="7"/>
        <v>0</v>
      </c>
      <c r="P171" s="132"/>
      <c r="Q171" s="132"/>
      <c r="R171" s="132"/>
      <c r="S171" s="132"/>
      <c r="T171" s="132">
        <f>Tabela4[[#This Row],[Valor do contrato sem o equipamento]]/30.4375*3</f>
        <v>0</v>
      </c>
      <c r="U171" s="132">
        <f>Tabela4[[#This Row],[Valor contrato]]*(30.4375-Tabela4[[#This Row],[Dias inoperantes]])/30.4375</f>
        <v>0</v>
      </c>
      <c r="V171" s="134"/>
      <c r="W171" s="135"/>
      <c r="X171" s="140"/>
      <c r="Y171" s="135">
        <f>Tabela4[[#This Row],[Diferença]]*Tabela4[[#This Row],[Quantidade]]</f>
        <v>0</v>
      </c>
    </row>
    <row r="172" spans="2:25" ht="15" hidden="1" thickBot="1">
      <c r="B172" s="129" t="s">
        <v>14</v>
      </c>
      <c r="C172" s="129" t="s">
        <v>32</v>
      </c>
      <c r="D172" s="129" t="s">
        <v>39</v>
      </c>
      <c r="E172" s="130">
        <v>45748</v>
      </c>
      <c r="F172" s="131" t="s">
        <v>382</v>
      </c>
      <c r="G172" s="129" t="s">
        <v>377</v>
      </c>
      <c r="H172" s="137">
        <v>0.41666666666666702</v>
      </c>
      <c r="I172" s="137">
        <v>0.91666666666666696</v>
      </c>
      <c r="J172" s="132"/>
      <c r="K172" s="169">
        <v>34.25</v>
      </c>
      <c r="L172" s="133">
        <f t="shared" si="6"/>
        <v>0</v>
      </c>
      <c r="M172" s="132"/>
      <c r="N172" s="169">
        <v>205.95</v>
      </c>
      <c r="O172" s="133">
        <f t="shared" si="7"/>
        <v>0</v>
      </c>
      <c r="P172" s="132"/>
      <c r="Q172" s="132"/>
      <c r="R172" s="132"/>
      <c r="S172" s="132"/>
      <c r="T172" s="132">
        <f>Tabela4[[#This Row],[Valor do contrato sem o equipamento]]/30.4375*3</f>
        <v>0</v>
      </c>
      <c r="U172" s="132">
        <f>Tabela4[[#This Row],[Valor contrato]]*(30.4375-Tabela4[[#This Row],[Dias inoperantes]])/30.4375</f>
        <v>0</v>
      </c>
      <c r="V172" s="134"/>
      <c r="W172" s="135"/>
      <c r="X172" s="140"/>
      <c r="Y172" s="135">
        <f>Tabela4[[#This Row],[Diferença]]*Tabela4[[#This Row],[Quantidade]]</f>
        <v>0</v>
      </c>
    </row>
    <row r="173" spans="2:25" ht="15" hidden="1" thickBot="1">
      <c r="B173" s="113" t="s">
        <v>14</v>
      </c>
      <c r="C173" s="113" t="s">
        <v>32</v>
      </c>
      <c r="D173" s="113" t="s">
        <v>39</v>
      </c>
      <c r="E173" s="114">
        <v>45778</v>
      </c>
      <c r="F173" s="119" t="s">
        <v>376</v>
      </c>
      <c r="G173" s="113" t="s">
        <v>377</v>
      </c>
      <c r="H173" s="137">
        <v>0.41666666666666702</v>
      </c>
      <c r="I173" s="137">
        <v>0.91666666666666696</v>
      </c>
      <c r="J173" s="132">
        <f>12+9</f>
        <v>21</v>
      </c>
      <c r="K173" s="169">
        <v>34.479999999999997</v>
      </c>
      <c r="L173" s="133">
        <f t="shared" si="6"/>
        <v>724.07999999999993</v>
      </c>
      <c r="M173" s="132"/>
      <c r="N173" s="169">
        <v>207.33</v>
      </c>
      <c r="O173" s="133">
        <f t="shared" si="7"/>
        <v>0</v>
      </c>
      <c r="P173" s="132"/>
      <c r="Q173" s="132"/>
      <c r="R173" s="134"/>
      <c r="S173" s="134"/>
      <c r="T173" s="134">
        <f>Tabela4[[#This Row],[Valor do contrato sem o equipamento]]/30.4375*3</f>
        <v>0</v>
      </c>
      <c r="U173" s="134">
        <f>Tabela4[[#This Row],[Valor contrato]]*(30.4375-Tabela4[[#This Row],[Dias inoperantes]])/30.4375</f>
        <v>0</v>
      </c>
      <c r="V173" s="134"/>
      <c r="W173" s="135"/>
      <c r="X173" s="140"/>
      <c r="Y173" s="135">
        <f>Tabela4[[#This Row],[Diferença]]*Tabela4[[#This Row],[Quantidade]]</f>
        <v>0</v>
      </c>
    </row>
    <row r="174" spans="2:25" ht="15" hidden="1" thickBot="1">
      <c r="B174" s="113" t="s">
        <v>14</v>
      </c>
      <c r="C174" s="113" t="s">
        <v>32</v>
      </c>
      <c r="D174" s="113" t="s">
        <v>39</v>
      </c>
      <c r="E174" s="114">
        <v>45778</v>
      </c>
      <c r="F174" s="119" t="s">
        <v>376</v>
      </c>
      <c r="G174" s="113" t="s">
        <v>377</v>
      </c>
      <c r="H174" s="137">
        <v>0.79166666666666696</v>
      </c>
      <c r="I174" s="137">
        <v>0.29166666666666669</v>
      </c>
      <c r="J174" s="132">
        <v>12</v>
      </c>
      <c r="K174" s="169">
        <v>38.159999999999997</v>
      </c>
      <c r="L174" s="133">
        <f t="shared" si="6"/>
        <v>457.91999999999996</v>
      </c>
      <c r="M174" s="132"/>
      <c r="N174" s="169">
        <v>205.95</v>
      </c>
      <c r="O174" s="133">
        <f t="shared" si="7"/>
        <v>0</v>
      </c>
      <c r="P174" s="132"/>
      <c r="Q174" s="132"/>
      <c r="R174" s="134"/>
      <c r="S174" s="134"/>
      <c r="T174" s="134">
        <f>Tabela4[[#This Row],[Valor do contrato sem o equipamento]]/30.4375*3</f>
        <v>0</v>
      </c>
      <c r="U174" s="134">
        <f>Tabela4[[#This Row],[Valor contrato]]*(30.4375-Tabela4[[#This Row],[Dias inoperantes]])/30.4375</f>
        <v>0</v>
      </c>
      <c r="V174" s="134"/>
      <c r="W174" s="135"/>
      <c r="X174" s="140"/>
      <c r="Y174" s="135">
        <f>Tabela4[[#This Row],[Diferença]]*Tabela4[[#This Row],[Quantidade]]</f>
        <v>0</v>
      </c>
    </row>
    <row r="175" spans="2:25" ht="15" hidden="1" thickBot="1">
      <c r="B175" s="113" t="s">
        <v>14</v>
      </c>
      <c r="C175" s="113" t="s">
        <v>32</v>
      </c>
      <c r="D175" s="113" t="s">
        <v>39</v>
      </c>
      <c r="E175" s="114">
        <v>45778</v>
      </c>
      <c r="F175" s="177" t="s">
        <v>376</v>
      </c>
      <c r="G175" s="113" t="s">
        <v>379</v>
      </c>
      <c r="H175" s="137">
        <v>0.29166666666666702</v>
      </c>
      <c r="I175" s="137">
        <v>0.64583333333333337</v>
      </c>
      <c r="J175" s="132">
        <v>3</v>
      </c>
      <c r="K175" s="169">
        <v>25.53</v>
      </c>
      <c r="L175" s="133">
        <f t="shared" si="6"/>
        <v>76.59</v>
      </c>
      <c r="M175" s="132"/>
      <c r="N175" s="169">
        <v>184.54</v>
      </c>
      <c r="O175" s="133">
        <f t="shared" si="7"/>
        <v>0</v>
      </c>
      <c r="P175" s="132"/>
      <c r="Q175" s="132"/>
      <c r="R175" s="134"/>
      <c r="S175" s="134"/>
      <c r="T175" s="134">
        <f>Tabela4[[#This Row],[Valor do contrato sem o equipamento]]/30.4375*3</f>
        <v>0</v>
      </c>
      <c r="U175" s="134">
        <f>Tabela4[[#This Row],[Valor contrato]]*(30.4375-Tabela4[[#This Row],[Dias inoperantes]])/30.4375</f>
        <v>0</v>
      </c>
      <c r="V175" s="134"/>
      <c r="W175" s="135"/>
      <c r="X175" s="140"/>
      <c r="Y175" s="135">
        <f>Tabela4[[#This Row],[Diferença]]*Tabela4[[#This Row],[Quantidade]]</f>
        <v>0</v>
      </c>
    </row>
    <row r="176" spans="2:25" ht="15" hidden="1" thickBot="1">
      <c r="B176" s="129" t="s">
        <v>14</v>
      </c>
      <c r="C176" s="129" t="s">
        <v>31</v>
      </c>
      <c r="D176" s="113" t="s">
        <v>39</v>
      </c>
      <c r="E176" s="114">
        <v>45778</v>
      </c>
      <c r="F176" s="129" t="s">
        <v>361</v>
      </c>
      <c r="G176" s="129" t="s">
        <v>377</v>
      </c>
      <c r="H176" s="137">
        <v>0.41666666666666702</v>
      </c>
      <c r="I176" s="137">
        <v>0.91666666666666696</v>
      </c>
      <c r="J176" s="132">
        <f>12+12+9</f>
        <v>33</v>
      </c>
      <c r="K176" s="169">
        <v>23.03</v>
      </c>
      <c r="L176" s="133">
        <f t="shared" si="6"/>
        <v>759.99</v>
      </c>
      <c r="M176" s="132"/>
      <c r="N176" s="169">
        <v>138.44</v>
      </c>
      <c r="O176" s="133">
        <f t="shared" si="7"/>
        <v>0</v>
      </c>
      <c r="P176" s="132"/>
      <c r="Q176" s="132"/>
      <c r="R176" s="134"/>
      <c r="S176" s="134"/>
      <c r="T176" s="134">
        <f>Tabela4[[#This Row],[Valor do contrato sem o equipamento]]/30.4375*3</f>
        <v>0</v>
      </c>
      <c r="U176" s="134">
        <f>Tabela4[[#This Row],[Valor contrato]]*(30.4375-Tabela4[[#This Row],[Dias inoperantes]])/30.4375</f>
        <v>0</v>
      </c>
      <c r="V176" s="134"/>
      <c r="W176" s="135"/>
      <c r="X176" s="140"/>
      <c r="Y176" s="135">
        <f>Tabela4[[#This Row],[Diferença]]*Tabela4[[#This Row],[Quantidade]]</f>
        <v>0</v>
      </c>
    </row>
    <row r="177" spans="2:25" ht="15" hidden="1" thickBot="1">
      <c r="B177" s="129" t="s">
        <v>14</v>
      </c>
      <c r="C177" s="129" t="s">
        <v>31</v>
      </c>
      <c r="D177" s="113" t="s">
        <v>39</v>
      </c>
      <c r="E177" s="114">
        <v>45778</v>
      </c>
      <c r="F177" s="129" t="s">
        <v>378</v>
      </c>
      <c r="G177" s="129" t="s">
        <v>377</v>
      </c>
      <c r="H177" s="137">
        <v>0.79166666666666696</v>
      </c>
      <c r="I177" s="137">
        <v>0.29166666666666702</v>
      </c>
      <c r="J177" s="132">
        <f>60+7+3</f>
        <v>70</v>
      </c>
      <c r="K177" s="169">
        <v>25.81</v>
      </c>
      <c r="L177" s="133">
        <f t="shared" si="6"/>
        <v>1806.6999999999998</v>
      </c>
      <c r="M177" s="132"/>
      <c r="N177" s="169">
        <v>155.19999999999999</v>
      </c>
      <c r="O177" s="133">
        <f t="shared" si="7"/>
        <v>0</v>
      </c>
      <c r="P177" s="132"/>
      <c r="Q177" s="132"/>
      <c r="R177" s="134"/>
      <c r="S177" s="134"/>
      <c r="T177" s="134">
        <f>Tabela4[[#This Row],[Valor do contrato sem o equipamento]]/30.4375*3</f>
        <v>0</v>
      </c>
      <c r="U177" s="134">
        <f>Tabela4[[#This Row],[Valor contrato]]*(30.4375-Tabela4[[#This Row],[Dias inoperantes]])/30.4375</f>
        <v>0</v>
      </c>
      <c r="V177" s="134"/>
      <c r="W177" s="135"/>
      <c r="X177" s="140"/>
      <c r="Y177" s="135">
        <f>Tabela4[[#This Row],[Diferença]]*Tabela4[[#This Row],[Quantidade]]</f>
        <v>0</v>
      </c>
    </row>
    <row r="178" spans="2:25" ht="15" hidden="1" thickBot="1">
      <c r="B178" s="129" t="s">
        <v>14</v>
      </c>
      <c r="C178" s="129" t="s">
        <v>31</v>
      </c>
      <c r="D178" s="113" t="s">
        <v>39</v>
      </c>
      <c r="E178" s="114">
        <v>45778</v>
      </c>
      <c r="F178" s="129" t="s">
        <v>361</v>
      </c>
      <c r="G178" s="129" t="s">
        <v>379</v>
      </c>
      <c r="H178" s="137">
        <v>0.29166666666666702</v>
      </c>
      <c r="I178" s="137">
        <v>0.64583333333333304</v>
      </c>
      <c r="J178" s="132">
        <f>8.5+2*5.5</f>
        <v>19.5</v>
      </c>
      <c r="K178" s="169">
        <v>18.309999999999999</v>
      </c>
      <c r="L178" s="133">
        <f t="shared" si="6"/>
        <v>357.04499999999996</v>
      </c>
      <c r="M178" s="132"/>
      <c r="N178" s="169">
        <v>132.32</v>
      </c>
      <c r="O178" s="133">
        <f t="shared" si="7"/>
        <v>0</v>
      </c>
      <c r="P178" s="132"/>
      <c r="Q178" s="132"/>
      <c r="R178" s="134"/>
      <c r="S178" s="134"/>
      <c r="T178" s="134">
        <f>Tabela4[[#This Row],[Valor do contrato sem o equipamento]]/30.4375*3</f>
        <v>0</v>
      </c>
      <c r="U178" s="134">
        <f>Tabela4[[#This Row],[Valor contrato]]*(30.4375-Tabela4[[#This Row],[Dias inoperantes]])/30.4375</f>
        <v>0</v>
      </c>
      <c r="V178" s="134"/>
      <c r="W178" s="135"/>
      <c r="X178" s="140"/>
      <c r="Y178" s="135">
        <f>Tabela4[[#This Row],[Diferença]]*Tabela4[[#This Row],[Quantidade]]</f>
        <v>0</v>
      </c>
    </row>
    <row r="179" spans="2:25" ht="15" hidden="1" thickBot="1">
      <c r="B179" s="129" t="s">
        <v>14</v>
      </c>
      <c r="C179" s="129" t="s">
        <v>31</v>
      </c>
      <c r="D179" s="113" t="s">
        <v>39</v>
      </c>
      <c r="E179" s="114">
        <v>45809</v>
      </c>
      <c r="F179" s="129" t="s">
        <v>361</v>
      </c>
      <c r="G179" s="129" t="s">
        <v>377</v>
      </c>
      <c r="H179" s="137">
        <v>0.41666666666666702</v>
      </c>
      <c r="I179" s="137">
        <v>0.91666666666666696</v>
      </c>
      <c r="J179" s="132">
        <v>195</v>
      </c>
      <c r="K179" s="133">
        <v>23.03</v>
      </c>
      <c r="L179" s="133">
        <f t="shared" si="6"/>
        <v>4490.8500000000004</v>
      </c>
      <c r="M179" s="132"/>
      <c r="N179" s="133">
        <v>138.44</v>
      </c>
      <c r="O179" s="133">
        <f t="shared" si="7"/>
        <v>0</v>
      </c>
      <c r="P179" s="132"/>
      <c r="Q179" s="132"/>
      <c r="R179" s="132"/>
      <c r="S179" s="134"/>
      <c r="T179" s="134">
        <f>Tabela4[[#This Row],[Valor do contrato sem o equipamento]]/30.4375*3</f>
        <v>0</v>
      </c>
      <c r="U179" s="134">
        <f>Tabela4[[#This Row],[Valor contrato]]*(30.4375-Tabela4[[#This Row],[Dias inoperantes]])/30.4375</f>
        <v>0</v>
      </c>
      <c r="V179" s="134"/>
      <c r="W179" s="135"/>
      <c r="X179" s="140"/>
      <c r="Y179" s="135">
        <f>Tabela4[[#This Row],[Diferença]]*Tabela4[[#This Row],[Quantidade]]</f>
        <v>0</v>
      </c>
    </row>
    <row r="180" spans="2:25" ht="15" hidden="1" thickBot="1">
      <c r="B180" s="129" t="s">
        <v>14</v>
      </c>
      <c r="C180" s="129" t="s">
        <v>31</v>
      </c>
      <c r="D180" s="113" t="s">
        <v>39</v>
      </c>
      <c r="E180" s="114">
        <v>45809</v>
      </c>
      <c r="F180" s="129" t="s">
        <v>378</v>
      </c>
      <c r="G180" s="129" t="s">
        <v>377</v>
      </c>
      <c r="H180" s="137">
        <v>0.79166666666666696</v>
      </c>
      <c r="I180" s="137">
        <v>0.29166666666666702</v>
      </c>
      <c r="J180" s="132">
        <v>36</v>
      </c>
      <c r="K180" s="133">
        <v>25.81</v>
      </c>
      <c r="L180" s="133">
        <f t="shared" si="6"/>
        <v>929.16</v>
      </c>
      <c r="M180" s="132"/>
      <c r="N180" s="133">
        <v>155.19999999999999</v>
      </c>
      <c r="O180" s="133">
        <f t="shared" si="7"/>
        <v>0</v>
      </c>
      <c r="P180" s="132"/>
      <c r="Q180" s="132"/>
      <c r="R180" s="132"/>
      <c r="S180" s="134"/>
      <c r="T180" s="134">
        <f>Tabela4[[#This Row],[Valor do contrato sem o equipamento]]/30.4375*3</f>
        <v>0</v>
      </c>
      <c r="U180" s="134">
        <f>Tabela4[[#This Row],[Valor contrato]]*(30.4375-Tabela4[[#This Row],[Dias inoperantes]])/30.4375</f>
        <v>0</v>
      </c>
      <c r="V180" s="134"/>
      <c r="W180" s="135"/>
      <c r="X180" s="140"/>
      <c r="Y180" s="135">
        <f>Tabela4[[#This Row],[Diferença]]*Tabela4[[#This Row],[Quantidade]]</f>
        <v>0</v>
      </c>
    </row>
    <row r="181" spans="2:25" ht="15" hidden="1" thickBot="1">
      <c r="B181" s="113" t="s">
        <v>14</v>
      </c>
      <c r="C181" s="113" t="s">
        <v>31</v>
      </c>
      <c r="D181" s="113" t="s">
        <v>39</v>
      </c>
      <c r="E181" s="114">
        <v>45870</v>
      </c>
      <c r="F181" s="177" t="s">
        <v>361</v>
      </c>
      <c r="G181" s="137" t="s">
        <v>386</v>
      </c>
      <c r="H181" s="137">
        <v>0.65833333333333333</v>
      </c>
      <c r="I181" s="137">
        <v>0</v>
      </c>
      <c r="J181" s="132">
        <v>0</v>
      </c>
      <c r="K181" s="133">
        <v>21.34</v>
      </c>
      <c r="L181" s="133">
        <f t="shared" ref="L181:L197" si="8">J181*K181</f>
        <v>0</v>
      </c>
      <c r="M181" s="132">
        <v>3</v>
      </c>
      <c r="N181" s="133">
        <v>138.44</v>
      </c>
      <c r="O181" s="133">
        <f t="shared" ref="O181:O197" si="9">M181*N181</f>
        <v>415.32</v>
      </c>
      <c r="P181" s="115"/>
      <c r="Q181" s="132"/>
      <c r="R181" s="132"/>
      <c r="S181" s="134"/>
      <c r="T181" s="134">
        <f>Tabela4[[#This Row],[Valor do contrato sem o equipamento]]/30.4375*3</f>
        <v>0</v>
      </c>
      <c r="U181" s="134">
        <f>Tabela4[[#This Row],[Valor contrato]]*(30.4375-Tabela4[[#This Row],[Dias inoperantes]])/30.4375</f>
        <v>0</v>
      </c>
      <c r="V181" s="116"/>
      <c r="W181" s="150"/>
      <c r="X181" s="140"/>
      <c r="Y181" s="123">
        <f>Tabela4[[#This Row],[Diferença]]*Tabela4[[#This Row],[Quantidade]]</f>
        <v>0</v>
      </c>
    </row>
    <row r="182" spans="2:25" ht="14.15" hidden="1" customHeight="1" thickBot="1">
      <c r="B182" s="113" t="s">
        <v>14</v>
      </c>
      <c r="C182" s="129" t="s">
        <v>31</v>
      </c>
      <c r="D182" s="113" t="s">
        <v>39</v>
      </c>
      <c r="E182" s="114">
        <v>45870</v>
      </c>
      <c r="F182" s="177" t="s">
        <v>361</v>
      </c>
      <c r="G182" s="137" t="s">
        <v>386</v>
      </c>
      <c r="H182" s="137">
        <v>0.29166666666666669</v>
      </c>
      <c r="I182" s="137">
        <v>0.64583333333333337</v>
      </c>
      <c r="J182" s="132">
        <v>14</v>
      </c>
      <c r="K182" s="133">
        <v>18.309999999999999</v>
      </c>
      <c r="L182" s="133">
        <f t="shared" si="8"/>
        <v>256.33999999999997</v>
      </c>
      <c r="M182" s="132">
        <v>0</v>
      </c>
      <c r="N182" s="133">
        <v>132.32</v>
      </c>
      <c r="O182" s="133">
        <f t="shared" si="9"/>
        <v>0</v>
      </c>
      <c r="P182" s="115"/>
      <c r="Q182" s="132"/>
      <c r="R182" s="132"/>
      <c r="S182" s="134"/>
      <c r="T182" s="134">
        <f>Tabela4[[#This Row],[Valor do contrato sem o equipamento]]/30.4375*3</f>
        <v>0</v>
      </c>
      <c r="U182" s="134">
        <f>Tabela4[[#This Row],[Valor contrato]]*(30.4375-Tabela4[[#This Row],[Dias inoperantes]])/30.4375</f>
        <v>0</v>
      </c>
      <c r="V182" s="116"/>
      <c r="W182" s="150"/>
      <c r="X182" s="140"/>
      <c r="Y182" s="123">
        <f>Tabela4[[#This Row],[Diferença]]*Tabela4[[#This Row],[Quantidade]]</f>
        <v>0</v>
      </c>
    </row>
    <row r="183" spans="2:25" ht="15" hidden="1" thickBot="1">
      <c r="B183" s="129" t="s">
        <v>14</v>
      </c>
      <c r="C183" s="129" t="s">
        <v>31</v>
      </c>
      <c r="D183" s="113" t="s">
        <v>39</v>
      </c>
      <c r="E183" s="114">
        <v>45870</v>
      </c>
      <c r="F183" s="177" t="s">
        <v>361</v>
      </c>
      <c r="G183" s="137" t="s">
        <v>377</v>
      </c>
      <c r="H183" s="137">
        <v>0.41666666666666669</v>
      </c>
      <c r="I183" s="137">
        <v>0.91666666666666663</v>
      </c>
      <c r="J183" s="132">
        <f>135-72</f>
        <v>63</v>
      </c>
      <c r="K183" s="133">
        <v>23.03</v>
      </c>
      <c r="L183" s="133">
        <f t="shared" si="8"/>
        <v>1450.89</v>
      </c>
      <c r="M183" s="132">
        <v>6</v>
      </c>
      <c r="N183" s="133">
        <v>138.44</v>
      </c>
      <c r="O183" s="133">
        <f t="shared" si="9"/>
        <v>830.64</v>
      </c>
      <c r="P183" s="132"/>
      <c r="Q183" s="132"/>
      <c r="R183" s="132"/>
      <c r="S183" s="134"/>
      <c r="T183" s="134">
        <f>Tabela4[[#This Row],[Valor do contrato sem o equipamento]]/30.4375*3</f>
        <v>0</v>
      </c>
      <c r="U183" s="134">
        <f>Tabela4[[#This Row],[Valor contrato]]*(30.4375-Tabela4[[#This Row],[Dias inoperantes]])/30.4375</f>
        <v>0</v>
      </c>
      <c r="V183" s="134"/>
      <c r="W183" s="135"/>
      <c r="X183" s="140"/>
      <c r="Y183" s="135">
        <f>Tabela4[[#This Row],[Diferença]]*Tabela4[[#This Row],[Quantidade]]</f>
        <v>0</v>
      </c>
    </row>
    <row r="184" spans="2:25" ht="15" hidden="1" thickBot="1">
      <c r="B184" s="129" t="s">
        <v>14</v>
      </c>
      <c r="C184" s="129" t="s">
        <v>31</v>
      </c>
      <c r="D184" s="113" t="s">
        <v>39</v>
      </c>
      <c r="E184" s="114">
        <v>45870</v>
      </c>
      <c r="F184" s="129" t="s">
        <v>378</v>
      </c>
      <c r="G184" s="137" t="s">
        <v>333</v>
      </c>
      <c r="H184" s="137">
        <v>0.79166666666666663</v>
      </c>
      <c r="I184" s="137">
        <v>0.29166666666666669</v>
      </c>
      <c r="J184" s="132">
        <v>9</v>
      </c>
      <c r="K184" s="133">
        <v>25.81</v>
      </c>
      <c r="L184" s="133">
        <f t="shared" si="8"/>
        <v>232.29</v>
      </c>
      <c r="M184" s="140">
        <v>0</v>
      </c>
      <c r="N184" s="133">
        <v>155.19999999999999</v>
      </c>
      <c r="O184" s="133">
        <f t="shared" si="9"/>
        <v>0</v>
      </c>
      <c r="P184" s="132"/>
      <c r="Q184" s="132"/>
      <c r="R184" s="132"/>
      <c r="S184" s="134"/>
      <c r="T184" s="134">
        <f>Tabela4[[#This Row],[Valor do contrato sem o equipamento]]/30.4375*3</f>
        <v>0</v>
      </c>
      <c r="U184" s="134">
        <f>Tabela4[[#This Row],[Valor contrato]]*(30.4375-Tabela4[[#This Row],[Dias inoperantes]])/30.4375</f>
        <v>0</v>
      </c>
      <c r="V184" s="134"/>
      <c r="W184" s="135"/>
      <c r="X184" s="140"/>
      <c r="Y184" s="135">
        <f>Tabela4[[#This Row],[Diferença]]*Tabela4[[#This Row],[Quantidade]]</f>
        <v>0</v>
      </c>
    </row>
    <row r="185" spans="2:25" ht="15" hidden="1" thickBot="1">
      <c r="B185" s="129" t="s">
        <v>14</v>
      </c>
      <c r="C185" s="129" t="s">
        <v>31</v>
      </c>
      <c r="D185" s="113" t="s">
        <v>39</v>
      </c>
      <c r="E185" s="114">
        <v>45839</v>
      </c>
      <c r="F185" s="129" t="s">
        <v>361</v>
      </c>
      <c r="G185" s="129" t="s">
        <v>386</v>
      </c>
      <c r="H185" s="137">
        <v>0.29166666666666669</v>
      </c>
      <c r="I185" s="137">
        <v>0.64583333333333337</v>
      </c>
      <c r="J185" s="132">
        <v>0</v>
      </c>
      <c r="K185" s="133">
        <v>18.309999999999999</v>
      </c>
      <c r="L185" s="133">
        <f t="shared" si="8"/>
        <v>0</v>
      </c>
      <c r="M185" s="132">
        <v>1</v>
      </c>
      <c r="N185" s="133">
        <v>132.32</v>
      </c>
      <c r="O185" s="133">
        <f t="shared" si="9"/>
        <v>132.32</v>
      </c>
      <c r="P185" s="115"/>
      <c r="Q185" s="132"/>
      <c r="R185" s="132"/>
      <c r="S185" s="134"/>
      <c r="T185" s="134">
        <f>Tabela4[[#This Row],[Valor do contrato sem o equipamento]]/30.4375*3</f>
        <v>0</v>
      </c>
      <c r="U185" s="134">
        <f>Tabela4[[#This Row],[Valor contrato]]*(30.4375-Tabela4[[#This Row],[Dias inoperantes]])/30.4375</f>
        <v>0</v>
      </c>
      <c r="V185" s="116"/>
      <c r="W185" s="150"/>
      <c r="X185" s="140"/>
      <c r="Y185" s="123">
        <f>Tabela4[[#This Row],[Diferença]]*Tabela4[[#This Row],[Quantidade]]</f>
        <v>0</v>
      </c>
    </row>
    <row r="186" spans="2:25" ht="15" hidden="1" thickBot="1">
      <c r="B186" s="113" t="s">
        <v>14</v>
      </c>
      <c r="C186" s="113" t="s">
        <v>31</v>
      </c>
      <c r="D186" s="113" t="s">
        <v>39</v>
      </c>
      <c r="E186" s="114">
        <v>45839</v>
      </c>
      <c r="F186" s="177" t="s">
        <v>361</v>
      </c>
      <c r="G186" s="129" t="s">
        <v>377</v>
      </c>
      <c r="H186" s="137">
        <v>0.41666666666666669</v>
      </c>
      <c r="I186" s="137">
        <v>0.91666666666666663</v>
      </c>
      <c r="J186" s="132">
        <v>43</v>
      </c>
      <c r="K186" s="133">
        <v>23.03</v>
      </c>
      <c r="L186" s="133">
        <f t="shared" si="8"/>
        <v>990.29000000000008</v>
      </c>
      <c r="M186" s="132">
        <v>3</v>
      </c>
      <c r="N186" s="133">
        <v>138.44</v>
      </c>
      <c r="O186" s="133">
        <f t="shared" si="9"/>
        <v>415.32</v>
      </c>
      <c r="P186" s="115"/>
      <c r="Q186" s="132"/>
      <c r="R186" s="132"/>
      <c r="S186" s="134"/>
      <c r="T186" s="134">
        <f>Tabela4[[#This Row],[Valor do contrato sem o equipamento]]/30.4375*3</f>
        <v>0</v>
      </c>
      <c r="U186" s="134">
        <f>Tabela4[[#This Row],[Valor contrato]]*(30.4375-Tabela4[[#This Row],[Dias inoperantes]])/30.4375</f>
        <v>0</v>
      </c>
      <c r="V186" s="116"/>
      <c r="W186" s="150"/>
      <c r="X186" s="140"/>
      <c r="Y186" s="123">
        <f>Tabela4[[#This Row],[Diferença]]*Tabela4[[#This Row],[Quantidade]]</f>
        <v>0</v>
      </c>
    </row>
    <row r="187" spans="2:25" ht="15" hidden="1" thickBot="1">
      <c r="B187" s="129" t="s">
        <v>14</v>
      </c>
      <c r="C187" s="129" t="s">
        <v>31</v>
      </c>
      <c r="D187" s="113" t="s">
        <v>39</v>
      </c>
      <c r="E187" s="114">
        <v>45839</v>
      </c>
      <c r="F187" s="129" t="s">
        <v>387</v>
      </c>
      <c r="G187" s="129" t="s">
        <v>377</v>
      </c>
      <c r="H187" s="137">
        <v>0.79166666666666663</v>
      </c>
      <c r="I187" s="137">
        <v>0.29166666666666669</v>
      </c>
      <c r="J187" s="132">
        <v>9</v>
      </c>
      <c r="K187" s="133">
        <v>25.81</v>
      </c>
      <c r="L187" s="133">
        <f t="shared" si="8"/>
        <v>232.29</v>
      </c>
      <c r="M187" s="132">
        <v>0</v>
      </c>
      <c r="N187" s="133">
        <v>155.19999999999999</v>
      </c>
      <c r="O187" s="133">
        <f t="shared" si="9"/>
        <v>0</v>
      </c>
      <c r="P187" s="132"/>
      <c r="Q187" s="132"/>
      <c r="R187" s="132"/>
      <c r="S187" s="134"/>
      <c r="T187" s="134">
        <f>Tabela4[[#This Row],[Valor do contrato sem o equipamento]]/30.4375*3</f>
        <v>0</v>
      </c>
      <c r="U187" s="134">
        <f>Tabela4[[#This Row],[Valor contrato]]*(30.4375-Tabela4[[#This Row],[Dias inoperantes]])/30.4375</f>
        <v>0</v>
      </c>
      <c r="V187" s="134"/>
      <c r="W187" s="135"/>
      <c r="X187" s="140"/>
      <c r="Y187" s="135">
        <f>Tabela4[[#This Row],[Diferença]]*Tabela4[[#This Row],[Quantidade]]</f>
        <v>0</v>
      </c>
    </row>
    <row r="188" spans="2:25" ht="15" hidden="1" thickBot="1">
      <c r="B188" s="129" t="s">
        <v>14</v>
      </c>
      <c r="C188" s="129" t="s">
        <v>32</v>
      </c>
      <c r="D188" s="113" t="s">
        <v>39</v>
      </c>
      <c r="E188" s="114">
        <v>45839</v>
      </c>
      <c r="F188" s="129" t="s">
        <v>376</v>
      </c>
      <c r="G188" s="129" t="s">
        <v>333</v>
      </c>
      <c r="H188" s="137">
        <v>0.29166666666666669</v>
      </c>
      <c r="I188" s="137">
        <v>0.79166666666666663</v>
      </c>
      <c r="J188" s="132">
        <v>0</v>
      </c>
      <c r="K188" s="133">
        <v>34.25</v>
      </c>
      <c r="L188" s="133">
        <f t="shared" si="8"/>
        <v>0</v>
      </c>
      <c r="M188" s="132">
        <v>2</v>
      </c>
      <c r="N188" s="133">
        <v>205.95</v>
      </c>
      <c r="O188" s="133">
        <f t="shared" si="9"/>
        <v>411.9</v>
      </c>
      <c r="P188" s="132"/>
      <c r="Q188" s="132"/>
      <c r="R188" s="132"/>
      <c r="S188" s="134"/>
      <c r="T188" s="134">
        <f>Tabela4[[#This Row],[Valor do contrato sem o equipamento]]/30.4375*3</f>
        <v>0</v>
      </c>
      <c r="U188" s="134">
        <f>Tabela4[[#This Row],[Valor contrato]]*(30.4375-Tabela4[[#This Row],[Dias inoperantes]])/30.4375</f>
        <v>0</v>
      </c>
      <c r="V188" s="134"/>
      <c r="W188" s="135"/>
      <c r="X188" s="140"/>
      <c r="Y188" s="135">
        <f>Tabela4[[#This Row],[Diferença]]*Tabela4[[#This Row],[Quantidade]]</f>
        <v>0</v>
      </c>
    </row>
    <row r="189" spans="2:25" ht="15" hidden="1" thickBot="1">
      <c r="B189" s="129" t="s">
        <v>14</v>
      </c>
      <c r="C189" s="129" t="s">
        <v>32</v>
      </c>
      <c r="D189" s="113" t="s">
        <v>39</v>
      </c>
      <c r="E189" s="114">
        <v>45839</v>
      </c>
      <c r="F189" s="129" t="s">
        <v>376</v>
      </c>
      <c r="G189" s="129" t="s">
        <v>333</v>
      </c>
      <c r="H189" s="137">
        <v>0.41666666666666669</v>
      </c>
      <c r="I189" s="137">
        <v>0.91666666666666663</v>
      </c>
      <c r="J189" s="132">
        <v>0</v>
      </c>
      <c r="K189" s="133">
        <v>34.479999999999997</v>
      </c>
      <c r="L189" s="133">
        <f t="shared" si="8"/>
        <v>0</v>
      </c>
      <c r="M189" s="140">
        <v>3</v>
      </c>
      <c r="N189" s="133">
        <v>207.33</v>
      </c>
      <c r="O189" s="133">
        <f t="shared" si="9"/>
        <v>621.99</v>
      </c>
      <c r="P189" s="132"/>
      <c r="Q189" s="132"/>
      <c r="R189" s="132"/>
      <c r="S189" s="134"/>
      <c r="T189" s="134">
        <f>Tabela4[[#This Row],[Valor do contrato sem o equipamento]]/30.4375*3</f>
        <v>0</v>
      </c>
      <c r="U189" s="134">
        <f>Tabela4[[#This Row],[Valor contrato]]*(30.4375-Tabela4[[#This Row],[Dias inoperantes]])/30.4375</f>
        <v>0</v>
      </c>
      <c r="V189" s="134"/>
      <c r="W189" s="135"/>
      <c r="X189" s="140"/>
      <c r="Y189" s="135">
        <f>Tabela4[[#This Row],[Diferença]]*Tabela4[[#This Row],[Quantidade]]</f>
        <v>0</v>
      </c>
    </row>
    <row r="190" spans="2:25" ht="15" hidden="1" thickBot="1">
      <c r="B190" s="129" t="s">
        <v>14</v>
      </c>
      <c r="C190" s="129" t="s">
        <v>32</v>
      </c>
      <c r="D190" s="113" t="s">
        <v>39</v>
      </c>
      <c r="E190" s="114">
        <v>45839</v>
      </c>
      <c r="F190" s="129" t="s">
        <v>376</v>
      </c>
      <c r="G190" s="129" t="s">
        <v>377</v>
      </c>
      <c r="H190" s="137">
        <v>0.79166666666666663</v>
      </c>
      <c r="I190" s="137">
        <v>0.29166666666666669</v>
      </c>
      <c r="J190" s="132">
        <v>27</v>
      </c>
      <c r="K190" s="133">
        <v>43.18</v>
      </c>
      <c r="L190" s="133">
        <f t="shared" si="8"/>
        <v>1165.8599999999999</v>
      </c>
      <c r="M190" s="140">
        <v>0</v>
      </c>
      <c r="N190" s="133">
        <v>259.64</v>
      </c>
      <c r="O190" s="133">
        <f t="shared" si="9"/>
        <v>0</v>
      </c>
      <c r="P190" s="132"/>
      <c r="Q190" s="132"/>
      <c r="R190" s="132"/>
      <c r="S190" s="134"/>
      <c r="T190" s="134">
        <f>Tabela4[[#This Row],[Valor do contrato sem o equipamento]]/30.4375*3</f>
        <v>0</v>
      </c>
      <c r="U190" s="134">
        <f>Tabela4[[#This Row],[Valor contrato]]*(30.4375-Tabela4[[#This Row],[Dias inoperantes]])/30.4375</f>
        <v>0</v>
      </c>
      <c r="V190" s="134"/>
      <c r="W190" s="135"/>
      <c r="X190" s="140"/>
      <c r="Y190" s="135">
        <f>Tabela4[[#This Row],[Diferença]]*Tabela4[[#This Row],[Quantidade]]</f>
        <v>0</v>
      </c>
    </row>
    <row r="191" spans="2:25" ht="15" hidden="1" thickBot="1">
      <c r="B191" s="113" t="s">
        <v>14</v>
      </c>
      <c r="C191" s="113" t="s">
        <v>32</v>
      </c>
      <c r="D191" s="113" t="s">
        <v>39</v>
      </c>
      <c r="E191" s="114">
        <v>45870</v>
      </c>
      <c r="F191" s="177" t="s">
        <v>380</v>
      </c>
      <c r="G191" s="137" t="s">
        <v>333</v>
      </c>
      <c r="H191" s="137">
        <v>0.41666666666666669</v>
      </c>
      <c r="I191" s="137">
        <v>0.91666666666666663</v>
      </c>
      <c r="J191" s="132">
        <v>0</v>
      </c>
      <c r="K191" s="133">
        <v>66.17</v>
      </c>
      <c r="L191" s="133">
        <f t="shared" si="8"/>
        <v>0</v>
      </c>
      <c r="M191" s="140">
        <v>2</v>
      </c>
      <c r="N191" s="133">
        <v>397.83</v>
      </c>
      <c r="O191" s="133">
        <f t="shared" si="9"/>
        <v>795.66</v>
      </c>
      <c r="P191" s="115"/>
      <c r="Q191" s="132"/>
      <c r="R191" s="132"/>
      <c r="S191" s="134"/>
      <c r="T191" s="134">
        <f>Tabela4[[#This Row],[Valor do contrato sem o equipamento]]/30.4375*3</f>
        <v>0</v>
      </c>
      <c r="U191" s="134">
        <f>Tabela4[[#This Row],[Valor contrato]]*(30.4375-Tabela4[[#This Row],[Dias inoperantes]])/30.4375</f>
        <v>0</v>
      </c>
      <c r="V191" s="116"/>
      <c r="W191" s="150"/>
      <c r="X191" s="140"/>
      <c r="Y191" s="123">
        <f>Tabela4[[#This Row],[Diferença]]*Tabela4[[#This Row],[Quantidade]]</f>
        <v>0</v>
      </c>
    </row>
    <row r="192" spans="2:25" ht="15" hidden="1" thickBot="1">
      <c r="B192" s="113" t="s">
        <v>14</v>
      </c>
      <c r="C192" s="113" t="s">
        <v>32</v>
      </c>
      <c r="D192" s="113" t="s">
        <v>39</v>
      </c>
      <c r="E192" s="114">
        <v>45870</v>
      </c>
      <c r="F192" s="177" t="s">
        <v>376</v>
      </c>
      <c r="G192" s="137" t="s">
        <v>333</v>
      </c>
      <c r="H192" s="137">
        <v>0.41666666666666669</v>
      </c>
      <c r="I192" s="137">
        <v>0.91666666666666663</v>
      </c>
      <c r="J192" s="132">
        <v>30</v>
      </c>
      <c r="K192" s="133">
        <v>34.479999999999997</v>
      </c>
      <c r="L192" s="133">
        <f t="shared" si="8"/>
        <v>1034.3999999999999</v>
      </c>
      <c r="M192" s="140">
        <v>5</v>
      </c>
      <c r="N192" s="133">
        <v>207.33</v>
      </c>
      <c r="O192" s="133">
        <f t="shared" si="9"/>
        <v>1036.6500000000001</v>
      </c>
      <c r="P192" s="115"/>
      <c r="Q192" s="132"/>
      <c r="R192" s="132"/>
      <c r="S192" s="134"/>
      <c r="T192" s="134">
        <f>Tabela4[[#This Row],[Valor do contrato sem o equipamento]]/30.4375*3</f>
        <v>0</v>
      </c>
      <c r="U192" s="134">
        <f>Tabela4[[#This Row],[Valor contrato]]*(30.4375-Tabela4[[#This Row],[Dias inoperantes]])/30.4375</f>
        <v>0</v>
      </c>
      <c r="V192" s="116"/>
      <c r="W192" s="150"/>
      <c r="X192" s="140"/>
      <c r="Y192" s="123">
        <f>Tabela4[[#This Row],[Diferença]]*Tabela4[[#This Row],[Quantidade]]</f>
        <v>0</v>
      </c>
    </row>
    <row r="193" spans="2:25" ht="15" hidden="1" thickBot="1">
      <c r="B193" s="113" t="s">
        <v>14</v>
      </c>
      <c r="C193" s="113" t="s">
        <v>32</v>
      </c>
      <c r="D193" s="113" t="s">
        <v>39</v>
      </c>
      <c r="E193" s="114">
        <v>45870</v>
      </c>
      <c r="F193" s="177" t="s">
        <v>376</v>
      </c>
      <c r="G193" s="137" t="s">
        <v>333</v>
      </c>
      <c r="H193" s="137">
        <v>0.79166666666666663</v>
      </c>
      <c r="I193" s="137">
        <v>0.29166666666666669</v>
      </c>
      <c r="J193" s="132">
        <v>6</v>
      </c>
      <c r="K193" s="133">
        <v>38.159999999999997</v>
      </c>
      <c r="L193" s="133">
        <f t="shared" si="8"/>
        <v>228.95999999999998</v>
      </c>
      <c r="M193" s="140">
        <v>0</v>
      </c>
      <c r="N193" s="133">
        <v>229.42</v>
      </c>
      <c r="O193" s="169">
        <f t="shared" si="9"/>
        <v>0</v>
      </c>
      <c r="P193" s="115"/>
      <c r="Q193" s="132"/>
      <c r="R193" s="132"/>
      <c r="S193" s="134"/>
      <c r="T193" s="134">
        <f>Tabela4[[#This Row],[Valor do contrato sem o equipamento]]/30.4375*3</f>
        <v>0</v>
      </c>
      <c r="U193" s="134">
        <f>Tabela4[[#This Row],[Valor contrato]]*(30.4375-Tabela4[[#This Row],[Dias inoperantes]])/30.4375</f>
        <v>0</v>
      </c>
      <c r="V193" s="116"/>
      <c r="W193" s="150"/>
      <c r="X193" s="140"/>
      <c r="Y193" s="123">
        <f>Tabela4[[#This Row],[Diferença]]*Tabela4[[#This Row],[Quantidade]]</f>
        <v>0</v>
      </c>
    </row>
    <row r="194" spans="2:25" ht="15.65" hidden="1" customHeight="1" thickBot="1">
      <c r="B194" s="113" t="s">
        <v>14</v>
      </c>
      <c r="C194" s="113" t="s">
        <v>32</v>
      </c>
      <c r="D194" s="113" t="s">
        <v>39</v>
      </c>
      <c r="E194" s="114">
        <v>45870</v>
      </c>
      <c r="F194" s="177" t="s">
        <v>376</v>
      </c>
      <c r="G194" s="137" t="s">
        <v>333</v>
      </c>
      <c r="H194" s="137">
        <v>0.29166666666666669</v>
      </c>
      <c r="I194" s="137">
        <v>0.79166666666666663</v>
      </c>
      <c r="J194" s="132">
        <v>6</v>
      </c>
      <c r="K194" s="133">
        <v>34.25</v>
      </c>
      <c r="L194" s="133">
        <f t="shared" si="8"/>
        <v>205.5</v>
      </c>
      <c r="M194" s="140">
        <v>0</v>
      </c>
      <c r="N194" s="133">
        <v>205.95</v>
      </c>
      <c r="O194" s="133">
        <f t="shared" si="9"/>
        <v>0</v>
      </c>
      <c r="P194" s="115"/>
      <c r="Q194" s="132"/>
      <c r="R194" s="132"/>
      <c r="S194" s="134"/>
      <c r="T194" s="134">
        <f>Tabela4[[#This Row],[Valor do contrato sem o equipamento]]/30.4375*3</f>
        <v>0</v>
      </c>
      <c r="U194" s="134">
        <f>Tabela4[[#This Row],[Valor contrato]]*(30.4375-Tabela4[[#This Row],[Dias inoperantes]])/30.4375</f>
        <v>0</v>
      </c>
      <c r="V194" s="116"/>
      <c r="W194" s="150"/>
      <c r="X194" s="140"/>
      <c r="Y194" s="123">
        <f>Tabela4[[#This Row],[Diferença]]*Tabela4[[#This Row],[Quantidade]]</f>
        <v>0</v>
      </c>
    </row>
    <row r="195" spans="2:25" ht="15.65" hidden="1" customHeight="1" thickBot="1">
      <c r="B195" s="113" t="s">
        <v>14</v>
      </c>
      <c r="C195" s="113" t="s">
        <v>32</v>
      </c>
      <c r="D195" s="113" t="s">
        <v>39</v>
      </c>
      <c r="E195" s="114">
        <v>45870</v>
      </c>
      <c r="F195" s="177" t="s">
        <v>383</v>
      </c>
      <c r="G195" s="137" t="s">
        <v>333</v>
      </c>
      <c r="H195" s="137">
        <v>0.29166666666666669</v>
      </c>
      <c r="I195" s="137">
        <v>0.79166666666666663</v>
      </c>
      <c r="J195" s="132">
        <v>8.5</v>
      </c>
      <c r="K195" s="133">
        <v>39.85</v>
      </c>
      <c r="L195" s="133">
        <f t="shared" si="8"/>
        <v>338.72500000000002</v>
      </c>
      <c r="M195" s="140">
        <v>1</v>
      </c>
      <c r="N195" s="133">
        <v>239.62</v>
      </c>
      <c r="O195" s="169">
        <f t="shared" si="9"/>
        <v>239.62</v>
      </c>
      <c r="P195" s="115"/>
      <c r="Q195" s="132"/>
      <c r="R195" s="132"/>
      <c r="S195" s="134"/>
      <c r="T195" s="134">
        <f>Tabela4[[#This Row],[Valor do contrato sem o equipamento]]/30.4375*3</f>
        <v>0</v>
      </c>
      <c r="U195" s="134">
        <f>Tabela4[[#This Row],[Valor contrato]]*(30.4375-Tabela4[[#This Row],[Dias inoperantes]])/30.4375</f>
        <v>0</v>
      </c>
      <c r="V195" s="116"/>
      <c r="W195" s="150"/>
      <c r="X195" s="140"/>
      <c r="Y195" s="123">
        <f>Tabela4[[#This Row],[Diferença]]*Tabela4[[#This Row],[Quantidade]]</f>
        <v>0</v>
      </c>
    </row>
    <row r="196" spans="2:25" ht="15" hidden="1" thickBot="1">
      <c r="B196" s="113" t="s">
        <v>14</v>
      </c>
      <c r="C196" s="113" t="s">
        <v>32</v>
      </c>
      <c r="D196" s="113" t="s">
        <v>39</v>
      </c>
      <c r="E196" s="114">
        <v>45870</v>
      </c>
      <c r="F196" s="177" t="s">
        <v>385</v>
      </c>
      <c r="G196" s="137" t="s">
        <v>333</v>
      </c>
      <c r="H196" s="137">
        <v>0.41666666666666669</v>
      </c>
      <c r="I196" s="137">
        <v>0.91666666666666663</v>
      </c>
      <c r="J196" s="132">
        <v>0</v>
      </c>
      <c r="K196" s="133">
        <v>38.68</v>
      </c>
      <c r="L196" s="133">
        <f t="shared" si="8"/>
        <v>0</v>
      </c>
      <c r="M196" s="140">
        <v>2</v>
      </c>
      <c r="N196" s="133">
        <v>232.55</v>
      </c>
      <c r="O196" s="133">
        <f t="shared" si="9"/>
        <v>465.1</v>
      </c>
      <c r="P196" s="115"/>
      <c r="Q196" s="132"/>
      <c r="R196" s="132"/>
      <c r="S196" s="134"/>
      <c r="T196" s="134">
        <f>Tabela4[[#This Row],[Valor do contrato sem o equipamento]]/30.4375*3</f>
        <v>0</v>
      </c>
      <c r="U196" s="134">
        <f>Tabela4[[#This Row],[Valor contrato]]*(30.4375-Tabela4[[#This Row],[Dias inoperantes]])/30.4375</f>
        <v>0</v>
      </c>
      <c r="V196" s="116"/>
      <c r="W196" s="150"/>
      <c r="X196" s="140"/>
      <c r="Y196" s="123">
        <f>Tabela4[[#This Row],[Diferença]]*Tabela4[[#This Row],[Quantidade]]</f>
        <v>0</v>
      </c>
    </row>
    <row r="197" spans="2:25" ht="15" hidden="1" thickBot="1">
      <c r="B197" s="129" t="s">
        <v>14</v>
      </c>
      <c r="C197" s="129" t="s">
        <v>32</v>
      </c>
      <c r="D197" s="113" t="s">
        <v>39</v>
      </c>
      <c r="E197" s="114">
        <v>45839</v>
      </c>
      <c r="F197" s="129" t="s">
        <v>376</v>
      </c>
      <c r="G197" s="129" t="s">
        <v>377</v>
      </c>
      <c r="H197" s="137">
        <v>0.41666666666666702</v>
      </c>
      <c r="I197" s="137">
        <v>0.91666666666666696</v>
      </c>
      <c r="J197" s="132">
        <v>18</v>
      </c>
      <c r="K197" s="133">
        <v>34.479999999999997</v>
      </c>
      <c r="L197" s="133">
        <f t="shared" si="8"/>
        <v>620.64</v>
      </c>
      <c r="M197" s="132">
        <v>0</v>
      </c>
      <c r="N197" s="133">
        <v>207.33</v>
      </c>
      <c r="O197" s="133">
        <f t="shared" si="9"/>
        <v>0</v>
      </c>
      <c r="P197" s="132"/>
      <c r="Q197" s="132"/>
      <c r="R197" s="132"/>
      <c r="S197" s="134"/>
      <c r="T197" s="134">
        <f>Tabela4[[#This Row],[Valor do contrato sem o equipamento]]/30.4375*3</f>
        <v>0</v>
      </c>
      <c r="U197" s="134">
        <f>Tabela4[[#This Row],[Valor contrato]]*(30.4375-Tabela4[[#This Row],[Dias inoperantes]])/30.4375</f>
        <v>0</v>
      </c>
      <c r="V197" s="134"/>
      <c r="W197" s="135"/>
      <c r="X197" s="140"/>
      <c r="Y197" s="135">
        <f>Tabela4[[#This Row],[Diferença]]*Tabela4[[#This Row],[Quantidade]]</f>
        <v>0</v>
      </c>
    </row>
    <row r="198" spans="2:25" ht="15" hidden="1" thickBot="1">
      <c r="B198" s="129" t="s">
        <v>13</v>
      </c>
      <c r="C198" s="129" t="s">
        <v>31</v>
      </c>
      <c r="D198" s="113" t="s">
        <v>39</v>
      </c>
      <c r="E198" s="114">
        <v>45658</v>
      </c>
      <c r="F198" s="131" t="s">
        <v>388</v>
      </c>
      <c r="G198" s="129" t="s">
        <v>333</v>
      </c>
      <c r="H198" s="137" t="s">
        <v>389</v>
      </c>
      <c r="I198" s="137" t="s">
        <v>390</v>
      </c>
      <c r="J198" s="132">
        <v>0</v>
      </c>
      <c r="K198" s="169">
        <v>22.14</v>
      </c>
      <c r="L198" s="133">
        <f t="shared" si="6"/>
        <v>0</v>
      </c>
      <c r="M198" s="132">
        <v>1</v>
      </c>
      <c r="N198" s="169">
        <v>170.6</v>
      </c>
      <c r="O198" s="133">
        <f t="shared" si="7"/>
        <v>170.6</v>
      </c>
      <c r="P198" s="132"/>
      <c r="Q198" s="132"/>
      <c r="R198" s="132"/>
      <c r="S198" s="132"/>
      <c r="T198" s="132">
        <f>Tabela4[[#This Row],[Valor do contrato sem o equipamento]]/30.4375*3</f>
        <v>0</v>
      </c>
      <c r="U198" s="132">
        <f>Tabela4[[#This Row],[Valor contrato]]*(30.4375-Tabela4[[#This Row],[Dias inoperantes]])/30.4375</f>
        <v>0</v>
      </c>
      <c r="V198" s="134"/>
      <c r="W198" s="135"/>
      <c r="X198" s="132"/>
      <c r="Y198" s="135">
        <f>Tabela4[[#This Row],[Diferença]]*Tabela4[[#This Row],[Quantidade]]</f>
        <v>0</v>
      </c>
    </row>
    <row r="199" spans="2:25" ht="15" hidden="1" thickBot="1">
      <c r="B199" s="129" t="s">
        <v>13</v>
      </c>
      <c r="C199" s="129" t="s">
        <v>31</v>
      </c>
      <c r="D199" s="113" t="s">
        <v>39</v>
      </c>
      <c r="E199" s="114">
        <v>45658</v>
      </c>
      <c r="F199" s="131" t="s">
        <v>388</v>
      </c>
      <c r="G199" s="129" t="s">
        <v>333</v>
      </c>
      <c r="H199" s="137" t="s">
        <v>334</v>
      </c>
      <c r="I199" s="137" t="s">
        <v>342</v>
      </c>
      <c r="J199" s="132">
        <v>0</v>
      </c>
      <c r="K199" s="169">
        <v>22.14</v>
      </c>
      <c r="L199" s="133">
        <f t="shared" si="6"/>
        <v>0</v>
      </c>
      <c r="M199" s="132">
        <v>4</v>
      </c>
      <c r="N199" s="169">
        <v>170.6</v>
      </c>
      <c r="O199" s="133">
        <f t="shared" si="7"/>
        <v>682.4</v>
      </c>
      <c r="P199" s="132"/>
      <c r="Q199" s="132"/>
      <c r="R199" s="132"/>
      <c r="S199" s="132"/>
      <c r="T199" s="132">
        <f>Tabela4[[#This Row],[Valor do contrato sem o equipamento]]/30.4375*3</f>
        <v>0</v>
      </c>
      <c r="U199" s="132">
        <f>Tabela4[[#This Row],[Valor contrato]]*(30.4375-Tabela4[[#This Row],[Dias inoperantes]])/30.4375</f>
        <v>0</v>
      </c>
      <c r="V199" s="134"/>
      <c r="W199" s="135"/>
      <c r="X199" s="132"/>
      <c r="Y199" s="135">
        <f>Tabela4[[#This Row],[Diferença]]*Tabela4[[#This Row],[Quantidade]]</f>
        <v>0</v>
      </c>
    </row>
    <row r="200" spans="2:25" ht="15" hidden="1" thickBot="1">
      <c r="B200" s="129" t="s">
        <v>13</v>
      </c>
      <c r="C200" s="129" t="s">
        <v>31</v>
      </c>
      <c r="D200" s="113" t="s">
        <v>39</v>
      </c>
      <c r="E200" s="114">
        <v>45658</v>
      </c>
      <c r="F200" s="131" t="s">
        <v>388</v>
      </c>
      <c r="G200" s="129" t="s">
        <v>333</v>
      </c>
      <c r="H200" s="137" t="s">
        <v>342</v>
      </c>
      <c r="I200" s="137" t="s">
        <v>334</v>
      </c>
      <c r="J200" s="132">
        <v>0</v>
      </c>
      <c r="K200" s="169">
        <v>2.2400000000000002</v>
      </c>
      <c r="L200" s="133">
        <f t="shared" si="6"/>
        <v>0</v>
      </c>
      <c r="M200" s="132"/>
      <c r="N200" s="169">
        <v>16.18</v>
      </c>
      <c r="O200" s="133">
        <f t="shared" si="7"/>
        <v>0</v>
      </c>
      <c r="P200" s="132"/>
      <c r="Q200" s="132"/>
      <c r="R200" s="132"/>
      <c r="S200" s="132"/>
      <c r="T200" s="132">
        <f>Tabela4[[#This Row],[Valor do contrato sem o equipamento]]/30.4375*3</f>
        <v>0</v>
      </c>
      <c r="U200" s="132">
        <f>Tabela4[[#This Row],[Valor contrato]]*(30.4375-Tabela4[[#This Row],[Dias inoperantes]])/30.4375</f>
        <v>0</v>
      </c>
      <c r="V200" s="134"/>
      <c r="W200" s="135"/>
      <c r="X200" s="132"/>
      <c r="Y200" s="135">
        <f>Tabela4[[#This Row],[Diferença]]*Tabela4[[#This Row],[Quantidade]]</f>
        <v>0</v>
      </c>
    </row>
    <row r="201" spans="2:25" ht="15" hidden="1" thickBot="1">
      <c r="B201" s="129" t="s">
        <v>13</v>
      </c>
      <c r="C201" s="129" t="s">
        <v>31</v>
      </c>
      <c r="D201" s="113" t="s">
        <v>39</v>
      </c>
      <c r="E201" s="114">
        <v>45658</v>
      </c>
      <c r="F201" s="131" t="s">
        <v>388</v>
      </c>
      <c r="G201" s="129" t="s">
        <v>333</v>
      </c>
      <c r="H201" s="137" t="s">
        <v>390</v>
      </c>
      <c r="I201" s="137" t="s">
        <v>389</v>
      </c>
      <c r="J201" s="132">
        <v>0</v>
      </c>
      <c r="K201" s="169">
        <v>24.34</v>
      </c>
      <c r="L201" s="133">
        <f t="shared" si="6"/>
        <v>0</v>
      </c>
      <c r="M201" s="132">
        <v>3</v>
      </c>
      <c r="N201" s="169">
        <v>187.63</v>
      </c>
      <c r="O201" s="133">
        <f t="shared" si="7"/>
        <v>562.89</v>
      </c>
      <c r="P201" s="132"/>
      <c r="Q201" s="132"/>
      <c r="R201" s="132"/>
      <c r="S201" s="132"/>
      <c r="T201" s="132">
        <f>Tabela4[[#This Row],[Valor do contrato sem o equipamento]]/30.4375*3</f>
        <v>0</v>
      </c>
      <c r="U201" s="132">
        <f>Tabela4[[#This Row],[Valor contrato]]*(30.4375-Tabela4[[#This Row],[Dias inoperantes]])/30.4375</f>
        <v>0</v>
      </c>
      <c r="V201" s="134"/>
      <c r="W201" s="135"/>
      <c r="X201" s="132"/>
      <c r="Y201" s="135">
        <f>Tabela4[[#This Row],[Diferença]]*Tabela4[[#This Row],[Quantidade]]</f>
        <v>0</v>
      </c>
    </row>
    <row r="202" spans="2:25" ht="15" hidden="1" thickBot="1">
      <c r="B202" s="129" t="s">
        <v>13</v>
      </c>
      <c r="C202" s="129" t="s">
        <v>31</v>
      </c>
      <c r="D202" s="113" t="s">
        <v>39</v>
      </c>
      <c r="E202" s="114">
        <v>45658</v>
      </c>
      <c r="F202" s="131" t="s">
        <v>388</v>
      </c>
      <c r="G202" s="129" t="s">
        <v>335</v>
      </c>
      <c r="H202" s="137" t="s">
        <v>389</v>
      </c>
      <c r="I202" s="137" t="s">
        <v>390</v>
      </c>
      <c r="J202" s="132">
        <v>0</v>
      </c>
      <c r="K202" s="169">
        <v>23.9</v>
      </c>
      <c r="L202" s="133">
        <f t="shared" si="6"/>
        <v>0</v>
      </c>
      <c r="M202" s="132"/>
      <c r="N202" s="169">
        <v>172.75</v>
      </c>
      <c r="O202" s="133">
        <f t="shared" si="7"/>
        <v>0</v>
      </c>
      <c r="P202" s="132"/>
      <c r="Q202" s="132"/>
      <c r="R202" s="132"/>
      <c r="S202" s="132"/>
      <c r="T202" s="132">
        <f>Tabela4[[#This Row],[Valor do contrato sem o equipamento]]/30.4375*3</f>
        <v>0</v>
      </c>
      <c r="U202" s="132">
        <f>Tabela4[[#This Row],[Valor contrato]]*(30.4375-Tabela4[[#This Row],[Dias inoperantes]])/30.4375</f>
        <v>0</v>
      </c>
      <c r="V202" s="134"/>
      <c r="W202" s="135"/>
      <c r="X202" s="132"/>
      <c r="Y202" s="135">
        <f>Tabela4[[#This Row],[Diferença]]*Tabela4[[#This Row],[Quantidade]]</f>
        <v>0</v>
      </c>
    </row>
    <row r="203" spans="2:25" ht="15" hidden="1" thickBot="1">
      <c r="B203" s="129" t="s">
        <v>13</v>
      </c>
      <c r="C203" s="129" t="s">
        <v>31</v>
      </c>
      <c r="D203" s="113" t="s">
        <v>39</v>
      </c>
      <c r="E203" s="114">
        <v>45658</v>
      </c>
      <c r="F203" s="131" t="s">
        <v>388</v>
      </c>
      <c r="G203" s="129" t="s">
        <v>333</v>
      </c>
      <c r="H203" s="137" t="s">
        <v>391</v>
      </c>
      <c r="I203" s="137" t="s">
        <v>349</v>
      </c>
      <c r="J203" s="132">
        <v>0</v>
      </c>
      <c r="K203" s="169">
        <v>22.51</v>
      </c>
      <c r="L203" s="133">
        <f t="shared" si="6"/>
        <v>0</v>
      </c>
      <c r="M203" s="132">
        <v>2</v>
      </c>
      <c r="N203" s="169">
        <v>173.44</v>
      </c>
      <c r="O203" s="133">
        <f t="shared" si="7"/>
        <v>346.88</v>
      </c>
      <c r="P203" s="132"/>
      <c r="Q203" s="132"/>
      <c r="R203" s="132"/>
      <c r="S203" s="132"/>
      <c r="T203" s="132">
        <f>Tabela4[[#This Row],[Valor do contrato sem o equipamento]]/30.4375*3</f>
        <v>0</v>
      </c>
      <c r="U203" s="132">
        <f>Tabela4[[#This Row],[Valor contrato]]*(30.4375-Tabela4[[#This Row],[Dias inoperantes]])/30.4375</f>
        <v>0</v>
      </c>
      <c r="V203" s="134"/>
      <c r="W203" s="135"/>
      <c r="X203" s="132"/>
      <c r="Y203" s="135">
        <f>Tabela4[[#This Row],[Diferença]]*Tabela4[[#This Row],[Quantidade]]</f>
        <v>0</v>
      </c>
    </row>
    <row r="204" spans="2:25" ht="15" hidden="1" thickBot="1">
      <c r="B204" s="129" t="s">
        <v>13</v>
      </c>
      <c r="C204" s="129" t="s">
        <v>30</v>
      </c>
      <c r="D204" s="113" t="s">
        <v>55</v>
      </c>
      <c r="E204" s="114">
        <v>45658</v>
      </c>
      <c r="F204" s="131" t="s">
        <v>370</v>
      </c>
      <c r="G204" s="129" t="s">
        <v>377</v>
      </c>
      <c r="H204" s="137">
        <v>0.91666666666666663</v>
      </c>
      <c r="I204" s="137">
        <v>0.41666666666666669</v>
      </c>
      <c r="J204" s="132">
        <v>0</v>
      </c>
      <c r="K204" s="169"/>
      <c r="L204" s="133">
        <f t="shared" si="6"/>
        <v>0</v>
      </c>
      <c r="M204" s="132">
        <v>2</v>
      </c>
      <c r="N204" s="169">
        <v>189.59</v>
      </c>
      <c r="O204" s="133">
        <f t="shared" si="7"/>
        <v>379.18</v>
      </c>
      <c r="P204" s="132"/>
      <c r="Q204" s="132"/>
      <c r="R204" s="132"/>
      <c r="S204" s="132"/>
      <c r="T204" s="132">
        <f>Tabela4[[#This Row],[Valor do contrato sem o equipamento]]/30.4375*3</f>
        <v>0</v>
      </c>
      <c r="U204" s="132">
        <f>Tabela4[[#This Row],[Valor contrato]]*(30.4375-Tabela4[[#This Row],[Dias inoperantes]])/30.4375</f>
        <v>0</v>
      </c>
      <c r="V204" s="134"/>
      <c r="W204" s="135"/>
      <c r="X204" s="132"/>
      <c r="Y204" s="135">
        <f>Tabela4[[#This Row],[Diferença]]*Tabela4[[#This Row],[Quantidade]]</f>
        <v>0</v>
      </c>
    </row>
    <row r="205" spans="2:25" ht="15" hidden="1" thickBot="1">
      <c r="B205" s="129" t="s">
        <v>13</v>
      </c>
      <c r="C205" s="129" t="s">
        <v>30</v>
      </c>
      <c r="D205" s="113" t="s">
        <v>55</v>
      </c>
      <c r="E205" s="114">
        <v>45658</v>
      </c>
      <c r="F205" s="131" t="s">
        <v>351</v>
      </c>
      <c r="G205" s="129" t="s">
        <v>377</v>
      </c>
      <c r="H205" s="137">
        <v>0.45833333333333331</v>
      </c>
      <c r="I205" s="137">
        <v>0.95833333333333337</v>
      </c>
      <c r="J205" s="132">
        <v>0</v>
      </c>
      <c r="K205" s="169"/>
      <c r="L205" s="133">
        <f t="shared" si="6"/>
        <v>0</v>
      </c>
      <c r="M205" s="132">
        <v>8</v>
      </c>
      <c r="N205" s="169">
        <v>137.07</v>
      </c>
      <c r="O205" s="133">
        <f t="shared" si="7"/>
        <v>1096.56</v>
      </c>
      <c r="P205" s="132"/>
      <c r="Q205" s="132"/>
      <c r="R205" s="132"/>
      <c r="S205" s="132"/>
      <c r="T205" s="132">
        <f>Tabela4[[#This Row],[Valor do contrato sem o equipamento]]/30.4375*3</f>
        <v>0</v>
      </c>
      <c r="U205" s="132">
        <f>Tabela4[[#This Row],[Valor contrato]]*(30.4375-Tabela4[[#This Row],[Dias inoperantes]])/30.4375</f>
        <v>0</v>
      </c>
      <c r="V205" s="134"/>
      <c r="W205" s="135"/>
      <c r="X205" s="132"/>
      <c r="Y205" s="135">
        <f>Tabela4[[#This Row],[Diferença]]*Tabela4[[#This Row],[Quantidade]]</f>
        <v>0</v>
      </c>
    </row>
    <row r="206" spans="2:25" ht="15" hidden="1" thickBot="1">
      <c r="B206" s="129" t="s">
        <v>13</v>
      </c>
      <c r="C206" s="129" t="s">
        <v>30</v>
      </c>
      <c r="D206" s="113" t="s">
        <v>55</v>
      </c>
      <c r="E206" s="114">
        <v>45689</v>
      </c>
      <c r="F206" s="131" t="s">
        <v>392</v>
      </c>
      <c r="G206" s="129" t="s">
        <v>377</v>
      </c>
      <c r="H206" s="137">
        <v>0.45833333333333331</v>
      </c>
      <c r="I206" s="137">
        <v>0.95833333333333337</v>
      </c>
      <c r="J206" s="132">
        <v>6</v>
      </c>
      <c r="K206" s="169"/>
      <c r="L206" s="133">
        <f t="shared" si="6"/>
        <v>0</v>
      </c>
      <c r="M206" s="132">
        <v>6</v>
      </c>
      <c r="N206" s="169">
        <v>137.07</v>
      </c>
      <c r="O206" s="133">
        <f t="shared" si="7"/>
        <v>822.42</v>
      </c>
      <c r="P206" s="132"/>
      <c r="Q206" s="132"/>
      <c r="R206" s="132"/>
      <c r="S206" s="132"/>
      <c r="T206" s="132">
        <f>Tabela4[[#This Row],[Valor do contrato sem o equipamento]]/30.4375*3</f>
        <v>0</v>
      </c>
      <c r="U206" s="132">
        <f>Tabela4[[#This Row],[Valor contrato]]*(30.4375-Tabela4[[#This Row],[Dias inoperantes]])/30.4375</f>
        <v>0</v>
      </c>
      <c r="V206" s="134"/>
      <c r="W206" s="135"/>
      <c r="X206" s="132"/>
      <c r="Y206" s="135">
        <f>Tabela4[[#This Row],[Diferença]]*Tabela4[[#This Row],[Quantidade]]</f>
        <v>0</v>
      </c>
    </row>
    <row r="207" spans="2:25" ht="15" hidden="1" thickBot="1">
      <c r="B207" s="129" t="s">
        <v>13</v>
      </c>
      <c r="C207" s="129" t="s">
        <v>30</v>
      </c>
      <c r="D207" s="113" t="s">
        <v>55</v>
      </c>
      <c r="E207" s="114">
        <v>45717</v>
      </c>
      <c r="F207" s="131" t="s">
        <v>351</v>
      </c>
      <c r="G207" s="129" t="s">
        <v>333</v>
      </c>
      <c r="H207" s="137" t="s">
        <v>391</v>
      </c>
      <c r="I207" s="137" t="s">
        <v>349</v>
      </c>
      <c r="J207" s="132">
        <v>0</v>
      </c>
      <c r="K207" s="169">
        <v>19.75</v>
      </c>
      <c r="L207" s="133">
        <f t="shared" si="6"/>
        <v>0</v>
      </c>
      <c r="M207" s="132">
        <v>3</v>
      </c>
      <c r="N207" s="169">
        <v>142.76</v>
      </c>
      <c r="O207" s="133">
        <f t="shared" si="7"/>
        <v>428.28</v>
      </c>
      <c r="P207" s="132"/>
      <c r="Q207" s="132"/>
      <c r="R207" s="132"/>
      <c r="S207" s="132"/>
      <c r="T207" s="132">
        <f>Tabela4[[#This Row],[Valor do contrato sem o equipamento]]/30.4375*3</f>
        <v>0</v>
      </c>
      <c r="U207" s="132">
        <f>Tabela4[[#This Row],[Valor contrato]]*(30.4375-Tabela4[[#This Row],[Dias inoperantes]])/30.4375</f>
        <v>0</v>
      </c>
      <c r="V207" s="134"/>
      <c r="W207" s="135"/>
      <c r="X207" s="132"/>
      <c r="Y207" s="135">
        <f>Tabela4[[#This Row],[Diferença]]*Tabela4[[#This Row],[Quantidade]]</f>
        <v>0</v>
      </c>
    </row>
    <row r="208" spans="2:25" ht="15" hidden="1" thickBot="1">
      <c r="B208" s="129" t="s">
        <v>13</v>
      </c>
      <c r="C208" s="129" t="s">
        <v>30</v>
      </c>
      <c r="D208" s="113" t="s">
        <v>55</v>
      </c>
      <c r="E208" s="114">
        <v>45748</v>
      </c>
      <c r="F208" s="131" t="s">
        <v>392</v>
      </c>
      <c r="G208" s="129" t="s">
        <v>333</v>
      </c>
      <c r="H208" s="137">
        <v>0.45833333333333331</v>
      </c>
      <c r="I208" s="137">
        <v>0.95833333333333337</v>
      </c>
      <c r="J208" s="132">
        <v>0</v>
      </c>
      <c r="K208" s="169">
        <v>19.75</v>
      </c>
      <c r="L208" s="133">
        <f t="shared" si="6"/>
        <v>0</v>
      </c>
      <c r="M208" s="132">
        <v>1</v>
      </c>
      <c r="N208" s="169">
        <v>142.76</v>
      </c>
      <c r="O208" s="133">
        <f t="shared" si="7"/>
        <v>142.76</v>
      </c>
      <c r="P208" s="132"/>
      <c r="Q208" s="132"/>
      <c r="R208" s="132"/>
      <c r="S208" s="132"/>
      <c r="T208" s="132">
        <f>Tabela4[[#This Row],[Valor do contrato sem o equipamento]]/30.4375*3</f>
        <v>0</v>
      </c>
      <c r="U208" s="132">
        <f>Tabela4[[#This Row],[Valor contrato]]*(30.4375-Tabela4[[#This Row],[Dias inoperantes]])/30.4375</f>
        <v>0</v>
      </c>
      <c r="V208" s="134"/>
      <c r="W208" s="135"/>
      <c r="X208" s="140"/>
      <c r="Y208" s="135">
        <f>Tabela4[[#This Row],[Diferença]]*Tabela4[[#This Row],[Quantidade]]</f>
        <v>0</v>
      </c>
    </row>
    <row r="209" spans="2:25" ht="15" hidden="1" thickBot="1">
      <c r="B209" s="129" t="s">
        <v>13</v>
      </c>
      <c r="C209" s="129" t="s">
        <v>31</v>
      </c>
      <c r="D209" s="113" t="s">
        <v>39</v>
      </c>
      <c r="E209" s="114">
        <v>45748</v>
      </c>
      <c r="F209" s="131" t="s">
        <v>388</v>
      </c>
      <c r="G209" s="129" t="s">
        <v>333</v>
      </c>
      <c r="H209" s="137" t="s">
        <v>389</v>
      </c>
      <c r="I209" s="137" t="s">
        <v>390</v>
      </c>
      <c r="J209" s="132"/>
      <c r="K209" s="169">
        <v>24.8</v>
      </c>
      <c r="L209" s="133">
        <f t="shared" si="6"/>
        <v>0</v>
      </c>
      <c r="M209" s="132">
        <v>4</v>
      </c>
      <c r="N209" s="169">
        <v>179.22</v>
      </c>
      <c r="O209" s="133">
        <f t="shared" si="7"/>
        <v>716.88</v>
      </c>
      <c r="P209" s="132"/>
      <c r="Q209" s="132"/>
      <c r="R209" s="132"/>
      <c r="S209" s="132"/>
      <c r="T209" s="132">
        <f>Tabela4[[#This Row],[Valor do contrato sem o equipamento]]/30.4375*3</f>
        <v>0</v>
      </c>
      <c r="U209" s="132">
        <f>Tabela4[[#This Row],[Valor contrato]]*(30.4375-Tabela4[[#This Row],[Dias inoperantes]])/30.4375</f>
        <v>0</v>
      </c>
      <c r="V209" s="134"/>
      <c r="W209" s="135"/>
      <c r="X209" s="140"/>
      <c r="Y209" s="135">
        <f>Tabela4[[#This Row],[Diferença]]*Tabela4[[#This Row],[Quantidade]]</f>
        <v>0</v>
      </c>
    </row>
    <row r="210" spans="2:25" ht="15" hidden="1" thickBot="1">
      <c r="B210" s="129" t="s">
        <v>13</v>
      </c>
      <c r="C210" s="129" t="s">
        <v>31</v>
      </c>
      <c r="D210" s="113" t="s">
        <v>39</v>
      </c>
      <c r="E210" s="114">
        <v>45748</v>
      </c>
      <c r="F210" s="131" t="s">
        <v>388</v>
      </c>
      <c r="G210" s="129" t="s">
        <v>333</v>
      </c>
      <c r="H210" s="137" t="s">
        <v>334</v>
      </c>
      <c r="I210" s="137" t="s">
        <v>342</v>
      </c>
      <c r="J210" s="132"/>
      <c r="K210" s="169">
        <v>24.8</v>
      </c>
      <c r="L210" s="133">
        <f t="shared" si="6"/>
        <v>0</v>
      </c>
      <c r="M210" s="132">
        <v>1</v>
      </c>
      <c r="N210" s="169">
        <v>179.22</v>
      </c>
      <c r="O210" s="133">
        <f t="shared" si="7"/>
        <v>179.22</v>
      </c>
      <c r="P210" s="132"/>
      <c r="Q210" s="132"/>
      <c r="R210" s="132"/>
      <c r="S210" s="132"/>
      <c r="T210" s="132">
        <f>Tabela4[[#This Row],[Valor do contrato sem o equipamento]]/30.4375*3</f>
        <v>0</v>
      </c>
      <c r="U210" s="132">
        <f>Tabela4[[#This Row],[Valor contrato]]*(30.4375-Tabela4[[#This Row],[Dias inoperantes]])/30.4375</f>
        <v>0</v>
      </c>
      <c r="V210" s="134"/>
      <c r="W210" s="135"/>
      <c r="X210" s="140"/>
      <c r="Y210" s="135">
        <f>Tabela4[[#This Row],[Diferença]]*Tabela4[[#This Row],[Quantidade]]</f>
        <v>0</v>
      </c>
    </row>
    <row r="211" spans="2:25" ht="15" hidden="1" thickBot="1">
      <c r="B211" s="129" t="s">
        <v>13</v>
      </c>
      <c r="C211" s="129" t="s">
        <v>31</v>
      </c>
      <c r="D211" s="113" t="s">
        <v>39</v>
      </c>
      <c r="E211" s="114">
        <v>45748</v>
      </c>
      <c r="F211" s="131" t="s">
        <v>388</v>
      </c>
      <c r="G211" s="129" t="s">
        <v>333</v>
      </c>
      <c r="H211" s="137" t="s">
        <v>390</v>
      </c>
      <c r="I211" s="137" t="s">
        <v>389</v>
      </c>
      <c r="J211" s="132"/>
      <c r="K211" s="169">
        <v>27.15</v>
      </c>
      <c r="L211" s="133">
        <f t="shared" si="6"/>
        <v>0</v>
      </c>
      <c r="M211" s="132">
        <v>9</v>
      </c>
      <c r="N211" s="169">
        <v>196.26</v>
      </c>
      <c r="O211" s="133">
        <f t="shared" si="7"/>
        <v>1766.34</v>
      </c>
      <c r="P211" s="132"/>
      <c r="Q211" s="132"/>
      <c r="R211" s="132"/>
      <c r="S211" s="132"/>
      <c r="T211" s="132">
        <f>Tabela4[[#This Row],[Valor do contrato sem o equipamento]]/30.4375*3</f>
        <v>0</v>
      </c>
      <c r="U211" s="132">
        <f>Tabela4[[#This Row],[Valor contrato]]*(30.4375-Tabela4[[#This Row],[Dias inoperantes]])/30.4375</f>
        <v>0</v>
      </c>
      <c r="V211" s="134"/>
      <c r="W211" s="135"/>
      <c r="X211" s="140"/>
      <c r="Y211" s="135">
        <f>Tabela4[[#This Row],[Diferença]]*Tabela4[[#This Row],[Quantidade]]</f>
        <v>0</v>
      </c>
    </row>
    <row r="212" spans="2:25" ht="15" hidden="1" thickBot="1">
      <c r="B212" s="129" t="s">
        <v>13</v>
      </c>
      <c r="C212" s="129" t="s">
        <v>31</v>
      </c>
      <c r="D212" s="113" t="s">
        <v>39</v>
      </c>
      <c r="E212" s="114">
        <v>45748</v>
      </c>
      <c r="F212" s="131" t="s">
        <v>388</v>
      </c>
      <c r="G212" s="129" t="s">
        <v>335</v>
      </c>
      <c r="H212" s="137" t="s">
        <v>389</v>
      </c>
      <c r="I212" s="137" t="s">
        <v>390</v>
      </c>
      <c r="J212" s="132"/>
      <c r="K212" s="169">
        <v>26.63</v>
      </c>
      <c r="L212" s="133">
        <f t="shared" si="6"/>
        <v>0</v>
      </c>
      <c r="M212" s="132"/>
      <c r="N212" s="169">
        <v>192.48</v>
      </c>
      <c r="O212" s="133">
        <f t="shared" si="7"/>
        <v>0</v>
      </c>
      <c r="P212" s="132"/>
      <c r="Q212" s="132"/>
      <c r="R212" s="132"/>
      <c r="S212" s="132"/>
      <c r="T212" s="132">
        <f>Tabela4[[#This Row],[Valor do contrato sem o equipamento]]/30.4375*3</f>
        <v>0</v>
      </c>
      <c r="U212" s="132">
        <f>Tabela4[[#This Row],[Valor contrato]]*(30.4375-Tabela4[[#This Row],[Dias inoperantes]])/30.4375</f>
        <v>0</v>
      </c>
      <c r="V212" s="134"/>
      <c r="W212" s="135"/>
      <c r="X212" s="140"/>
      <c r="Y212" s="135">
        <f>Tabela4[[#This Row],[Diferença]]*Tabela4[[#This Row],[Quantidade]]</f>
        <v>0</v>
      </c>
    </row>
    <row r="213" spans="2:25" ht="15" hidden="1" thickBot="1">
      <c r="B213" s="129" t="s">
        <v>13</v>
      </c>
      <c r="C213" s="129" t="s">
        <v>31</v>
      </c>
      <c r="D213" s="113" t="s">
        <v>39</v>
      </c>
      <c r="E213" s="114">
        <v>45748</v>
      </c>
      <c r="F213" s="131" t="s">
        <v>388</v>
      </c>
      <c r="G213" s="129" t="s">
        <v>333</v>
      </c>
      <c r="H213" s="137" t="s">
        <v>391</v>
      </c>
      <c r="I213" s="137" t="s">
        <v>349</v>
      </c>
      <c r="J213" s="132"/>
      <c r="K213" s="169">
        <v>25.19</v>
      </c>
      <c r="L213" s="133">
        <f t="shared" si="6"/>
        <v>0</v>
      </c>
      <c r="M213" s="132">
        <v>2</v>
      </c>
      <c r="N213" s="169">
        <v>182.06</v>
      </c>
      <c r="O213" s="133">
        <f t="shared" si="7"/>
        <v>364.12</v>
      </c>
      <c r="P213" s="132"/>
      <c r="Q213" s="132"/>
      <c r="R213" s="132"/>
      <c r="S213" s="132"/>
      <c r="T213" s="132">
        <f>Tabela4[[#This Row],[Valor do contrato sem o equipamento]]/30.4375*3</f>
        <v>0</v>
      </c>
      <c r="U213" s="132">
        <f>Tabela4[[#This Row],[Valor contrato]]*(30.4375-Tabela4[[#This Row],[Dias inoperantes]])/30.4375</f>
        <v>0</v>
      </c>
      <c r="V213" s="134"/>
      <c r="W213" s="135"/>
      <c r="X213" s="140"/>
      <c r="Y213" s="135">
        <f>Tabela4[[#This Row],[Diferença]]*Tabela4[[#This Row],[Quantidade]]</f>
        <v>0</v>
      </c>
    </row>
    <row r="214" spans="2:25" ht="15" hidden="1" thickBot="1">
      <c r="B214" s="113" t="s">
        <v>13</v>
      </c>
      <c r="C214" s="113" t="s">
        <v>30</v>
      </c>
      <c r="D214" s="113" t="s">
        <v>55</v>
      </c>
      <c r="E214" s="114">
        <v>45870</v>
      </c>
      <c r="F214" s="131" t="s">
        <v>351</v>
      </c>
      <c r="G214" s="137" t="s">
        <v>377</v>
      </c>
      <c r="H214" s="137">
        <v>0.45833333333333331</v>
      </c>
      <c r="I214" s="137">
        <v>0.95833333333333337</v>
      </c>
      <c r="J214" s="132">
        <v>0</v>
      </c>
      <c r="K214" s="169">
        <v>19.75</v>
      </c>
      <c r="L214" s="169">
        <f>J214*K214</f>
        <v>0</v>
      </c>
      <c r="M214" s="132">
        <v>1</v>
      </c>
      <c r="N214" s="169">
        <v>142.76</v>
      </c>
      <c r="O214" s="169">
        <f>M214*N214</f>
        <v>142.76</v>
      </c>
      <c r="P214" s="115"/>
      <c r="Q214" s="132"/>
      <c r="R214" s="132"/>
      <c r="S214" s="134"/>
      <c r="T214" s="134">
        <f>Tabela4[[#This Row],[Valor do contrato sem o equipamento]]/30.4375*3</f>
        <v>0</v>
      </c>
      <c r="U214" s="134">
        <f>Tabela4[[#This Row],[Valor contrato]]*(30.4375-Tabela4[[#This Row],[Dias inoperantes]])/30.4375</f>
        <v>0</v>
      </c>
      <c r="V214" s="116"/>
      <c r="W214" s="150"/>
      <c r="X214" s="140"/>
      <c r="Y214" s="123">
        <f>Tabela4[[#This Row],[Diferença]]*Tabela4[[#This Row],[Quantidade]]</f>
        <v>0</v>
      </c>
    </row>
    <row r="215" spans="2:25" ht="15" hidden="1" thickBot="1">
      <c r="B215" s="129" t="s">
        <v>13</v>
      </c>
      <c r="C215" s="129" t="s">
        <v>30</v>
      </c>
      <c r="D215" s="113" t="s">
        <v>55</v>
      </c>
      <c r="E215" s="114">
        <v>45778</v>
      </c>
      <c r="F215" s="129" t="s">
        <v>393</v>
      </c>
      <c r="G215" s="129" t="s">
        <v>394</v>
      </c>
      <c r="H215" s="137" t="s">
        <v>349</v>
      </c>
      <c r="I215" s="137">
        <v>0.30555555555555558</v>
      </c>
      <c r="J215" s="132"/>
      <c r="K215" s="169"/>
      <c r="L215" s="133">
        <f t="shared" ref="L215:L284" si="10">J215*K215</f>
        <v>0</v>
      </c>
      <c r="M215" s="132">
        <v>1</v>
      </c>
      <c r="N215" s="169">
        <v>208.78</v>
      </c>
      <c r="O215" s="133">
        <f t="shared" ref="O215:O284" si="11">M215*N215</f>
        <v>208.78</v>
      </c>
      <c r="P215" s="132"/>
      <c r="Q215" s="132"/>
      <c r="R215" s="134"/>
      <c r="S215" s="134"/>
      <c r="T215" s="134">
        <f>Tabela4[[#This Row],[Valor do contrato sem o equipamento]]/30.4375*3</f>
        <v>0</v>
      </c>
      <c r="U215" s="134">
        <f>Tabela4[[#This Row],[Valor contrato]]*(30.4375-Tabela4[[#This Row],[Dias inoperantes]])/30.4375</f>
        <v>0</v>
      </c>
      <c r="V215" s="134"/>
      <c r="W215" s="135"/>
      <c r="X215" s="140"/>
      <c r="Y215" s="135">
        <f>Tabela4[[#This Row],[Diferença]]*Tabela4[[#This Row],[Quantidade]]</f>
        <v>0</v>
      </c>
    </row>
    <row r="216" spans="2:25" ht="15" hidden="1" thickBot="1">
      <c r="B216" s="129" t="s">
        <v>13</v>
      </c>
      <c r="C216" s="129" t="s">
        <v>31</v>
      </c>
      <c r="D216" s="113" t="s">
        <v>39</v>
      </c>
      <c r="E216" s="114">
        <v>45778</v>
      </c>
      <c r="F216" s="129" t="s">
        <v>388</v>
      </c>
      <c r="G216" s="129" t="s">
        <v>333</v>
      </c>
      <c r="H216" s="137" t="s">
        <v>389</v>
      </c>
      <c r="I216" s="137" t="s">
        <v>390</v>
      </c>
      <c r="J216" s="132">
        <v>6.8</v>
      </c>
      <c r="K216" s="169">
        <v>23.6</v>
      </c>
      <c r="L216" s="133">
        <f t="shared" si="10"/>
        <v>160.48000000000002</v>
      </c>
      <c r="M216" s="132"/>
      <c r="N216" s="169">
        <v>170.6</v>
      </c>
      <c r="O216" s="133">
        <f t="shared" si="11"/>
        <v>0</v>
      </c>
      <c r="P216" s="132"/>
      <c r="Q216" s="132"/>
      <c r="R216" s="132"/>
      <c r="S216" s="134"/>
      <c r="T216" s="134">
        <f>Tabela4[[#This Row],[Valor do contrato sem o equipamento]]/30.4375*3</f>
        <v>0</v>
      </c>
      <c r="U216" s="134">
        <f>Tabela4[[#This Row],[Valor contrato]]*(30.4375-Tabela4[[#This Row],[Dias inoperantes]])/30.4375</f>
        <v>0</v>
      </c>
      <c r="V216" s="134"/>
      <c r="W216" s="135"/>
      <c r="X216" s="140"/>
      <c r="Y216" s="135">
        <f>Tabela4[[#This Row],[Diferença]]*Tabela4[[#This Row],[Quantidade]]</f>
        <v>0</v>
      </c>
    </row>
    <row r="217" spans="2:25" ht="15" hidden="1" thickBot="1">
      <c r="B217" s="129" t="s">
        <v>13</v>
      </c>
      <c r="C217" s="129" t="s">
        <v>31</v>
      </c>
      <c r="D217" s="113" t="s">
        <v>39</v>
      </c>
      <c r="E217" s="114">
        <v>45778</v>
      </c>
      <c r="F217" s="129" t="s">
        <v>388</v>
      </c>
      <c r="G217" s="129" t="s">
        <v>333</v>
      </c>
      <c r="H217" s="137" t="s">
        <v>389</v>
      </c>
      <c r="I217" s="137" t="s">
        <v>390</v>
      </c>
      <c r="J217" s="132">
        <v>5.6666666666666661</v>
      </c>
      <c r="K217" s="169">
        <v>23.6</v>
      </c>
      <c r="L217" s="133">
        <f t="shared" si="10"/>
        <v>133.73333333333332</v>
      </c>
      <c r="M217" s="132"/>
      <c r="N217" s="169">
        <v>170.6</v>
      </c>
      <c r="O217" s="133">
        <f t="shared" si="11"/>
        <v>0</v>
      </c>
      <c r="P217" s="132"/>
      <c r="Q217" s="132"/>
      <c r="R217" s="132"/>
      <c r="S217" s="134"/>
      <c r="T217" s="134">
        <f>Tabela4[[#This Row],[Valor do contrato sem o equipamento]]/30.4375*3</f>
        <v>0</v>
      </c>
      <c r="U217" s="134">
        <f>Tabela4[[#This Row],[Valor contrato]]*(30.4375-Tabela4[[#This Row],[Dias inoperantes]])/30.4375</f>
        <v>0</v>
      </c>
      <c r="V217" s="134"/>
      <c r="W217" s="135"/>
      <c r="X217" s="140"/>
      <c r="Y217" s="135">
        <f>Tabela4[[#This Row],[Diferença]]*Tabela4[[#This Row],[Quantidade]]</f>
        <v>0</v>
      </c>
    </row>
    <row r="218" spans="2:25" ht="15" hidden="1" thickBot="1">
      <c r="B218" s="129" t="s">
        <v>13</v>
      </c>
      <c r="C218" s="129" t="s">
        <v>31</v>
      </c>
      <c r="D218" s="113" t="s">
        <v>39</v>
      </c>
      <c r="E218" s="114">
        <v>45778</v>
      </c>
      <c r="F218" s="129" t="s">
        <v>388</v>
      </c>
      <c r="G218" s="129" t="s">
        <v>333</v>
      </c>
      <c r="H218" s="137" t="s">
        <v>389</v>
      </c>
      <c r="I218" s="137" t="s">
        <v>390</v>
      </c>
      <c r="J218" s="132">
        <v>12</v>
      </c>
      <c r="K218" s="169">
        <v>23.6</v>
      </c>
      <c r="L218" s="133">
        <f t="shared" si="10"/>
        <v>283.20000000000005</v>
      </c>
      <c r="M218" s="132"/>
      <c r="N218" s="169">
        <v>170.6</v>
      </c>
      <c r="O218" s="133">
        <f t="shared" si="11"/>
        <v>0</v>
      </c>
      <c r="P218" s="132"/>
      <c r="Q218" s="132"/>
      <c r="R218" s="132"/>
      <c r="S218" s="134"/>
      <c r="T218" s="134">
        <f>Tabela4[[#This Row],[Valor do contrato sem o equipamento]]/30.4375*3</f>
        <v>0</v>
      </c>
      <c r="U218" s="134">
        <f>Tabela4[[#This Row],[Valor contrato]]*(30.4375-Tabela4[[#This Row],[Dias inoperantes]])/30.4375</f>
        <v>0</v>
      </c>
      <c r="V218" s="134"/>
      <c r="W218" s="135"/>
      <c r="X218" s="140"/>
      <c r="Y218" s="135">
        <f>Tabela4[[#This Row],[Diferença]]*Tabela4[[#This Row],[Quantidade]]</f>
        <v>0</v>
      </c>
    </row>
    <row r="219" spans="2:25" ht="15" hidden="1" thickBot="1">
      <c r="B219" s="129" t="s">
        <v>13</v>
      </c>
      <c r="C219" s="129" t="s">
        <v>31</v>
      </c>
      <c r="D219" s="113" t="s">
        <v>39</v>
      </c>
      <c r="E219" s="114">
        <v>45778</v>
      </c>
      <c r="F219" s="129" t="s">
        <v>388</v>
      </c>
      <c r="G219" s="129" t="s">
        <v>333</v>
      </c>
      <c r="H219" s="137" t="s">
        <v>389</v>
      </c>
      <c r="I219" s="137" t="s">
        <v>390</v>
      </c>
      <c r="J219" s="132">
        <v>12</v>
      </c>
      <c r="K219" s="169">
        <v>23.6</v>
      </c>
      <c r="L219" s="133">
        <f t="shared" si="10"/>
        <v>283.20000000000005</v>
      </c>
      <c r="M219" s="132"/>
      <c r="N219" s="169">
        <v>170.6</v>
      </c>
      <c r="O219" s="133">
        <f t="shared" si="11"/>
        <v>0</v>
      </c>
      <c r="P219" s="132"/>
      <c r="Q219" s="132"/>
      <c r="R219" s="132"/>
      <c r="S219" s="134"/>
      <c r="T219" s="134">
        <f>Tabela4[[#This Row],[Valor do contrato sem o equipamento]]/30.4375*3</f>
        <v>0</v>
      </c>
      <c r="U219" s="134">
        <f>Tabela4[[#This Row],[Valor contrato]]*(30.4375-Tabela4[[#This Row],[Dias inoperantes]])/30.4375</f>
        <v>0</v>
      </c>
      <c r="V219" s="134"/>
      <c r="W219" s="135"/>
      <c r="X219" s="140"/>
      <c r="Y219" s="135">
        <f>Tabela4[[#This Row],[Diferença]]*Tabela4[[#This Row],[Quantidade]]</f>
        <v>0</v>
      </c>
    </row>
    <row r="220" spans="2:25" ht="15" hidden="1" thickBot="1">
      <c r="B220" s="129" t="s">
        <v>13</v>
      </c>
      <c r="C220" s="129" t="s">
        <v>31</v>
      </c>
      <c r="D220" s="113" t="s">
        <v>39</v>
      </c>
      <c r="E220" s="114">
        <v>45778</v>
      </c>
      <c r="F220" s="129" t="s">
        <v>388</v>
      </c>
      <c r="G220" s="129" t="s">
        <v>333</v>
      </c>
      <c r="H220" s="137">
        <v>0.41666666666666669</v>
      </c>
      <c r="I220" s="137">
        <v>0.91666666666666663</v>
      </c>
      <c r="J220" s="132">
        <v>11.999999999999998</v>
      </c>
      <c r="K220" s="169">
        <v>23.6</v>
      </c>
      <c r="L220" s="133">
        <f t="shared" si="10"/>
        <v>283.2</v>
      </c>
      <c r="M220" s="132"/>
      <c r="N220" s="169">
        <v>170.6</v>
      </c>
      <c r="O220" s="133">
        <f t="shared" si="11"/>
        <v>0</v>
      </c>
      <c r="P220" s="132"/>
      <c r="Q220" s="132"/>
      <c r="R220" s="132"/>
      <c r="S220" s="134"/>
      <c r="T220" s="134">
        <f>Tabela4[[#This Row],[Valor do contrato sem o equipamento]]/30.4375*3</f>
        <v>0</v>
      </c>
      <c r="U220" s="134">
        <f>Tabela4[[#This Row],[Valor contrato]]*(30.4375-Tabela4[[#This Row],[Dias inoperantes]])/30.4375</f>
        <v>0</v>
      </c>
      <c r="V220" s="134"/>
      <c r="W220" s="135"/>
      <c r="X220" s="140"/>
      <c r="Y220" s="135">
        <f>Tabela4[[#This Row],[Diferença]]*Tabela4[[#This Row],[Quantidade]]</f>
        <v>0</v>
      </c>
    </row>
    <row r="221" spans="2:25" ht="15" hidden="1" thickBot="1">
      <c r="B221" s="129" t="s">
        <v>13</v>
      </c>
      <c r="C221" s="129" t="s">
        <v>31</v>
      </c>
      <c r="D221" s="113" t="s">
        <v>39</v>
      </c>
      <c r="E221" s="114">
        <v>45778</v>
      </c>
      <c r="F221" s="129" t="s">
        <v>388</v>
      </c>
      <c r="G221" s="129" t="s">
        <v>333</v>
      </c>
      <c r="H221" s="137" t="s">
        <v>389</v>
      </c>
      <c r="I221" s="137" t="s">
        <v>390</v>
      </c>
      <c r="J221" s="132">
        <v>12</v>
      </c>
      <c r="K221" s="169">
        <v>23.6</v>
      </c>
      <c r="L221" s="133">
        <f t="shared" si="10"/>
        <v>283.20000000000005</v>
      </c>
      <c r="M221" s="132"/>
      <c r="N221" s="169">
        <v>170.6</v>
      </c>
      <c r="O221" s="133">
        <f t="shared" si="11"/>
        <v>0</v>
      </c>
      <c r="P221" s="132"/>
      <c r="Q221" s="132"/>
      <c r="R221" s="132"/>
      <c r="S221" s="134"/>
      <c r="T221" s="134">
        <f>Tabela4[[#This Row],[Valor do contrato sem o equipamento]]/30.4375*3</f>
        <v>0</v>
      </c>
      <c r="U221" s="134">
        <f>Tabela4[[#This Row],[Valor contrato]]*(30.4375-Tabela4[[#This Row],[Dias inoperantes]])/30.4375</f>
        <v>0</v>
      </c>
      <c r="V221" s="134"/>
      <c r="W221" s="135"/>
      <c r="X221" s="140"/>
      <c r="Y221" s="135">
        <f>Tabela4[[#This Row],[Diferença]]*Tabela4[[#This Row],[Quantidade]]</f>
        <v>0</v>
      </c>
    </row>
    <row r="222" spans="2:25" ht="15" hidden="1" thickBot="1">
      <c r="B222" s="129" t="s">
        <v>13</v>
      </c>
      <c r="C222" s="129" t="s">
        <v>31</v>
      </c>
      <c r="D222" s="113" t="s">
        <v>39</v>
      </c>
      <c r="E222" s="114">
        <v>45778</v>
      </c>
      <c r="F222" s="129" t="s">
        <v>388</v>
      </c>
      <c r="G222" s="129" t="s">
        <v>335</v>
      </c>
      <c r="H222" s="137" t="s">
        <v>389</v>
      </c>
      <c r="I222" s="137">
        <v>0.63888888888888884</v>
      </c>
      <c r="J222" s="132">
        <v>1.3333333333333339</v>
      </c>
      <c r="K222" s="169">
        <v>25.44</v>
      </c>
      <c r="L222" s="133">
        <f t="shared" si="10"/>
        <v>33.920000000000016</v>
      </c>
      <c r="M222" s="132"/>
      <c r="N222" s="169">
        <v>183.86</v>
      </c>
      <c r="O222" s="133">
        <f t="shared" si="11"/>
        <v>0</v>
      </c>
      <c r="P222" s="132"/>
      <c r="Q222" s="132"/>
      <c r="R222" s="132"/>
      <c r="S222" s="134"/>
      <c r="T222" s="134">
        <f>Tabela4[[#This Row],[Valor do contrato sem o equipamento]]/30.4375*3</f>
        <v>0</v>
      </c>
      <c r="U222" s="134">
        <f>Tabela4[[#This Row],[Valor contrato]]*(30.4375-Tabela4[[#This Row],[Dias inoperantes]])/30.4375</f>
        <v>0</v>
      </c>
      <c r="V222" s="134"/>
      <c r="W222" s="135"/>
      <c r="X222" s="140"/>
      <c r="Y222" s="135">
        <f>Tabela4[[#This Row],[Diferença]]*Tabela4[[#This Row],[Quantidade]]</f>
        <v>0</v>
      </c>
    </row>
    <row r="223" spans="2:25" ht="15" hidden="1" thickBot="1">
      <c r="B223" s="129" t="s">
        <v>13</v>
      </c>
      <c r="C223" s="129" t="s">
        <v>31</v>
      </c>
      <c r="D223" s="113" t="s">
        <v>39</v>
      </c>
      <c r="E223" s="114">
        <v>45778</v>
      </c>
      <c r="F223" s="129" t="s">
        <v>388</v>
      </c>
      <c r="G223" s="129" t="s">
        <v>333</v>
      </c>
      <c r="H223" s="137">
        <v>0.45833333333333331</v>
      </c>
      <c r="I223" s="137">
        <v>0.95833333333333337</v>
      </c>
      <c r="J223" s="132">
        <v>4</v>
      </c>
      <c r="K223" s="169">
        <v>24</v>
      </c>
      <c r="L223" s="133">
        <f t="shared" si="10"/>
        <v>96</v>
      </c>
      <c r="M223" s="132"/>
      <c r="N223" s="169">
        <v>173.44</v>
      </c>
      <c r="O223" s="133">
        <f t="shared" si="11"/>
        <v>0</v>
      </c>
      <c r="P223" s="132"/>
      <c r="Q223" s="132"/>
      <c r="R223" s="132"/>
      <c r="S223" s="134"/>
      <c r="T223" s="134">
        <f>Tabela4[[#This Row],[Valor do contrato sem o equipamento]]/30.4375*3</f>
        <v>0</v>
      </c>
      <c r="U223" s="134">
        <f>Tabela4[[#This Row],[Valor contrato]]*(30.4375-Tabela4[[#This Row],[Dias inoperantes]])/30.4375</f>
        <v>0</v>
      </c>
      <c r="V223" s="134"/>
      <c r="W223" s="135"/>
      <c r="X223" s="140"/>
      <c r="Y223" s="135">
        <f>Tabela4[[#This Row],[Diferença]]*Tabela4[[#This Row],[Quantidade]]</f>
        <v>0</v>
      </c>
    </row>
    <row r="224" spans="2:25" ht="15" hidden="1" thickBot="1">
      <c r="B224" s="113" t="s">
        <v>13</v>
      </c>
      <c r="C224" s="113" t="s">
        <v>31</v>
      </c>
      <c r="D224" s="113" t="s">
        <v>39</v>
      </c>
      <c r="E224" s="114">
        <v>45901</v>
      </c>
      <c r="F224" s="129" t="s">
        <v>388</v>
      </c>
      <c r="G224" s="129" t="s">
        <v>333</v>
      </c>
      <c r="H224" s="137">
        <v>0.33333333333333331</v>
      </c>
      <c r="I224" s="137">
        <v>0.83333333333333337</v>
      </c>
      <c r="J224" s="132">
        <v>0</v>
      </c>
      <c r="K224" s="132">
        <v>23.6</v>
      </c>
      <c r="L224" s="169">
        <f>J224*K224</f>
        <v>0</v>
      </c>
      <c r="M224" s="132">
        <v>1</v>
      </c>
      <c r="N224" s="134">
        <v>170.6</v>
      </c>
      <c r="O224" s="169">
        <f>M224*N224</f>
        <v>170.6</v>
      </c>
      <c r="P224" s="115"/>
      <c r="Q224" s="132"/>
      <c r="R224" s="132"/>
      <c r="S224" s="134"/>
      <c r="T224" s="134">
        <f>Tabela4[[#This Row],[Valor do contrato sem o equipamento]]/30.4375*3</f>
        <v>0</v>
      </c>
      <c r="U224" s="134">
        <f>Tabela4[[#This Row],[Valor contrato]]*(30.4375-Tabela4[[#This Row],[Dias inoperantes]])/30.4375</f>
        <v>0</v>
      </c>
      <c r="V224" s="116"/>
      <c r="W224" s="150"/>
      <c r="X224" s="140"/>
      <c r="Y224" s="123">
        <f>Tabela4[[#This Row],[Diferença]]*Tabela4[[#This Row],[Quantidade]]</f>
        <v>0</v>
      </c>
    </row>
    <row r="225" spans="2:25" ht="15" hidden="1" thickBot="1">
      <c r="B225" s="113" t="s">
        <v>13</v>
      </c>
      <c r="C225" s="113" t="s">
        <v>31</v>
      </c>
      <c r="D225" s="113" t="s">
        <v>39</v>
      </c>
      <c r="E225" s="114">
        <v>45901</v>
      </c>
      <c r="F225" s="129" t="s">
        <v>388</v>
      </c>
      <c r="G225" s="129" t="s">
        <v>333</v>
      </c>
      <c r="H225" s="137">
        <v>0.83333333333333337</v>
      </c>
      <c r="I225" s="137">
        <v>0.33333333333333331</v>
      </c>
      <c r="J225" s="132">
        <v>0</v>
      </c>
      <c r="K225" s="169">
        <v>25.96</v>
      </c>
      <c r="L225" s="169">
        <f>J225*K225</f>
        <v>0</v>
      </c>
      <c r="M225" s="132">
        <v>2</v>
      </c>
      <c r="N225" s="134">
        <v>187.63</v>
      </c>
      <c r="O225" s="169">
        <f>M225*N225</f>
        <v>375.26</v>
      </c>
      <c r="P225" s="115"/>
      <c r="Q225" s="132"/>
      <c r="R225" s="132"/>
      <c r="S225" s="134"/>
      <c r="T225" s="134">
        <f>Tabela4[[#This Row],[Valor do contrato sem o equipamento]]/30.4375*3</f>
        <v>0</v>
      </c>
      <c r="U225" s="134">
        <f>Tabela4[[#This Row],[Valor contrato]]*(30.4375-Tabela4[[#This Row],[Dias inoperantes]])/30.4375</f>
        <v>0</v>
      </c>
      <c r="V225" s="116"/>
      <c r="W225" s="150"/>
      <c r="X225" s="140"/>
      <c r="Y225" s="123">
        <f>Tabela4[[#This Row],[Diferença]]*Tabela4[[#This Row],[Quantidade]]</f>
        <v>0</v>
      </c>
    </row>
    <row r="226" spans="2:25" ht="15" hidden="1" thickBot="1">
      <c r="B226" s="113" t="s">
        <v>13</v>
      </c>
      <c r="C226" s="113" t="s">
        <v>31</v>
      </c>
      <c r="D226" s="113" t="s">
        <v>39</v>
      </c>
      <c r="E226" s="114">
        <v>45901</v>
      </c>
      <c r="F226" s="129" t="s">
        <v>388</v>
      </c>
      <c r="G226" s="129" t="s">
        <v>335</v>
      </c>
      <c r="H226" s="137">
        <v>0.33333333333333331</v>
      </c>
      <c r="I226" s="137">
        <v>0.68055555555555558</v>
      </c>
      <c r="J226" s="132">
        <v>0</v>
      </c>
      <c r="K226" s="169">
        <v>25.44</v>
      </c>
      <c r="L226" s="169">
        <f>J226*K226</f>
        <v>0</v>
      </c>
      <c r="M226" s="132">
        <v>1</v>
      </c>
      <c r="N226" s="169">
        <v>183.86</v>
      </c>
      <c r="O226" s="169">
        <f>M226*N226</f>
        <v>183.86</v>
      </c>
      <c r="P226" s="115"/>
      <c r="Q226" s="132"/>
      <c r="R226" s="132"/>
      <c r="S226" s="134"/>
      <c r="T226" s="134">
        <f>Tabela4[[#This Row],[Valor do contrato sem o equipamento]]/30.4375*3</f>
        <v>0</v>
      </c>
      <c r="U226" s="134">
        <f>Tabela4[[#This Row],[Valor contrato]]*(30.4375-Tabela4[[#This Row],[Dias inoperantes]])/30.4375</f>
        <v>0</v>
      </c>
      <c r="V226" s="116"/>
      <c r="W226" s="150"/>
      <c r="X226" s="140"/>
      <c r="Y226" s="123">
        <f>Tabela4[[#This Row],[Diferença]]*Tabela4[[#This Row],[Quantidade]]</f>
        <v>0</v>
      </c>
    </row>
    <row r="227" spans="2:25" ht="15" hidden="1" thickBot="1">
      <c r="B227" s="113" t="s">
        <v>13</v>
      </c>
      <c r="C227" s="113" t="s">
        <v>31</v>
      </c>
      <c r="D227" s="113" t="s">
        <v>39</v>
      </c>
      <c r="E227" s="114">
        <v>45901</v>
      </c>
      <c r="F227" s="129" t="s">
        <v>388</v>
      </c>
      <c r="G227" s="137" t="s">
        <v>333</v>
      </c>
      <c r="H227" s="137">
        <v>0.45833333333333331</v>
      </c>
      <c r="I227" s="137">
        <v>0.95833333333333337</v>
      </c>
      <c r="J227" s="132">
        <v>0</v>
      </c>
      <c r="K227" s="169">
        <v>24</v>
      </c>
      <c r="L227" s="169">
        <f>J227*K227</f>
        <v>0</v>
      </c>
      <c r="M227" s="132">
        <v>2</v>
      </c>
      <c r="N227" s="169">
        <v>173.44</v>
      </c>
      <c r="O227" s="169">
        <f>M227*N227</f>
        <v>346.88</v>
      </c>
      <c r="P227" s="115"/>
      <c r="Q227" s="132"/>
      <c r="R227" s="132"/>
      <c r="S227" s="134"/>
      <c r="T227" s="134">
        <f>Tabela4[[#This Row],[Valor do contrato sem o equipamento]]/30.4375*3</f>
        <v>0</v>
      </c>
      <c r="U227" s="134">
        <f>Tabela4[[#This Row],[Valor contrato]]*(30.4375-Tabela4[[#This Row],[Dias inoperantes]])/30.4375</f>
        <v>0</v>
      </c>
      <c r="V227" s="116"/>
      <c r="W227" s="150"/>
      <c r="X227" s="140"/>
      <c r="Y227" s="123">
        <f>Tabela4[[#This Row],[Diferença]]*Tabela4[[#This Row],[Quantidade]]</f>
        <v>0</v>
      </c>
    </row>
    <row r="228" spans="2:25" ht="15" hidden="1" thickBot="1">
      <c r="B228" s="129" t="s">
        <v>13</v>
      </c>
      <c r="C228" s="129" t="s">
        <v>31</v>
      </c>
      <c r="D228" s="113" t="s">
        <v>39</v>
      </c>
      <c r="E228" s="114">
        <v>45778</v>
      </c>
      <c r="F228" s="129" t="s">
        <v>388</v>
      </c>
      <c r="G228" s="129" t="s">
        <v>333</v>
      </c>
      <c r="H228" s="137">
        <v>0.45833333333333331</v>
      </c>
      <c r="I228" s="137">
        <v>0.95833333333333337</v>
      </c>
      <c r="J228" s="132">
        <v>12</v>
      </c>
      <c r="K228" s="169">
        <v>24</v>
      </c>
      <c r="L228" s="133">
        <f t="shared" si="10"/>
        <v>288</v>
      </c>
      <c r="M228" s="132"/>
      <c r="N228" s="169">
        <v>173.44</v>
      </c>
      <c r="O228" s="133">
        <f t="shared" si="11"/>
        <v>0</v>
      </c>
      <c r="P228" s="132"/>
      <c r="Q228" s="132"/>
      <c r="R228" s="132"/>
      <c r="S228" s="134"/>
      <c r="T228" s="134">
        <f>Tabela4[[#This Row],[Valor do contrato sem o equipamento]]/30.4375*3</f>
        <v>0</v>
      </c>
      <c r="U228" s="134">
        <f>Tabela4[[#This Row],[Valor contrato]]*(30.4375-Tabela4[[#This Row],[Dias inoperantes]])/30.4375</f>
        <v>0</v>
      </c>
      <c r="V228" s="134"/>
      <c r="W228" s="135"/>
      <c r="X228" s="140"/>
      <c r="Y228" s="135">
        <f>Tabela4[[#This Row],[Diferença]]*Tabela4[[#This Row],[Quantidade]]</f>
        <v>0</v>
      </c>
    </row>
    <row r="229" spans="2:25" ht="15" hidden="1" thickBot="1">
      <c r="B229" s="129" t="s">
        <v>13</v>
      </c>
      <c r="C229" s="129" t="s">
        <v>31</v>
      </c>
      <c r="D229" s="113" t="s">
        <v>39</v>
      </c>
      <c r="E229" s="114">
        <v>45778</v>
      </c>
      <c r="F229" s="129" t="s">
        <v>388</v>
      </c>
      <c r="G229" s="129" t="s">
        <v>333</v>
      </c>
      <c r="H229" s="137">
        <v>0.45833333333333331</v>
      </c>
      <c r="I229" s="137">
        <v>0.95833333333333337</v>
      </c>
      <c r="J229" s="132">
        <v>9.0000000000000018</v>
      </c>
      <c r="K229" s="169">
        <v>24</v>
      </c>
      <c r="L229" s="133">
        <f t="shared" si="10"/>
        <v>216.00000000000006</v>
      </c>
      <c r="M229" s="132"/>
      <c r="N229" s="169">
        <v>173.44</v>
      </c>
      <c r="O229" s="133">
        <f t="shared" si="11"/>
        <v>0</v>
      </c>
      <c r="P229" s="132"/>
      <c r="Q229" s="132"/>
      <c r="R229" s="132"/>
      <c r="S229" s="134"/>
      <c r="T229" s="134">
        <f>Tabela4[[#This Row],[Valor do contrato sem o equipamento]]/30.4375*3</f>
        <v>0</v>
      </c>
      <c r="U229" s="134">
        <f>Tabela4[[#This Row],[Valor contrato]]*(30.4375-Tabela4[[#This Row],[Dias inoperantes]])/30.4375</f>
        <v>0</v>
      </c>
      <c r="V229" s="134"/>
      <c r="W229" s="135"/>
      <c r="X229" s="140"/>
      <c r="Y229" s="135">
        <f>Tabela4[[#This Row],[Diferença]]*Tabela4[[#This Row],[Quantidade]]</f>
        <v>0</v>
      </c>
    </row>
    <row r="230" spans="2:25" ht="15" hidden="1" thickBot="1">
      <c r="B230" s="113" t="s">
        <v>13</v>
      </c>
      <c r="C230" s="113" t="s">
        <v>25</v>
      </c>
      <c r="D230" s="113" t="s">
        <v>41</v>
      </c>
      <c r="E230" s="114">
        <v>45870</v>
      </c>
      <c r="F230" s="177" t="s">
        <v>395</v>
      </c>
      <c r="G230" s="137" t="s">
        <v>333</v>
      </c>
      <c r="H230" s="137">
        <v>0.29166666666666669</v>
      </c>
      <c r="I230" s="137">
        <v>0.79166666666666663</v>
      </c>
      <c r="J230" s="132">
        <v>1.28</v>
      </c>
      <c r="K230" s="169">
        <v>37.950000000000003</v>
      </c>
      <c r="L230" s="169">
        <f>J230*K230</f>
        <v>48.576000000000008</v>
      </c>
      <c r="M230" s="132">
        <v>0</v>
      </c>
      <c r="N230" s="169">
        <v>274.33</v>
      </c>
      <c r="O230" s="169">
        <f>M230*N230</f>
        <v>0</v>
      </c>
      <c r="P230" s="115"/>
      <c r="Q230" s="132"/>
      <c r="R230" s="132"/>
      <c r="S230" s="134"/>
      <c r="T230" s="134">
        <f>Tabela4[[#This Row],[Valor do contrato sem o equipamento]]/30.4375*3</f>
        <v>0</v>
      </c>
      <c r="U230" s="134">
        <f>Tabela4[[#This Row],[Valor contrato]]*(30.4375-Tabela4[[#This Row],[Dias inoperantes]])/30.4375</f>
        <v>0</v>
      </c>
      <c r="V230" s="116"/>
      <c r="W230" s="150"/>
      <c r="X230" s="140"/>
      <c r="Y230" s="123">
        <f>Tabela4[[#This Row],[Diferença]]*Tabela4[[#This Row],[Quantidade]]</f>
        <v>0</v>
      </c>
    </row>
    <row r="231" spans="2:25" ht="15" hidden="1" thickBot="1">
      <c r="B231" s="113" t="s">
        <v>13</v>
      </c>
      <c r="C231" s="113" t="s">
        <v>25</v>
      </c>
      <c r="D231" s="113" t="s">
        <v>41</v>
      </c>
      <c r="E231" s="114">
        <v>45901</v>
      </c>
      <c r="F231" s="177" t="s">
        <v>396</v>
      </c>
      <c r="G231" s="137" t="s">
        <v>355</v>
      </c>
      <c r="H231" s="137">
        <v>0.33333333333333331</v>
      </c>
      <c r="I231" s="137">
        <v>0.7416666666666667</v>
      </c>
      <c r="J231" s="132">
        <v>0</v>
      </c>
      <c r="K231" s="169">
        <v>36.909999999999997</v>
      </c>
      <c r="L231" s="169">
        <f>J231*K231</f>
        <v>0</v>
      </c>
      <c r="M231" s="132">
        <v>9</v>
      </c>
      <c r="N231" s="169">
        <v>266.8</v>
      </c>
      <c r="O231" s="169">
        <f>M231*N231</f>
        <v>2401.2000000000003</v>
      </c>
      <c r="P231" s="115"/>
      <c r="Q231" s="132"/>
      <c r="R231" s="132"/>
      <c r="S231" s="134"/>
      <c r="T231" s="134">
        <f>Tabela4[[#This Row],[Valor do contrato sem o equipamento]]/30.4375*3</f>
        <v>0</v>
      </c>
      <c r="U231" s="134">
        <f>Tabela4[[#This Row],[Valor contrato]]*(30.4375-Tabela4[[#This Row],[Dias inoperantes]])/30.4375</f>
        <v>0</v>
      </c>
      <c r="V231" s="116"/>
      <c r="W231" s="150"/>
      <c r="X231" s="140"/>
      <c r="Y231" s="123">
        <f>Tabela4[[#This Row],[Diferença]]*Tabela4[[#This Row],[Quantidade]]</f>
        <v>0</v>
      </c>
    </row>
    <row r="232" spans="2:25" ht="15" hidden="1" thickBot="1">
      <c r="B232" s="113" t="s">
        <v>13</v>
      </c>
      <c r="C232" s="113" t="s">
        <v>25</v>
      </c>
      <c r="D232" s="113" t="s">
        <v>41</v>
      </c>
      <c r="E232" s="114">
        <v>45901</v>
      </c>
      <c r="F232" s="177" t="s">
        <v>395</v>
      </c>
      <c r="G232" s="137" t="s">
        <v>333</v>
      </c>
      <c r="H232" s="137">
        <v>0.29166666666666669</v>
      </c>
      <c r="I232" s="137">
        <v>0.79166666666666663</v>
      </c>
      <c r="J232" s="132">
        <v>1.1500000000000001</v>
      </c>
      <c r="K232" s="169">
        <v>37.97</v>
      </c>
      <c r="L232" s="169">
        <f>J232*K232</f>
        <v>43.665500000000002</v>
      </c>
      <c r="M232" s="132">
        <v>0</v>
      </c>
      <c r="N232" s="169">
        <v>274.44</v>
      </c>
      <c r="O232" s="169">
        <f>M232*N232</f>
        <v>0</v>
      </c>
      <c r="P232" s="115"/>
      <c r="Q232" s="132"/>
      <c r="R232" s="132"/>
      <c r="S232" s="134"/>
      <c r="T232" s="134">
        <f>Tabela4[[#This Row],[Valor do contrato sem o equipamento]]/30.4375*3</f>
        <v>0</v>
      </c>
      <c r="U232" s="134">
        <f>Tabela4[[#This Row],[Valor contrato]]*(30.4375-Tabela4[[#This Row],[Dias inoperantes]])/30.4375</f>
        <v>0</v>
      </c>
      <c r="V232" s="116"/>
      <c r="W232" s="150"/>
      <c r="X232" s="140"/>
      <c r="Y232" s="123">
        <f>Tabela4[[#This Row],[Diferença]]*Tabela4[[#This Row],[Quantidade]]</f>
        <v>0</v>
      </c>
    </row>
    <row r="233" spans="2:25" ht="15" hidden="1" thickBot="1">
      <c r="B233" s="113" t="s">
        <v>13</v>
      </c>
      <c r="C233" s="113" t="s">
        <v>25</v>
      </c>
      <c r="D233" s="113" t="s">
        <v>41</v>
      </c>
      <c r="E233" s="114">
        <v>45901</v>
      </c>
      <c r="F233" s="177" t="s">
        <v>356</v>
      </c>
      <c r="G233" s="137" t="s">
        <v>335</v>
      </c>
      <c r="H233" s="137">
        <v>0.25</v>
      </c>
      <c r="I233" s="137">
        <v>0.59722222222222221</v>
      </c>
      <c r="J233" s="132">
        <v>0</v>
      </c>
      <c r="K233" s="169">
        <v>29.61</v>
      </c>
      <c r="L233" s="169">
        <f>J233*K233</f>
        <v>0</v>
      </c>
      <c r="M233" s="132">
        <v>30</v>
      </c>
      <c r="N233" s="169">
        <v>217.82499999999999</v>
      </c>
      <c r="O233" s="169">
        <f>M233*N233</f>
        <v>6534.75</v>
      </c>
      <c r="P233" s="115"/>
      <c r="Q233" s="132"/>
      <c r="R233" s="132"/>
      <c r="S233" s="134"/>
      <c r="T233" s="134">
        <f>Tabela4[[#This Row],[Valor do contrato sem o equipamento]]/30.4375*3</f>
        <v>0</v>
      </c>
      <c r="U233" s="134">
        <f>Tabela4[[#This Row],[Valor contrato]]*(30.4375-Tabela4[[#This Row],[Dias inoperantes]])/30.4375</f>
        <v>0</v>
      </c>
      <c r="V233" s="116"/>
      <c r="W233" s="150"/>
      <c r="X233" s="140"/>
      <c r="Y233" s="123">
        <f>Tabela4[[#This Row],[Diferença]]*Tabela4[[#This Row],[Quantidade]]</f>
        <v>0</v>
      </c>
    </row>
    <row r="234" spans="2:25" ht="15" hidden="1" thickBot="1">
      <c r="B234" s="113" t="s">
        <v>13</v>
      </c>
      <c r="C234" s="113" t="s">
        <v>25</v>
      </c>
      <c r="D234" s="113" t="s">
        <v>41</v>
      </c>
      <c r="E234" s="114">
        <v>45870</v>
      </c>
      <c r="F234" s="177" t="s">
        <v>357</v>
      </c>
      <c r="G234" s="137" t="s">
        <v>335</v>
      </c>
      <c r="H234" s="137">
        <v>0.29166666666666669</v>
      </c>
      <c r="I234" s="137">
        <v>0.63888888888888884</v>
      </c>
      <c r="J234" s="132">
        <v>0</v>
      </c>
      <c r="K234" s="169">
        <v>37.270000000000003</v>
      </c>
      <c r="L234" s="169">
        <f t="shared" ref="L234:L242" si="12">J234*K234</f>
        <v>0</v>
      </c>
      <c r="M234" s="132">
        <v>14</v>
      </c>
      <c r="N234" s="169">
        <v>269.39</v>
      </c>
      <c r="O234" s="169">
        <f t="shared" ref="O234:O242" si="13">M234*N234</f>
        <v>3771.46</v>
      </c>
      <c r="P234" s="115"/>
      <c r="Q234" s="132"/>
      <c r="R234" s="132"/>
      <c r="S234" s="134"/>
      <c r="T234" s="134">
        <f>Tabela4[[#This Row],[Valor do contrato sem o equipamento]]/30.4375*3</f>
        <v>0</v>
      </c>
      <c r="U234" s="134">
        <f>Tabela4[[#This Row],[Valor contrato]]*(30.4375-Tabela4[[#This Row],[Dias inoperantes]])/30.4375</f>
        <v>0</v>
      </c>
      <c r="V234" s="116"/>
      <c r="W234" s="150"/>
      <c r="X234" s="140"/>
      <c r="Y234" s="123">
        <f>Tabela4[[#This Row],[Diferença]]*Tabela4[[#This Row],[Quantidade]]</f>
        <v>0</v>
      </c>
    </row>
    <row r="235" spans="2:25" ht="15" hidden="1" thickBot="1">
      <c r="B235" s="113" t="s">
        <v>13</v>
      </c>
      <c r="C235" s="113" t="s">
        <v>25</v>
      </c>
      <c r="D235" s="113" t="s">
        <v>41</v>
      </c>
      <c r="E235" s="114">
        <v>45809</v>
      </c>
      <c r="F235" s="177" t="s">
        <v>395</v>
      </c>
      <c r="G235" s="137" t="s">
        <v>333</v>
      </c>
      <c r="H235" s="137">
        <v>0.29166666666666669</v>
      </c>
      <c r="I235" s="137">
        <v>0.79166666666666663</v>
      </c>
      <c r="J235" s="132">
        <v>3.8</v>
      </c>
      <c r="K235" s="169">
        <v>37.950000000000003</v>
      </c>
      <c r="L235" s="169">
        <f>J235*K235</f>
        <v>144.21</v>
      </c>
      <c r="M235" s="132">
        <v>0</v>
      </c>
      <c r="N235" s="169">
        <v>274.33</v>
      </c>
      <c r="O235" s="169">
        <f>M235*N235</f>
        <v>0</v>
      </c>
      <c r="P235" s="115"/>
      <c r="Q235" s="132"/>
      <c r="R235" s="132"/>
      <c r="S235" s="134"/>
      <c r="T235" s="134">
        <f>Tabela4[[#This Row],[Valor do contrato sem o equipamento]]/30.4375*3</f>
        <v>0</v>
      </c>
      <c r="U235" s="134">
        <f>Tabela4[[#This Row],[Valor contrato]]*(30.4375-Tabela4[[#This Row],[Dias inoperantes]])/30.4375</f>
        <v>0</v>
      </c>
      <c r="V235" s="116"/>
      <c r="W235" s="150"/>
      <c r="X235" s="140"/>
      <c r="Y235" s="123">
        <f>Tabela4[[#This Row],[Diferença]]*Tabela4[[#This Row],[Quantidade]]</f>
        <v>0</v>
      </c>
    </row>
    <row r="236" spans="2:25" ht="15" hidden="1" thickBot="1">
      <c r="B236" s="113" t="s">
        <v>13</v>
      </c>
      <c r="C236" s="113" t="s">
        <v>25</v>
      </c>
      <c r="D236" s="113" t="s">
        <v>41</v>
      </c>
      <c r="E236" s="114">
        <v>45809</v>
      </c>
      <c r="F236" s="177" t="s">
        <v>356</v>
      </c>
      <c r="G236" s="137" t="s">
        <v>335</v>
      </c>
      <c r="H236" s="137">
        <v>0.29166666666666669</v>
      </c>
      <c r="I236" s="137">
        <v>0.63888888888888884</v>
      </c>
      <c r="J236" s="132">
        <v>0</v>
      </c>
      <c r="K236" s="169">
        <v>29.61</v>
      </c>
      <c r="L236" s="169">
        <f t="shared" si="12"/>
        <v>0</v>
      </c>
      <c r="M236" s="132">
        <v>22</v>
      </c>
      <c r="N236" s="169">
        <v>214.02</v>
      </c>
      <c r="O236" s="169">
        <f t="shared" si="13"/>
        <v>4708.4400000000005</v>
      </c>
      <c r="P236" s="115"/>
      <c r="Q236" s="132"/>
      <c r="R236" s="132"/>
      <c r="S236" s="134"/>
      <c r="T236" s="134">
        <f>Tabela4[[#This Row],[Valor do contrato sem o equipamento]]/30.4375*3</f>
        <v>0</v>
      </c>
      <c r="U236" s="134">
        <f>Tabela4[[#This Row],[Valor contrato]]*(30.4375-Tabela4[[#This Row],[Dias inoperantes]])/30.4375</f>
        <v>0</v>
      </c>
      <c r="V236" s="116"/>
      <c r="W236" s="150"/>
      <c r="X236" s="140"/>
      <c r="Y236" s="123">
        <f>Tabela4[[#This Row],[Diferença]]*Tabela4[[#This Row],[Quantidade]]</f>
        <v>0</v>
      </c>
    </row>
    <row r="237" spans="2:25" ht="15" hidden="1" thickBot="1">
      <c r="B237" s="113" t="s">
        <v>13</v>
      </c>
      <c r="C237" s="113" t="s">
        <v>25</v>
      </c>
      <c r="D237" s="113" t="s">
        <v>41</v>
      </c>
      <c r="E237" s="114">
        <v>45778</v>
      </c>
      <c r="F237" s="177" t="s">
        <v>397</v>
      </c>
      <c r="G237" s="137" t="s">
        <v>377</v>
      </c>
      <c r="H237" s="137">
        <v>0.29166666666666669</v>
      </c>
      <c r="I237" s="137">
        <v>0.79166666666666663</v>
      </c>
      <c r="J237" s="132">
        <v>63</v>
      </c>
      <c r="K237" s="169">
        <v>37.950000000000003</v>
      </c>
      <c r="L237" s="169">
        <f t="shared" si="12"/>
        <v>2390.8500000000004</v>
      </c>
      <c r="M237" s="132">
        <v>0</v>
      </c>
      <c r="N237" s="169">
        <v>274.33</v>
      </c>
      <c r="O237" s="169">
        <f t="shared" si="13"/>
        <v>0</v>
      </c>
      <c r="P237" s="115"/>
      <c r="Q237" s="132"/>
      <c r="R237" s="132"/>
      <c r="S237" s="134"/>
      <c r="T237" s="134">
        <f>Tabela4[[#This Row],[Valor do contrato sem o equipamento]]/30.4375*3</f>
        <v>0</v>
      </c>
      <c r="U237" s="134">
        <f>Tabela4[[#This Row],[Valor contrato]]*(30.4375-Tabela4[[#This Row],[Dias inoperantes]])/30.4375</f>
        <v>0</v>
      </c>
      <c r="V237" s="116"/>
      <c r="W237" s="150"/>
      <c r="X237" s="140"/>
      <c r="Y237" s="123">
        <f>Tabela4[[#This Row],[Diferença]]*Tabela4[[#This Row],[Quantidade]]</f>
        <v>0</v>
      </c>
    </row>
    <row r="238" spans="2:25" ht="15" hidden="1" thickBot="1">
      <c r="B238" s="113" t="s">
        <v>13</v>
      </c>
      <c r="C238" s="113" t="s">
        <v>25</v>
      </c>
      <c r="D238" s="113" t="s">
        <v>41</v>
      </c>
      <c r="E238" s="114">
        <v>45778</v>
      </c>
      <c r="F238" s="177" t="s">
        <v>356</v>
      </c>
      <c r="G238" s="137" t="s">
        <v>335</v>
      </c>
      <c r="H238" s="137">
        <v>0.29166666666666669</v>
      </c>
      <c r="I238" s="137">
        <v>0.63888888888888884</v>
      </c>
      <c r="J238" s="132">
        <v>0</v>
      </c>
      <c r="K238" s="169">
        <v>29.61</v>
      </c>
      <c r="L238" s="169">
        <f t="shared" si="12"/>
        <v>0</v>
      </c>
      <c r="M238" s="132">
        <v>22</v>
      </c>
      <c r="N238" s="169">
        <v>214.02</v>
      </c>
      <c r="O238" s="169">
        <f t="shared" si="13"/>
        <v>4708.4400000000005</v>
      </c>
      <c r="P238" s="115"/>
      <c r="Q238" s="132"/>
      <c r="R238" s="132"/>
      <c r="S238" s="134"/>
      <c r="T238" s="134">
        <f>Tabela4[[#This Row],[Valor do contrato sem o equipamento]]/30.4375*3</f>
        <v>0</v>
      </c>
      <c r="U238" s="134">
        <f>Tabela4[[#This Row],[Valor contrato]]*(30.4375-Tabela4[[#This Row],[Dias inoperantes]])/30.4375</f>
        <v>0</v>
      </c>
      <c r="V238" s="116"/>
      <c r="W238" s="150"/>
      <c r="X238" s="140"/>
      <c r="Y238" s="123">
        <f>Tabela4[[#This Row],[Diferença]]*Tabela4[[#This Row],[Quantidade]]</f>
        <v>0</v>
      </c>
    </row>
    <row r="239" spans="2:25" ht="15" hidden="1" thickBot="1">
      <c r="B239" s="113" t="s">
        <v>13</v>
      </c>
      <c r="C239" s="113" t="s">
        <v>25</v>
      </c>
      <c r="D239" s="113" t="s">
        <v>41</v>
      </c>
      <c r="E239" s="114">
        <v>45748</v>
      </c>
      <c r="F239" s="177" t="s">
        <v>398</v>
      </c>
      <c r="G239" s="137" t="s">
        <v>377</v>
      </c>
      <c r="H239" s="137">
        <v>0.79166666666666663</v>
      </c>
      <c r="I239" s="137">
        <v>0.29166666666666669</v>
      </c>
      <c r="J239" s="132">
        <v>7</v>
      </c>
      <c r="K239" s="169">
        <v>43.07</v>
      </c>
      <c r="L239" s="169">
        <f t="shared" si="12"/>
        <v>301.49</v>
      </c>
      <c r="M239" s="132">
        <v>1</v>
      </c>
      <c r="N239" s="169">
        <v>311.27999999999997</v>
      </c>
      <c r="O239" s="169">
        <f t="shared" si="13"/>
        <v>311.27999999999997</v>
      </c>
      <c r="P239" s="115"/>
      <c r="Q239" s="132"/>
      <c r="R239" s="132"/>
      <c r="S239" s="134"/>
      <c r="T239" s="134">
        <f>Tabela4[[#This Row],[Valor do contrato sem o equipamento]]/30.4375*3</f>
        <v>0</v>
      </c>
      <c r="U239" s="134">
        <f>Tabela4[[#This Row],[Valor contrato]]*(30.4375-Tabela4[[#This Row],[Dias inoperantes]])/30.4375</f>
        <v>0</v>
      </c>
      <c r="V239" s="116"/>
      <c r="W239" s="150"/>
      <c r="X239" s="140"/>
      <c r="Y239" s="123">
        <f>Tabela4[[#This Row],[Diferença]]*Tabela4[[#This Row],[Quantidade]]</f>
        <v>0</v>
      </c>
    </row>
    <row r="240" spans="2:25" ht="15" hidden="1" thickBot="1">
      <c r="B240" s="113" t="s">
        <v>13</v>
      </c>
      <c r="C240" s="113" t="s">
        <v>25</v>
      </c>
      <c r="D240" s="113" t="s">
        <v>41</v>
      </c>
      <c r="E240" s="114">
        <v>45748</v>
      </c>
      <c r="F240" s="177" t="s">
        <v>397</v>
      </c>
      <c r="G240" s="137" t="s">
        <v>333</v>
      </c>
      <c r="H240" s="137">
        <v>0.29166666666666669</v>
      </c>
      <c r="I240" s="137">
        <v>0.79166666666666663</v>
      </c>
      <c r="J240" s="132">
        <v>0</v>
      </c>
      <c r="K240" s="169">
        <v>37.97</v>
      </c>
      <c r="L240" s="169">
        <f t="shared" si="12"/>
        <v>0</v>
      </c>
      <c r="M240" s="132">
        <v>5</v>
      </c>
      <c r="N240" s="169">
        <v>274.44</v>
      </c>
      <c r="O240" s="169">
        <f t="shared" si="13"/>
        <v>1372.2</v>
      </c>
      <c r="P240" s="115"/>
      <c r="Q240" s="132"/>
      <c r="R240" s="132"/>
      <c r="S240" s="134"/>
      <c r="T240" s="134">
        <f>Tabela4[[#This Row],[Valor do contrato sem o equipamento]]/30.4375*3</f>
        <v>0</v>
      </c>
      <c r="U240" s="134">
        <f>Tabela4[[#This Row],[Valor contrato]]*(30.4375-Tabela4[[#This Row],[Dias inoperantes]])/30.4375</f>
        <v>0</v>
      </c>
      <c r="V240" s="116"/>
      <c r="W240" s="150"/>
      <c r="X240" s="140"/>
      <c r="Y240" s="123">
        <f>Tabela4[[#This Row],[Diferença]]*Tabela4[[#This Row],[Quantidade]]</f>
        <v>0</v>
      </c>
    </row>
    <row r="241" spans="2:25" ht="15" hidden="1" thickBot="1">
      <c r="B241" s="113" t="s">
        <v>13</v>
      </c>
      <c r="C241" s="113" t="s">
        <v>25</v>
      </c>
      <c r="D241" s="113" t="s">
        <v>41</v>
      </c>
      <c r="E241" s="114">
        <v>45748</v>
      </c>
      <c r="F241" s="177" t="s">
        <v>356</v>
      </c>
      <c r="G241" s="137" t="s">
        <v>399</v>
      </c>
      <c r="H241" s="137">
        <v>0.29166666666666669</v>
      </c>
      <c r="I241" s="137">
        <v>0.63888888888888884</v>
      </c>
      <c r="J241" s="132">
        <v>0</v>
      </c>
      <c r="K241" s="169">
        <v>29.61</v>
      </c>
      <c r="L241" s="169">
        <f t="shared" si="12"/>
        <v>0</v>
      </c>
      <c r="M241" s="132">
        <v>17</v>
      </c>
      <c r="N241" s="169">
        <v>214.02</v>
      </c>
      <c r="O241" s="169">
        <f t="shared" si="13"/>
        <v>3638.34</v>
      </c>
      <c r="P241" s="115"/>
      <c r="Q241" s="132"/>
      <c r="R241" s="132"/>
      <c r="S241" s="134"/>
      <c r="T241" s="134">
        <f>Tabela4[[#This Row],[Valor do contrato sem o equipamento]]/30.4375*3</f>
        <v>0</v>
      </c>
      <c r="U241" s="134">
        <f>Tabela4[[#This Row],[Valor contrato]]*(30.4375-Tabela4[[#This Row],[Dias inoperantes]])/30.4375</f>
        <v>0</v>
      </c>
      <c r="V241" s="116"/>
      <c r="W241" s="150"/>
      <c r="X241" s="140"/>
      <c r="Y241" s="123">
        <f>Tabela4[[#This Row],[Diferença]]*Tabela4[[#This Row],[Quantidade]]</f>
        <v>0</v>
      </c>
    </row>
    <row r="242" spans="2:25" ht="15" hidden="1" thickBot="1">
      <c r="B242" s="113" t="s">
        <v>13</v>
      </c>
      <c r="C242" s="113" t="s">
        <v>25</v>
      </c>
      <c r="D242" s="113" t="s">
        <v>41</v>
      </c>
      <c r="E242" s="114">
        <v>45717</v>
      </c>
      <c r="F242" s="177" t="s">
        <v>356</v>
      </c>
      <c r="G242" s="137" t="s">
        <v>335</v>
      </c>
      <c r="H242" s="137">
        <v>0.29166666666666669</v>
      </c>
      <c r="I242" s="137">
        <v>0.63888888888888884</v>
      </c>
      <c r="J242" s="132">
        <v>0</v>
      </c>
      <c r="K242" s="169">
        <v>29.61</v>
      </c>
      <c r="L242" s="169">
        <f t="shared" si="12"/>
        <v>0</v>
      </c>
      <c r="M242" s="132">
        <v>11</v>
      </c>
      <c r="N242" s="169">
        <v>214.02</v>
      </c>
      <c r="O242" s="169">
        <f t="shared" si="13"/>
        <v>2354.2200000000003</v>
      </c>
      <c r="P242" s="115"/>
      <c r="Q242" s="132"/>
      <c r="R242" s="132"/>
      <c r="S242" s="134"/>
      <c r="T242" s="134">
        <f>Tabela4[[#This Row],[Valor do contrato sem o equipamento]]/30.4375*3</f>
        <v>0</v>
      </c>
      <c r="U242" s="134">
        <f>Tabela4[[#This Row],[Valor contrato]]*(30.4375-Tabela4[[#This Row],[Dias inoperantes]])/30.4375</f>
        <v>0</v>
      </c>
      <c r="V242" s="116"/>
      <c r="W242" s="150"/>
      <c r="X242" s="140"/>
      <c r="Y242" s="123">
        <f>Tabela4[[#This Row],[Diferença]]*Tabela4[[#This Row],[Quantidade]]</f>
        <v>0</v>
      </c>
    </row>
    <row r="243" spans="2:25" ht="15" hidden="1" thickBot="1">
      <c r="B243" s="129" t="s">
        <v>12</v>
      </c>
      <c r="C243" s="129" t="s">
        <v>30</v>
      </c>
      <c r="D243" s="113" t="s">
        <v>56</v>
      </c>
      <c r="E243" s="114">
        <v>45658</v>
      </c>
      <c r="F243" s="131" t="s">
        <v>371</v>
      </c>
      <c r="G243" s="129" t="s">
        <v>335</v>
      </c>
      <c r="H243" s="137" t="s">
        <v>342</v>
      </c>
      <c r="I243" s="137" t="s">
        <v>400</v>
      </c>
      <c r="J243" s="132">
        <v>0</v>
      </c>
      <c r="K243" s="133">
        <v>25.67</v>
      </c>
      <c r="L243" s="133">
        <f t="shared" si="10"/>
        <v>0</v>
      </c>
      <c r="M243" s="132"/>
      <c r="N243" s="133">
        <v>185.51</v>
      </c>
      <c r="O243" s="133">
        <f t="shared" si="11"/>
        <v>0</v>
      </c>
      <c r="P243" s="132"/>
      <c r="Q243" s="132"/>
      <c r="R243" s="132"/>
      <c r="S243" s="132"/>
      <c r="T243" s="132">
        <f>Tabela4[[#This Row],[Valor do contrato sem o equipamento]]/30.4375*3</f>
        <v>0</v>
      </c>
      <c r="U243" s="132">
        <f>Tabela4[[#This Row],[Valor contrato]]*(30.4375-Tabela4[[#This Row],[Dias inoperantes]])/30.4375</f>
        <v>0</v>
      </c>
      <c r="V243" s="134"/>
      <c r="W243" s="135"/>
      <c r="X243" s="132"/>
      <c r="Y243" s="135">
        <f>Tabela4[[#This Row],[Diferença]]*Tabela4[[#This Row],[Quantidade]]</f>
        <v>0</v>
      </c>
    </row>
    <row r="244" spans="2:25" ht="15" hidden="1" thickBot="1">
      <c r="B244" s="129" t="s">
        <v>12</v>
      </c>
      <c r="C244" s="129" t="s">
        <v>30</v>
      </c>
      <c r="D244" s="113" t="s">
        <v>56</v>
      </c>
      <c r="E244" s="114">
        <v>45658</v>
      </c>
      <c r="F244" s="131" t="s">
        <v>352</v>
      </c>
      <c r="G244" s="129" t="s">
        <v>333</v>
      </c>
      <c r="H244" s="137" t="s">
        <v>334</v>
      </c>
      <c r="I244" s="137" t="s">
        <v>342</v>
      </c>
      <c r="J244" s="132">
        <v>0</v>
      </c>
      <c r="K244" s="133">
        <v>18.04</v>
      </c>
      <c r="L244" s="133">
        <f t="shared" si="10"/>
        <v>0</v>
      </c>
      <c r="M244" s="132"/>
      <c r="N244" s="133">
        <v>130.38999999999999</v>
      </c>
      <c r="O244" s="133">
        <f t="shared" si="11"/>
        <v>0</v>
      </c>
      <c r="P244" s="132"/>
      <c r="Q244" s="132"/>
      <c r="R244" s="132"/>
      <c r="S244" s="132"/>
      <c r="T244" s="132">
        <f>Tabela4[[#This Row],[Valor do contrato sem o equipamento]]/30.4375*3</f>
        <v>0</v>
      </c>
      <c r="U244" s="132">
        <f>Tabela4[[#This Row],[Valor contrato]]*(30.4375-Tabela4[[#This Row],[Dias inoperantes]])/30.4375</f>
        <v>0</v>
      </c>
      <c r="V244" s="134"/>
      <c r="W244" s="135"/>
      <c r="X244" s="132"/>
      <c r="Y244" s="135">
        <f>Tabela4[[#This Row],[Diferença]]*Tabela4[[#This Row],[Quantidade]]</f>
        <v>0</v>
      </c>
    </row>
    <row r="245" spans="2:25" ht="15" hidden="1" thickBot="1">
      <c r="B245" s="129" t="s">
        <v>12</v>
      </c>
      <c r="C245" s="129" t="s">
        <v>30</v>
      </c>
      <c r="D245" s="113" t="s">
        <v>56</v>
      </c>
      <c r="E245" s="114">
        <v>45658</v>
      </c>
      <c r="F245" s="131" t="s">
        <v>352</v>
      </c>
      <c r="G245" s="129" t="s">
        <v>333</v>
      </c>
      <c r="H245" s="137" t="s">
        <v>391</v>
      </c>
      <c r="I245" s="137" t="s">
        <v>349</v>
      </c>
      <c r="J245" s="132">
        <v>0</v>
      </c>
      <c r="K245" s="133">
        <v>18.329999999999998</v>
      </c>
      <c r="L245" s="133">
        <f t="shared" si="10"/>
        <v>0</v>
      </c>
      <c r="M245" s="132"/>
      <c r="N245" s="133">
        <v>132.5</v>
      </c>
      <c r="O245" s="133">
        <f t="shared" si="11"/>
        <v>0</v>
      </c>
      <c r="P245" s="132"/>
      <c r="Q245" s="132"/>
      <c r="R245" s="132"/>
      <c r="S245" s="132"/>
      <c r="T245" s="132">
        <f>Tabela4[[#This Row],[Valor do contrato sem o equipamento]]/30.4375*3</f>
        <v>0</v>
      </c>
      <c r="U245" s="132">
        <f>Tabela4[[#This Row],[Valor contrato]]*(30.4375-Tabela4[[#This Row],[Dias inoperantes]])/30.4375</f>
        <v>0</v>
      </c>
      <c r="V245" s="134"/>
      <c r="W245" s="135"/>
      <c r="X245" s="132"/>
      <c r="Y245" s="135">
        <f>Tabela4[[#This Row],[Diferença]]*Tabela4[[#This Row],[Quantidade]]</f>
        <v>0</v>
      </c>
    </row>
    <row r="246" spans="2:25" ht="15" hidden="1" thickBot="1">
      <c r="B246" s="129" t="s">
        <v>12</v>
      </c>
      <c r="C246" s="129" t="s">
        <v>30</v>
      </c>
      <c r="D246" s="113" t="s">
        <v>56</v>
      </c>
      <c r="E246" s="114">
        <v>45658</v>
      </c>
      <c r="F246" s="131" t="s">
        <v>401</v>
      </c>
      <c r="G246" s="129" t="s">
        <v>394</v>
      </c>
      <c r="H246" s="137" t="s">
        <v>340</v>
      </c>
      <c r="I246" s="137" t="s">
        <v>402</v>
      </c>
      <c r="J246" s="132">
        <v>0</v>
      </c>
      <c r="K246" s="133">
        <v>19.61</v>
      </c>
      <c r="L246" s="133">
        <f t="shared" si="10"/>
        <v>0</v>
      </c>
      <c r="M246" s="132"/>
      <c r="N246" s="133">
        <v>141.77000000000001</v>
      </c>
      <c r="O246" s="133">
        <f t="shared" si="11"/>
        <v>0</v>
      </c>
      <c r="P246" s="132"/>
      <c r="Q246" s="132"/>
      <c r="R246" s="132"/>
      <c r="S246" s="132"/>
      <c r="T246" s="132">
        <f>Tabela4[[#This Row],[Valor do contrato sem o equipamento]]/30.4375*3</f>
        <v>0</v>
      </c>
      <c r="U246" s="132">
        <f>Tabela4[[#This Row],[Valor contrato]]*(30.4375-Tabela4[[#This Row],[Dias inoperantes]])/30.4375</f>
        <v>0</v>
      </c>
      <c r="V246" s="134"/>
      <c r="W246" s="135"/>
      <c r="X246" s="132"/>
      <c r="Y246" s="135">
        <f>Tabela4[[#This Row],[Diferença]]*Tabela4[[#This Row],[Quantidade]]</f>
        <v>0</v>
      </c>
    </row>
    <row r="247" spans="2:25" ht="15" hidden="1" thickBot="1">
      <c r="B247" s="129" t="s">
        <v>12</v>
      </c>
      <c r="C247" s="129" t="s">
        <v>30</v>
      </c>
      <c r="D247" s="113" t="s">
        <v>56</v>
      </c>
      <c r="E247" s="114">
        <v>45658</v>
      </c>
      <c r="F247" s="131" t="s">
        <v>403</v>
      </c>
      <c r="G247" s="129" t="s">
        <v>335</v>
      </c>
      <c r="H247" s="137" t="s">
        <v>340</v>
      </c>
      <c r="I247" s="137" t="s">
        <v>341</v>
      </c>
      <c r="J247" s="132">
        <v>0</v>
      </c>
      <c r="K247" s="133">
        <v>24.17</v>
      </c>
      <c r="L247" s="133">
        <f t="shared" si="10"/>
        <v>0</v>
      </c>
      <c r="M247" s="132"/>
      <c r="N247" s="133">
        <v>174.7</v>
      </c>
      <c r="O247" s="133">
        <f t="shared" si="11"/>
        <v>0</v>
      </c>
      <c r="P247" s="132"/>
      <c r="Q247" s="132"/>
      <c r="R247" s="132"/>
      <c r="S247" s="132"/>
      <c r="T247" s="132">
        <f>Tabela4[[#This Row],[Valor do contrato sem o equipamento]]/30.4375*3</f>
        <v>0</v>
      </c>
      <c r="U247" s="132">
        <f>Tabela4[[#This Row],[Valor contrato]]*(30.4375-Tabela4[[#This Row],[Dias inoperantes]])/30.4375</f>
        <v>0</v>
      </c>
      <c r="V247" s="134"/>
      <c r="W247" s="135"/>
      <c r="X247" s="132"/>
      <c r="Y247" s="135">
        <f>Tabela4[[#This Row],[Diferença]]*Tabela4[[#This Row],[Quantidade]]</f>
        <v>0</v>
      </c>
    </row>
    <row r="248" spans="2:25" ht="15" hidden="1" thickBot="1">
      <c r="B248" s="129" t="s">
        <v>12</v>
      </c>
      <c r="C248" s="129" t="s">
        <v>30</v>
      </c>
      <c r="D248" s="113" t="s">
        <v>56</v>
      </c>
      <c r="E248" s="114">
        <v>45658</v>
      </c>
      <c r="F248" s="131" t="s">
        <v>370</v>
      </c>
      <c r="G248" s="129" t="s">
        <v>335</v>
      </c>
      <c r="H248" s="137" t="s">
        <v>342</v>
      </c>
      <c r="I248" s="137" t="s">
        <v>400</v>
      </c>
      <c r="J248" s="132">
        <v>0</v>
      </c>
      <c r="K248" s="133">
        <v>3.41</v>
      </c>
      <c r="L248" s="133">
        <f t="shared" si="10"/>
        <v>0</v>
      </c>
      <c r="M248" s="132"/>
      <c r="N248" s="133">
        <v>24.63</v>
      </c>
      <c r="O248" s="133">
        <f t="shared" si="11"/>
        <v>0</v>
      </c>
      <c r="P248" s="132"/>
      <c r="Q248" s="132"/>
      <c r="R248" s="132"/>
      <c r="S248" s="132"/>
      <c r="T248" s="132">
        <f>Tabela4[[#This Row],[Valor do contrato sem o equipamento]]/30.4375*3</f>
        <v>0</v>
      </c>
      <c r="U248" s="132">
        <f>Tabela4[[#This Row],[Valor contrato]]*(30.4375-Tabela4[[#This Row],[Dias inoperantes]])/30.4375</f>
        <v>0</v>
      </c>
      <c r="V248" s="134"/>
      <c r="W248" s="135"/>
      <c r="X248" s="132"/>
      <c r="Y248" s="135">
        <f>Tabela4[[#This Row],[Diferença]]*Tabela4[[#This Row],[Quantidade]]</f>
        <v>0</v>
      </c>
    </row>
    <row r="249" spans="2:25" ht="15" hidden="1" thickBot="1">
      <c r="B249" s="129" t="s">
        <v>12</v>
      </c>
      <c r="C249" s="129" t="s">
        <v>30</v>
      </c>
      <c r="D249" s="113" t="s">
        <v>56</v>
      </c>
      <c r="E249" s="114">
        <v>45658</v>
      </c>
      <c r="F249" s="131" t="s">
        <v>351</v>
      </c>
      <c r="G249" s="129" t="s">
        <v>335</v>
      </c>
      <c r="H249" s="137" t="s">
        <v>343</v>
      </c>
      <c r="I249" s="137" t="s">
        <v>342</v>
      </c>
      <c r="J249" s="132">
        <v>0</v>
      </c>
      <c r="K249" s="169">
        <v>19.55</v>
      </c>
      <c r="L249" s="133">
        <f t="shared" si="10"/>
        <v>0</v>
      </c>
      <c r="M249" s="132">
        <v>1</v>
      </c>
      <c r="N249" s="169">
        <v>150.71</v>
      </c>
      <c r="O249" s="133">
        <f t="shared" si="11"/>
        <v>150.71</v>
      </c>
      <c r="P249" s="132"/>
      <c r="Q249" s="132"/>
      <c r="R249" s="132"/>
      <c r="S249" s="132"/>
      <c r="T249" s="132">
        <f>Tabela4[[#This Row],[Valor do contrato sem o equipamento]]/30.4375*3</f>
        <v>0</v>
      </c>
      <c r="U249" s="132">
        <f>Tabela4[[#This Row],[Valor contrato]]*(30.4375-Tabela4[[#This Row],[Dias inoperantes]])/30.4375</f>
        <v>0</v>
      </c>
      <c r="V249" s="134"/>
      <c r="W249" s="135"/>
      <c r="X249" s="132"/>
      <c r="Y249" s="135">
        <f>Tabela4[[#This Row],[Diferença]]*Tabela4[[#This Row],[Quantidade]]</f>
        <v>0</v>
      </c>
    </row>
    <row r="250" spans="2:25" ht="15" hidden="1" thickBot="1">
      <c r="B250" s="129" t="s">
        <v>12</v>
      </c>
      <c r="C250" s="129" t="s">
        <v>30</v>
      </c>
      <c r="D250" s="113" t="s">
        <v>56</v>
      </c>
      <c r="E250" s="114">
        <v>45658</v>
      </c>
      <c r="F250" s="131" t="s">
        <v>367</v>
      </c>
      <c r="G250" s="129" t="s">
        <v>335</v>
      </c>
      <c r="H250" s="137" t="s">
        <v>404</v>
      </c>
      <c r="I250" s="137" t="s">
        <v>405</v>
      </c>
      <c r="J250" s="132">
        <v>0</v>
      </c>
      <c r="K250" s="169">
        <v>29.87</v>
      </c>
      <c r="L250" s="133">
        <f t="shared" si="10"/>
        <v>0</v>
      </c>
      <c r="M250" s="132">
        <v>1</v>
      </c>
      <c r="N250" s="169">
        <v>215.91</v>
      </c>
      <c r="O250" s="133">
        <f t="shared" si="11"/>
        <v>215.91</v>
      </c>
      <c r="P250" s="132"/>
      <c r="Q250" s="132"/>
      <c r="R250" s="132"/>
      <c r="S250" s="132"/>
      <c r="T250" s="132">
        <f>Tabela4[[#This Row],[Valor do contrato sem o equipamento]]/30.4375*3</f>
        <v>0</v>
      </c>
      <c r="U250" s="132">
        <f>Tabela4[[#This Row],[Valor contrato]]*(30.4375-Tabela4[[#This Row],[Dias inoperantes]])/30.4375</f>
        <v>0</v>
      </c>
      <c r="V250" s="134"/>
      <c r="W250" s="135"/>
      <c r="X250" s="132"/>
      <c r="Y250" s="135">
        <f>Tabela4[[#This Row],[Diferença]]*Tabela4[[#This Row],[Quantidade]]</f>
        <v>0</v>
      </c>
    </row>
    <row r="251" spans="2:25" ht="15" hidden="1" thickBot="1">
      <c r="B251" s="129" t="s">
        <v>12</v>
      </c>
      <c r="C251" s="129" t="s">
        <v>30</v>
      </c>
      <c r="D251" s="113" t="s">
        <v>56</v>
      </c>
      <c r="E251" s="114">
        <v>45658</v>
      </c>
      <c r="F251" s="131" t="s">
        <v>351</v>
      </c>
      <c r="G251" s="129" t="s">
        <v>335</v>
      </c>
      <c r="H251" s="137" t="s">
        <v>334</v>
      </c>
      <c r="I251" s="137" t="s">
        <v>338</v>
      </c>
      <c r="J251" s="132">
        <v>0</v>
      </c>
      <c r="K251" s="169">
        <v>19.55</v>
      </c>
      <c r="L251" s="133">
        <f t="shared" si="10"/>
        <v>0</v>
      </c>
      <c r="M251" s="132">
        <v>0</v>
      </c>
      <c r="N251" s="169">
        <v>141.29</v>
      </c>
      <c r="O251" s="133">
        <f t="shared" si="11"/>
        <v>0</v>
      </c>
      <c r="P251" s="132"/>
      <c r="Q251" s="132"/>
      <c r="R251" s="132"/>
      <c r="S251" s="132"/>
      <c r="T251" s="132">
        <f>Tabela4[[#This Row],[Valor do contrato sem o equipamento]]/30.4375*3</f>
        <v>0</v>
      </c>
      <c r="U251" s="132">
        <f>Tabela4[[#This Row],[Valor contrato]]*(30.4375-Tabela4[[#This Row],[Dias inoperantes]])/30.4375</f>
        <v>0</v>
      </c>
      <c r="V251" s="134"/>
      <c r="W251" s="135"/>
      <c r="X251" s="132"/>
      <c r="Y251" s="135">
        <f>Tabela4[[#This Row],[Diferença]]*Tabela4[[#This Row],[Quantidade]]</f>
        <v>0</v>
      </c>
    </row>
    <row r="252" spans="2:25" ht="15" hidden="1" thickBot="1">
      <c r="B252" s="129" t="s">
        <v>12</v>
      </c>
      <c r="C252" s="129" t="s">
        <v>30</v>
      </c>
      <c r="D252" s="113" t="s">
        <v>56</v>
      </c>
      <c r="E252" s="114">
        <v>45658</v>
      </c>
      <c r="F252" s="131" t="s">
        <v>351</v>
      </c>
      <c r="G252" s="129" t="s">
        <v>335</v>
      </c>
      <c r="H252" s="137" t="s">
        <v>340</v>
      </c>
      <c r="I252" s="137" t="s">
        <v>341</v>
      </c>
      <c r="J252" s="132">
        <v>0</v>
      </c>
      <c r="K252" s="169">
        <v>20.85</v>
      </c>
      <c r="L252" s="133">
        <f t="shared" si="10"/>
        <v>0</v>
      </c>
      <c r="M252" s="132">
        <v>15</v>
      </c>
      <c r="N252" s="169">
        <v>150.71</v>
      </c>
      <c r="O252" s="133">
        <f t="shared" si="11"/>
        <v>2260.65</v>
      </c>
      <c r="P252" s="132"/>
      <c r="Q252" s="132"/>
      <c r="R252" s="132"/>
      <c r="S252" s="132"/>
      <c r="T252" s="132">
        <f>Tabela4[[#This Row],[Valor do contrato sem o equipamento]]/30.4375*3</f>
        <v>0</v>
      </c>
      <c r="U252" s="132">
        <f>Tabela4[[#This Row],[Valor contrato]]*(30.4375-Tabela4[[#This Row],[Dias inoperantes]])/30.4375</f>
        <v>0</v>
      </c>
      <c r="V252" s="134"/>
      <c r="W252" s="135"/>
      <c r="X252" s="132"/>
      <c r="Y252" s="135">
        <f>Tabela4[[#This Row],[Diferença]]*Tabela4[[#This Row],[Quantidade]]</f>
        <v>0</v>
      </c>
    </row>
    <row r="253" spans="2:25" ht="15" hidden="1" thickBot="1">
      <c r="B253" s="129" t="s">
        <v>12</v>
      </c>
      <c r="C253" s="129" t="s">
        <v>35</v>
      </c>
      <c r="D253" s="113" t="s">
        <v>56</v>
      </c>
      <c r="E253" s="114">
        <v>45658</v>
      </c>
      <c r="F253" s="131" t="s">
        <v>406</v>
      </c>
      <c r="G253" s="129" t="s">
        <v>333</v>
      </c>
      <c r="H253" s="137">
        <v>0.29166666666666669</v>
      </c>
      <c r="I253" s="137">
        <v>0.79166666666666663</v>
      </c>
      <c r="J253" s="132">
        <v>0</v>
      </c>
      <c r="K253" s="169">
        <v>24.24</v>
      </c>
      <c r="L253" s="133">
        <f t="shared" si="10"/>
        <v>0</v>
      </c>
      <c r="M253" s="132">
        <v>1</v>
      </c>
      <c r="N253" s="169">
        <v>175.21</v>
      </c>
      <c r="O253" s="133">
        <f t="shared" si="11"/>
        <v>175.21</v>
      </c>
      <c r="P253" s="132"/>
      <c r="Q253" s="132"/>
      <c r="R253" s="132"/>
      <c r="S253" s="132"/>
      <c r="T253" s="132">
        <f>Tabela4[[#This Row],[Valor do contrato sem o equipamento]]/30.4375*3</f>
        <v>0</v>
      </c>
      <c r="U253" s="132">
        <f>Tabela4[[#This Row],[Valor contrato]]*(30.4375-Tabela4[[#This Row],[Dias inoperantes]])/30.4375</f>
        <v>0</v>
      </c>
      <c r="V253" s="134"/>
      <c r="W253" s="135"/>
      <c r="X253" s="132"/>
      <c r="Y253" s="135">
        <f>Tabela4[[#This Row],[Diferença]]*Tabela4[[#This Row],[Quantidade]]</f>
        <v>0</v>
      </c>
    </row>
    <row r="254" spans="2:25" ht="15" hidden="1" thickBot="1">
      <c r="B254" s="129" t="s">
        <v>12</v>
      </c>
      <c r="C254" s="129" t="s">
        <v>30</v>
      </c>
      <c r="D254" s="113" t="s">
        <v>56</v>
      </c>
      <c r="E254" s="114">
        <v>45717</v>
      </c>
      <c r="F254" s="131" t="s">
        <v>371</v>
      </c>
      <c r="G254" s="129" t="s">
        <v>335</v>
      </c>
      <c r="H254" s="137" t="s">
        <v>342</v>
      </c>
      <c r="I254" s="137" t="s">
        <v>400</v>
      </c>
      <c r="J254" s="132">
        <v>0</v>
      </c>
      <c r="K254" s="169">
        <v>25.67</v>
      </c>
      <c r="L254" s="133">
        <f t="shared" si="10"/>
        <v>0</v>
      </c>
      <c r="M254" s="132"/>
      <c r="N254" s="169">
        <v>185.51</v>
      </c>
      <c r="O254" s="133">
        <f t="shared" si="11"/>
        <v>0</v>
      </c>
      <c r="P254" s="132"/>
      <c r="Q254" s="132"/>
      <c r="R254" s="132"/>
      <c r="S254" s="132"/>
      <c r="T254" s="132">
        <f>Tabela4[[#This Row],[Valor do contrato sem o equipamento]]/30.4375*3</f>
        <v>0</v>
      </c>
      <c r="U254" s="132">
        <f>Tabela4[[#This Row],[Valor contrato]]*(30.4375-Tabela4[[#This Row],[Dias inoperantes]])/30.4375</f>
        <v>0</v>
      </c>
      <c r="V254" s="134"/>
      <c r="W254" s="135"/>
      <c r="X254" s="132"/>
      <c r="Y254" s="135">
        <f>Tabela4[[#This Row],[Diferença]]*Tabela4[[#This Row],[Quantidade]]</f>
        <v>0</v>
      </c>
    </row>
    <row r="255" spans="2:25" ht="15" hidden="1" thickBot="1">
      <c r="B255" s="129" t="s">
        <v>12</v>
      </c>
      <c r="C255" s="129" t="s">
        <v>30</v>
      </c>
      <c r="D255" s="113" t="s">
        <v>56</v>
      </c>
      <c r="E255" s="114">
        <v>45717</v>
      </c>
      <c r="F255" s="131" t="s">
        <v>352</v>
      </c>
      <c r="G255" s="129" t="s">
        <v>333</v>
      </c>
      <c r="H255" s="137" t="s">
        <v>334</v>
      </c>
      <c r="I255" s="137" t="s">
        <v>342</v>
      </c>
      <c r="J255" s="132">
        <v>0</v>
      </c>
      <c r="K255" s="169">
        <v>18.04</v>
      </c>
      <c r="L255" s="133">
        <f t="shared" si="10"/>
        <v>0</v>
      </c>
      <c r="M255" s="132"/>
      <c r="N255" s="169">
        <v>130.38999999999999</v>
      </c>
      <c r="O255" s="133">
        <f t="shared" si="11"/>
        <v>0</v>
      </c>
      <c r="P255" s="132"/>
      <c r="Q255" s="132"/>
      <c r="R255" s="132"/>
      <c r="S255" s="132"/>
      <c r="T255" s="132">
        <f>Tabela4[[#This Row],[Valor do contrato sem o equipamento]]/30.4375*3</f>
        <v>0</v>
      </c>
      <c r="U255" s="132">
        <f>Tabela4[[#This Row],[Valor contrato]]*(30.4375-Tabela4[[#This Row],[Dias inoperantes]])/30.4375</f>
        <v>0</v>
      </c>
      <c r="V255" s="134"/>
      <c r="W255" s="135"/>
      <c r="X255" s="132"/>
      <c r="Y255" s="135">
        <f>Tabela4[[#This Row],[Diferença]]*Tabela4[[#This Row],[Quantidade]]</f>
        <v>0</v>
      </c>
    </row>
    <row r="256" spans="2:25" ht="15" hidden="1" thickBot="1">
      <c r="B256" s="129" t="s">
        <v>12</v>
      </c>
      <c r="C256" s="129" t="s">
        <v>30</v>
      </c>
      <c r="D256" s="113" t="s">
        <v>56</v>
      </c>
      <c r="E256" s="114">
        <v>45717</v>
      </c>
      <c r="F256" s="131" t="s">
        <v>352</v>
      </c>
      <c r="G256" s="129" t="s">
        <v>333</v>
      </c>
      <c r="H256" s="137" t="s">
        <v>391</v>
      </c>
      <c r="I256" s="137" t="s">
        <v>349</v>
      </c>
      <c r="J256" s="132">
        <v>0</v>
      </c>
      <c r="K256" s="169">
        <v>18.329999999999998</v>
      </c>
      <c r="L256" s="133">
        <f t="shared" si="10"/>
        <v>0</v>
      </c>
      <c r="M256" s="132"/>
      <c r="N256" s="169">
        <v>132.5</v>
      </c>
      <c r="O256" s="133">
        <f t="shared" si="11"/>
        <v>0</v>
      </c>
      <c r="P256" s="132"/>
      <c r="Q256" s="132"/>
      <c r="R256" s="132"/>
      <c r="S256" s="132"/>
      <c r="T256" s="132">
        <f>Tabela4[[#This Row],[Valor do contrato sem o equipamento]]/30.4375*3</f>
        <v>0</v>
      </c>
      <c r="U256" s="132">
        <f>Tabela4[[#This Row],[Valor contrato]]*(30.4375-Tabela4[[#This Row],[Dias inoperantes]])/30.4375</f>
        <v>0</v>
      </c>
      <c r="V256" s="134"/>
      <c r="W256" s="135"/>
      <c r="X256" s="132"/>
      <c r="Y256" s="135">
        <f>Tabela4[[#This Row],[Diferença]]*Tabela4[[#This Row],[Quantidade]]</f>
        <v>0</v>
      </c>
    </row>
    <row r="257" spans="2:25" ht="15" hidden="1" thickBot="1">
      <c r="B257" s="129" t="s">
        <v>12</v>
      </c>
      <c r="C257" s="129" t="s">
        <v>30</v>
      </c>
      <c r="D257" s="113" t="s">
        <v>56</v>
      </c>
      <c r="E257" s="114">
        <v>45717</v>
      </c>
      <c r="F257" s="131" t="s">
        <v>401</v>
      </c>
      <c r="G257" s="129" t="s">
        <v>394</v>
      </c>
      <c r="H257" s="137" t="s">
        <v>340</v>
      </c>
      <c r="I257" s="137" t="s">
        <v>402</v>
      </c>
      <c r="J257" s="132">
        <v>0</v>
      </c>
      <c r="K257" s="169">
        <v>19.61</v>
      </c>
      <c r="L257" s="133">
        <f t="shared" si="10"/>
        <v>0</v>
      </c>
      <c r="M257" s="132"/>
      <c r="N257" s="169">
        <v>141.77000000000001</v>
      </c>
      <c r="O257" s="133">
        <f t="shared" si="11"/>
        <v>0</v>
      </c>
      <c r="P257" s="132"/>
      <c r="Q257" s="132"/>
      <c r="R257" s="132"/>
      <c r="S257" s="132"/>
      <c r="T257" s="132">
        <f>Tabela4[[#This Row],[Valor do contrato sem o equipamento]]/30.4375*3</f>
        <v>0</v>
      </c>
      <c r="U257" s="132">
        <f>Tabela4[[#This Row],[Valor contrato]]*(30.4375-Tabela4[[#This Row],[Dias inoperantes]])/30.4375</f>
        <v>0</v>
      </c>
      <c r="V257" s="134"/>
      <c r="W257" s="135"/>
      <c r="X257" s="132"/>
      <c r="Y257" s="135">
        <f>Tabela4[[#This Row],[Diferença]]*Tabela4[[#This Row],[Quantidade]]</f>
        <v>0</v>
      </c>
    </row>
    <row r="258" spans="2:25" ht="15" hidden="1" thickBot="1">
      <c r="B258" s="129" t="s">
        <v>12</v>
      </c>
      <c r="C258" s="129" t="s">
        <v>30</v>
      </c>
      <c r="D258" s="129" t="s">
        <v>56</v>
      </c>
      <c r="E258" s="114">
        <v>45717</v>
      </c>
      <c r="F258" s="131" t="s">
        <v>403</v>
      </c>
      <c r="G258" s="129" t="s">
        <v>335</v>
      </c>
      <c r="H258" s="137" t="s">
        <v>340</v>
      </c>
      <c r="I258" s="137" t="s">
        <v>341</v>
      </c>
      <c r="J258" s="132">
        <v>0</v>
      </c>
      <c r="K258" s="169">
        <v>24.17</v>
      </c>
      <c r="L258" s="133">
        <f t="shared" si="10"/>
        <v>0</v>
      </c>
      <c r="M258" s="132"/>
      <c r="N258" s="169">
        <v>174.7</v>
      </c>
      <c r="O258" s="133">
        <f t="shared" si="11"/>
        <v>0</v>
      </c>
      <c r="P258" s="132"/>
      <c r="Q258" s="132"/>
      <c r="R258" s="132"/>
      <c r="S258" s="132"/>
      <c r="T258" s="132">
        <f>Tabela4[[#This Row],[Valor do contrato sem o equipamento]]/30.4375*3</f>
        <v>0</v>
      </c>
      <c r="U258" s="132">
        <f>Tabela4[[#This Row],[Valor contrato]]*(30.4375-Tabela4[[#This Row],[Dias inoperantes]])/30.4375</f>
        <v>0</v>
      </c>
      <c r="V258" s="134"/>
      <c r="W258" s="135"/>
      <c r="X258" s="132"/>
      <c r="Y258" s="135">
        <f>Tabela4[[#This Row],[Diferença]]*Tabela4[[#This Row],[Quantidade]]</f>
        <v>0</v>
      </c>
    </row>
    <row r="259" spans="2:25" ht="15" hidden="1" thickBot="1">
      <c r="B259" s="129" t="s">
        <v>12</v>
      </c>
      <c r="C259" s="129" t="s">
        <v>30</v>
      </c>
      <c r="D259" s="129" t="s">
        <v>56</v>
      </c>
      <c r="E259" s="114">
        <v>45717</v>
      </c>
      <c r="F259" s="131" t="s">
        <v>370</v>
      </c>
      <c r="G259" s="129" t="s">
        <v>335</v>
      </c>
      <c r="H259" s="137" t="s">
        <v>342</v>
      </c>
      <c r="I259" s="137" t="s">
        <v>400</v>
      </c>
      <c r="J259" s="132">
        <v>0</v>
      </c>
      <c r="K259" s="169">
        <v>3.41</v>
      </c>
      <c r="L259" s="133">
        <f t="shared" si="10"/>
        <v>0</v>
      </c>
      <c r="M259" s="132"/>
      <c r="N259" s="169">
        <v>24.63</v>
      </c>
      <c r="O259" s="133">
        <f t="shared" si="11"/>
        <v>0</v>
      </c>
      <c r="P259" s="132"/>
      <c r="Q259" s="132"/>
      <c r="R259" s="132"/>
      <c r="S259" s="132"/>
      <c r="T259" s="132">
        <f>Tabela4[[#This Row],[Valor do contrato sem o equipamento]]/30.4375*3</f>
        <v>0</v>
      </c>
      <c r="U259" s="132">
        <f>Tabela4[[#This Row],[Valor contrato]]*(30.4375-Tabela4[[#This Row],[Dias inoperantes]])/30.4375</f>
        <v>0</v>
      </c>
      <c r="V259" s="134"/>
      <c r="W259" s="135"/>
      <c r="X259" s="132"/>
      <c r="Y259" s="135">
        <f>Tabela4[[#This Row],[Diferença]]*Tabela4[[#This Row],[Quantidade]]</f>
        <v>0</v>
      </c>
    </row>
    <row r="260" spans="2:25" ht="15" hidden="1" thickBot="1">
      <c r="B260" s="129" t="s">
        <v>12</v>
      </c>
      <c r="C260" s="129" t="s">
        <v>30</v>
      </c>
      <c r="D260" s="129" t="s">
        <v>56</v>
      </c>
      <c r="E260" s="114">
        <v>45717</v>
      </c>
      <c r="F260" s="131" t="s">
        <v>351</v>
      </c>
      <c r="G260" s="129" t="s">
        <v>335</v>
      </c>
      <c r="H260" s="137" t="s">
        <v>343</v>
      </c>
      <c r="I260" s="137" t="s">
        <v>342</v>
      </c>
      <c r="J260" s="132">
        <v>0</v>
      </c>
      <c r="K260" s="169">
        <v>19.55</v>
      </c>
      <c r="L260" s="133">
        <f t="shared" si="10"/>
        <v>0</v>
      </c>
      <c r="M260" s="132">
        <v>0</v>
      </c>
      <c r="N260" s="169">
        <v>141.29</v>
      </c>
      <c r="O260" s="133">
        <f t="shared" si="11"/>
        <v>0</v>
      </c>
      <c r="P260" s="132"/>
      <c r="Q260" s="132"/>
      <c r="R260" s="132"/>
      <c r="S260" s="132"/>
      <c r="T260" s="132">
        <f>Tabela4[[#This Row],[Valor do contrato sem o equipamento]]/30.4375*3</f>
        <v>0</v>
      </c>
      <c r="U260" s="132">
        <f>Tabela4[[#This Row],[Valor contrato]]*(30.4375-Tabela4[[#This Row],[Dias inoperantes]])/30.4375</f>
        <v>0</v>
      </c>
      <c r="V260" s="134"/>
      <c r="W260" s="135"/>
      <c r="X260" s="132"/>
      <c r="Y260" s="135">
        <f>Tabela4[[#This Row],[Diferença]]*Tabela4[[#This Row],[Quantidade]]</f>
        <v>0</v>
      </c>
    </row>
    <row r="261" spans="2:25" ht="15" hidden="1" thickBot="1">
      <c r="B261" s="129" t="s">
        <v>12</v>
      </c>
      <c r="C261" s="129" t="s">
        <v>30</v>
      </c>
      <c r="D261" s="129" t="s">
        <v>56</v>
      </c>
      <c r="E261" s="114">
        <v>45717</v>
      </c>
      <c r="F261" s="131" t="s">
        <v>367</v>
      </c>
      <c r="G261" s="129" t="s">
        <v>335</v>
      </c>
      <c r="H261" s="137" t="s">
        <v>404</v>
      </c>
      <c r="I261" s="137" t="s">
        <v>405</v>
      </c>
      <c r="J261" s="132">
        <v>0</v>
      </c>
      <c r="K261" s="169">
        <v>29.87</v>
      </c>
      <c r="L261" s="133">
        <f t="shared" si="10"/>
        <v>0</v>
      </c>
      <c r="M261" s="132">
        <v>1</v>
      </c>
      <c r="N261" s="169">
        <v>215.91</v>
      </c>
      <c r="O261" s="133">
        <f t="shared" si="11"/>
        <v>215.91</v>
      </c>
      <c r="P261" s="132"/>
      <c r="Q261" s="132"/>
      <c r="R261" s="132"/>
      <c r="S261" s="132"/>
      <c r="T261" s="132">
        <f>Tabela4[[#This Row],[Valor do contrato sem o equipamento]]/30.4375*3</f>
        <v>0</v>
      </c>
      <c r="U261" s="132">
        <f>Tabela4[[#This Row],[Valor contrato]]*(30.4375-Tabela4[[#This Row],[Dias inoperantes]])/30.4375</f>
        <v>0</v>
      </c>
      <c r="V261" s="134"/>
      <c r="W261" s="135"/>
      <c r="X261" s="132"/>
      <c r="Y261" s="135">
        <f>Tabela4[[#This Row],[Diferença]]*Tabela4[[#This Row],[Quantidade]]</f>
        <v>0</v>
      </c>
    </row>
    <row r="262" spans="2:25" ht="15" hidden="1" thickBot="1">
      <c r="B262" s="129" t="s">
        <v>12</v>
      </c>
      <c r="C262" s="129" t="s">
        <v>30</v>
      </c>
      <c r="D262" s="129" t="s">
        <v>56</v>
      </c>
      <c r="E262" s="114">
        <v>45717</v>
      </c>
      <c r="F262" s="131" t="s">
        <v>351</v>
      </c>
      <c r="G262" s="129" t="s">
        <v>335</v>
      </c>
      <c r="H262" s="137" t="s">
        <v>334</v>
      </c>
      <c r="I262" s="137" t="s">
        <v>338</v>
      </c>
      <c r="J262" s="132">
        <v>0</v>
      </c>
      <c r="K262" s="169">
        <v>19.55</v>
      </c>
      <c r="L262" s="133">
        <f t="shared" si="10"/>
        <v>0</v>
      </c>
      <c r="M262" s="132">
        <v>0</v>
      </c>
      <c r="N262" s="169">
        <v>141.29</v>
      </c>
      <c r="O262" s="133">
        <f t="shared" si="11"/>
        <v>0</v>
      </c>
      <c r="P262" s="132"/>
      <c r="Q262" s="132"/>
      <c r="R262" s="132"/>
      <c r="S262" s="132"/>
      <c r="T262" s="132">
        <f>Tabela4[[#This Row],[Valor do contrato sem o equipamento]]/30.4375*3</f>
        <v>0</v>
      </c>
      <c r="U262" s="132">
        <f>Tabela4[[#This Row],[Valor contrato]]*(30.4375-Tabela4[[#This Row],[Dias inoperantes]])/30.4375</f>
        <v>0</v>
      </c>
      <c r="V262" s="134"/>
      <c r="W262" s="135"/>
      <c r="X262" s="132"/>
      <c r="Y262" s="135">
        <f>Tabela4[[#This Row],[Diferença]]*Tabela4[[#This Row],[Quantidade]]</f>
        <v>0</v>
      </c>
    </row>
    <row r="263" spans="2:25" ht="15" hidden="1" thickBot="1">
      <c r="B263" s="129" t="s">
        <v>12</v>
      </c>
      <c r="C263" s="129" t="s">
        <v>30</v>
      </c>
      <c r="D263" s="129" t="s">
        <v>56</v>
      </c>
      <c r="E263" s="114">
        <v>45717</v>
      </c>
      <c r="F263" s="131" t="s">
        <v>351</v>
      </c>
      <c r="G263" s="129" t="s">
        <v>335</v>
      </c>
      <c r="H263" s="137" t="s">
        <v>340</v>
      </c>
      <c r="I263" s="137" t="s">
        <v>341</v>
      </c>
      <c r="J263" s="132">
        <v>0</v>
      </c>
      <c r="K263" s="169">
        <v>20.85</v>
      </c>
      <c r="L263" s="133">
        <f t="shared" si="10"/>
        <v>0</v>
      </c>
      <c r="M263" s="132">
        <v>0</v>
      </c>
      <c r="N263" s="169">
        <v>150.71</v>
      </c>
      <c r="O263" s="133">
        <f t="shared" si="11"/>
        <v>0</v>
      </c>
      <c r="P263" s="132"/>
      <c r="Q263" s="132"/>
      <c r="R263" s="132"/>
      <c r="S263" s="132"/>
      <c r="T263" s="132">
        <f>Tabela4[[#This Row],[Valor do contrato sem o equipamento]]/30.4375*3</f>
        <v>0</v>
      </c>
      <c r="U263" s="132">
        <f>Tabela4[[#This Row],[Valor contrato]]*(30.4375-Tabela4[[#This Row],[Dias inoperantes]])/30.4375</f>
        <v>0</v>
      </c>
      <c r="V263" s="134"/>
      <c r="W263" s="135"/>
      <c r="X263" s="132"/>
      <c r="Y263" s="135">
        <f>Tabela4[[#This Row],[Diferença]]*Tabela4[[#This Row],[Quantidade]]</f>
        <v>0</v>
      </c>
    </row>
    <row r="264" spans="2:25" ht="15" hidden="1" thickBot="1">
      <c r="B264" s="129" t="s">
        <v>12</v>
      </c>
      <c r="C264" s="129" t="s">
        <v>35</v>
      </c>
      <c r="D264" s="129" t="s">
        <v>56</v>
      </c>
      <c r="E264" s="114">
        <v>45717</v>
      </c>
      <c r="F264" s="131" t="s">
        <v>406</v>
      </c>
      <c r="G264" s="129" t="s">
        <v>333</v>
      </c>
      <c r="H264" s="137">
        <v>0.29166666666666669</v>
      </c>
      <c r="I264" s="137">
        <v>0.79166666666666663</v>
      </c>
      <c r="J264" s="132">
        <v>0</v>
      </c>
      <c r="K264" s="169">
        <v>24.24</v>
      </c>
      <c r="L264" s="133">
        <f t="shared" si="10"/>
        <v>0</v>
      </c>
      <c r="M264" s="132">
        <v>6</v>
      </c>
      <c r="N264" s="169">
        <v>137.07</v>
      </c>
      <c r="O264" s="133">
        <f t="shared" si="11"/>
        <v>822.42</v>
      </c>
      <c r="P264" s="132"/>
      <c r="Q264" s="132"/>
      <c r="R264" s="132"/>
      <c r="S264" s="132"/>
      <c r="T264" s="132">
        <f>Tabela4[[#This Row],[Valor do contrato sem o equipamento]]/30.4375*3</f>
        <v>0</v>
      </c>
      <c r="U264" s="132">
        <f>Tabela4[[#This Row],[Valor contrato]]*(30.4375-Tabela4[[#This Row],[Dias inoperantes]])/30.4375</f>
        <v>0</v>
      </c>
      <c r="V264" s="134"/>
      <c r="W264" s="135"/>
      <c r="X264" s="132"/>
      <c r="Y264" s="135">
        <f>Tabela4[[#This Row],[Diferença]]*Tabela4[[#This Row],[Quantidade]]</f>
        <v>0</v>
      </c>
    </row>
    <row r="265" spans="2:25" ht="15" hidden="1" thickBot="1">
      <c r="B265" s="129" t="s">
        <v>12</v>
      </c>
      <c r="C265" s="129" t="s">
        <v>30</v>
      </c>
      <c r="D265" s="129" t="s">
        <v>56</v>
      </c>
      <c r="E265" s="114">
        <v>45748</v>
      </c>
      <c r="F265" s="131" t="s">
        <v>393</v>
      </c>
      <c r="G265" s="129" t="s">
        <v>335</v>
      </c>
      <c r="H265" s="137" t="s">
        <v>342</v>
      </c>
      <c r="I265" s="137" t="s">
        <v>400</v>
      </c>
      <c r="J265" s="132">
        <v>0</v>
      </c>
      <c r="K265" s="169">
        <v>22.99</v>
      </c>
      <c r="L265" s="133">
        <f t="shared" si="10"/>
        <v>0</v>
      </c>
      <c r="M265" s="132">
        <v>1</v>
      </c>
      <c r="N265" s="169">
        <v>166.18</v>
      </c>
      <c r="O265" s="133">
        <f t="shared" si="11"/>
        <v>166.18</v>
      </c>
      <c r="P265" s="132"/>
      <c r="Q265" s="132"/>
      <c r="R265" s="132"/>
      <c r="S265" s="132"/>
      <c r="T265" s="132">
        <f>Tabela4[[#This Row],[Valor do contrato sem o equipamento]]/30.4375*3</f>
        <v>0</v>
      </c>
      <c r="U265" s="132">
        <f>Tabela4[[#This Row],[Valor contrato]]*(30.4375-Tabela4[[#This Row],[Dias inoperantes]])/30.4375</f>
        <v>0</v>
      </c>
      <c r="V265" s="134"/>
      <c r="W265" s="135"/>
      <c r="X265" s="132"/>
      <c r="Y265" s="135">
        <f>Tabela4[[#This Row],[Diferença]]*Tabela4[[#This Row],[Quantidade]]</f>
        <v>0</v>
      </c>
    </row>
    <row r="266" spans="2:25" ht="15" hidden="1" thickBot="1">
      <c r="B266" s="129" t="s">
        <v>12</v>
      </c>
      <c r="C266" s="129" t="s">
        <v>30</v>
      </c>
      <c r="D266" s="129" t="s">
        <v>56</v>
      </c>
      <c r="E266" s="114">
        <v>45748</v>
      </c>
      <c r="F266" s="131" t="s">
        <v>393</v>
      </c>
      <c r="G266" s="129" t="s">
        <v>335</v>
      </c>
      <c r="H266" s="137" t="s">
        <v>342</v>
      </c>
      <c r="I266" s="137" t="s">
        <v>400</v>
      </c>
      <c r="J266" s="132">
        <v>0</v>
      </c>
      <c r="K266" s="169">
        <v>22.99</v>
      </c>
      <c r="L266" s="133">
        <f t="shared" si="10"/>
        <v>0</v>
      </c>
      <c r="M266" s="132"/>
      <c r="N266" s="169">
        <v>166.18</v>
      </c>
      <c r="O266" s="133">
        <f t="shared" si="11"/>
        <v>0</v>
      </c>
      <c r="P266" s="132"/>
      <c r="Q266" s="132"/>
      <c r="R266" s="132"/>
      <c r="S266" s="132"/>
      <c r="T266" s="132">
        <f>Tabela4[[#This Row],[Valor do contrato sem o equipamento]]/30.4375*3</f>
        <v>0</v>
      </c>
      <c r="U266" s="132">
        <f>Tabela4[[#This Row],[Valor contrato]]*(30.4375-Tabela4[[#This Row],[Dias inoperantes]])/30.4375</f>
        <v>0</v>
      </c>
      <c r="V266" s="134"/>
      <c r="W266" s="135"/>
      <c r="X266" s="132"/>
      <c r="Y266" s="135">
        <f>Tabela4[[#This Row],[Diferença]]*Tabela4[[#This Row],[Quantidade]]</f>
        <v>0</v>
      </c>
    </row>
    <row r="267" spans="2:25" ht="15" hidden="1" thickBot="1">
      <c r="B267" s="129" t="s">
        <v>12</v>
      </c>
      <c r="C267" s="129" t="s">
        <v>30</v>
      </c>
      <c r="D267" s="129" t="s">
        <v>56</v>
      </c>
      <c r="E267" s="114">
        <v>45748</v>
      </c>
      <c r="F267" s="131" t="s">
        <v>371</v>
      </c>
      <c r="G267" s="129" t="s">
        <v>335</v>
      </c>
      <c r="H267" s="137" t="s">
        <v>342</v>
      </c>
      <c r="I267" s="137" t="s">
        <v>400</v>
      </c>
      <c r="J267" s="132">
        <v>0</v>
      </c>
      <c r="K267" s="169">
        <v>25.67</v>
      </c>
      <c r="L267" s="133">
        <f t="shared" si="10"/>
        <v>0</v>
      </c>
      <c r="M267" s="132"/>
      <c r="N267" s="169">
        <v>185.52</v>
      </c>
      <c r="O267" s="133">
        <f t="shared" si="11"/>
        <v>0</v>
      </c>
      <c r="P267" s="132"/>
      <c r="Q267" s="132"/>
      <c r="R267" s="132"/>
      <c r="S267" s="132"/>
      <c r="T267" s="132">
        <f>Tabela4[[#This Row],[Valor do contrato sem o equipamento]]/30.4375*3</f>
        <v>0</v>
      </c>
      <c r="U267" s="132">
        <f>Tabela4[[#This Row],[Valor contrato]]*(30.4375-Tabela4[[#This Row],[Dias inoperantes]])/30.4375</f>
        <v>0</v>
      </c>
      <c r="V267" s="134"/>
      <c r="W267" s="135"/>
      <c r="X267" s="132"/>
      <c r="Y267" s="135">
        <f>Tabela4[[#This Row],[Diferença]]*Tabela4[[#This Row],[Quantidade]]</f>
        <v>0</v>
      </c>
    </row>
    <row r="268" spans="2:25" ht="15" hidden="1" thickBot="1">
      <c r="B268" s="129" t="s">
        <v>12</v>
      </c>
      <c r="C268" s="129" t="s">
        <v>30</v>
      </c>
      <c r="D268" s="129" t="s">
        <v>56</v>
      </c>
      <c r="E268" s="114">
        <v>45748</v>
      </c>
      <c r="F268" s="131" t="s">
        <v>352</v>
      </c>
      <c r="G268" s="129" t="s">
        <v>333</v>
      </c>
      <c r="H268" s="137" t="s">
        <v>334</v>
      </c>
      <c r="I268" s="137" t="s">
        <v>342</v>
      </c>
      <c r="J268" s="132">
        <v>0</v>
      </c>
      <c r="K268" s="169">
        <v>18.04</v>
      </c>
      <c r="L268" s="133">
        <f t="shared" si="10"/>
        <v>0</v>
      </c>
      <c r="M268" s="132"/>
      <c r="N268" s="169">
        <v>130.4</v>
      </c>
      <c r="O268" s="133">
        <f t="shared" si="11"/>
        <v>0</v>
      </c>
      <c r="P268" s="132"/>
      <c r="Q268" s="132"/>
      <c r="R268" s="132"/>
      <c r="S268" s="132"/>
      <c r="T268" s="132">
        <f>Tabela4[[#This Row],[Valor do contrato sem o equipamento]]/30.4375*3</f>
        <v>0</v>
      </c>
      <c r="U268" s="132">
        <f>Tabela4[[#This Row],[Valor contrato]]*(30.4375-Tabela4[[#This Row],[Dias inoperantes]])/30.4375</f>
        <v>0</v>
      </c>
      <c r="V268" s="134"/>
      <c r="W268" s="135"/>
      <c r="X268" s="132"/>
      <c r="Y268" s="135">
        <f>Tabela4[[#This Row],[Diferença]]*Tabela4[[#This Row],[Quantidade]]</f>
        <v>0</v>
      </c>
    </row>
    <row r="269" spans="2:25" ht="15" hidden="1" thickBot="1">
      <c r="B269" s="129" t="s">
        <v>12</v>
      </c>
      <c r="C269" s="129" t="s">
        <v>30</v>
      </c>
      <c r="D269" s="129" t="s">
        <v>56</v>
      </c>
      <c r="E269" s="114">
        <v>45748</v>
      </c>
      <c r="F269" s="131" t="s">
        <v>352</v>
      </c>
      <c r="G269" s="129" t="s">
        <v>333</v>
      </c>
      <c r="H269" s="137" t="s">
        <v>391</v>
      </c>
      <c r="I269" s="137" t="s">
        <v>349</v>
      </c>
      <c r="J269" s="132">
        <v>0</v>
      </c>
      <c r="K269" s="169">
        <v>18.329999999999998</v>
      </c>
      <c r="L269" s="133">
        <f t="shared" si="10"/>
        <v>0</v>
      </c>
      <c r="M269" s="132"/>
      <c r="N269" s="169">
        <v>132.52000000000001</v>
      </c>
      <c r="O269" s="133">
        <f t="shared" si="11"/>
        <v>0</v>
      </c>
      <c r="P269" s="132"/>
      <c r="Q269" s="132"/>
      <c r="R269" s="132"/>
      <c r="S269" s="132"/>
      <c r="T269" s="132">
        <f>Tabela4[[#This Row],[Valor do contrato sem o equipamento]]/30.4375*3</f>
        <v>0</v>
      </c>
      <c r="U269" s="132">
        <f>Tabela4[[#This Row],[Valor contrato]]*(30.4375-Tabela4[[#This Row],[Dias inoperantes]])/30.4375</f>
        <v>0</v>
      </c>
      <c r="V269" s="134"/>
      <c r="W269" s="135"/>
      <c r="X269" s="132"/>
      <c r="Y269" s="135">
        <f>Tabela4[[#This Row],[Diferença]]*Tabela4[[#This Row],[Quantidade]]</f>
        <v>0</v>
      </c>
    </row>
    <row r="270" spans="2:25" ht="15" hidden="1" thickBot="1">
      <c r="B270" s="129" t="s">
        <v>12</v>
      </c>
      <c r="C270" s="129" t="s">
        <v>30</v>
      </c>
      <c r="D270" s="129" t="s">
        <v>56</v>
      </c>
      <c r="E270" s="114">
        <v>45748</v>
      </c>
      <c r="F270" s="131" t="s">
        <v>401</v>
      </c>
      <c r="G270" s="129" t="s">
        <v>394</v>
      </c>
      <c r="H270" s="137" t="s">
        <v>340</v>
      </c>
      <c r="I270" s="137" t="s">
        <v>402</v>
      </c>
      <c r="J270" s="132">
        <v>0</v>
      </c>
      <c r="K270" s="169">
        <v>19.62</v>
      </c>
      <c r="L270" s="133">
        <f t="shared" si="10"/>
        <v>0</v>
      </c>
      <c r="M270" s="132"/>
      <c r="N270" s="169">
        <v>141.78</v>
      </c>
      <c r="O270" s="133">
        <f t="shared" si="11"/>
        <v>0</v>
      </c>
      <c r="P270" s="132"/>
      <c r="Q270" s="132"/>
      <c r="R270" s="132"/>
      <c r="S270" s="132"/>
      <c r="T270" s="132">
        <f>Tabela4[[#This Row],[Valor do contrato sem o equipamento]]/30.4375*3</f>
        <v>0</v>
      </c>
      <c r="U270" s="132">
        <f>Tabela4[[#This Row],[Valor contrato]]*(30.4375-Tabela4[[#This Row],[Dias inoperantes]])/30.4375</f>
        <v>0</v>
      </c>
      <c r="V270" s="134"/>
      <c r="W270" s="135"/>
      <c r="X270" s="132"/>
      <c r="Y270" s="135">
        <f>Tabela4[[#This Row],[Diferença]]*Tabela4[[#This Row],[Quantidade]]</f>
        <v>0</v>
      </c>
    </row>
    <row r="271" spans="2:25" ht="15" hidden="1" thickBot="1">
      <c r="B271" s="129" t="s">
        <v>12</v>
      </c>
      <c r="C271" s="129" t="s">
        <v>30</v>
      </c>
      <c r="D271" s="129" t="s">
        <v>56</v>
      </c>
      <c r="E271" s="114">
        <v>45748</v>
      </c>
      <c r="F271" s="131" t="s">
        <v>403</v>
      </c>
      <c r="G271" s="129" t="s">
        <v>335</v>
      </c>
      <c r="H271" s="137" t="s">
        <v>340</v>
      </c>
      <c r="I271" s="137" t="s">
        <v>341</v>
      </c>
      <c r="J271" s="132">
        <v>0</v>
      </c>
      <c r="K271" s="169">
        <v>24.17</v>
      </c>
      <c r="L271" s="133">
        <f t="shared" si="10"/>
        <v>0</v>
      </c>
      <c r="M271" s="132"/>
      <c r="N271" s="169">
        <v>174.71</v>
      </c>
      <c r="O271" s="133">
        <f t="shared" si="11"/>
        <v>0</v>
      </c>
      <c r="P271" s="132"/>
      <c r="Q271" s="132"/>
      <c r="R271" s="132"/>
      <c r="S271" s="132"/>
      <c r="T271" s="132">
        <f>Tabela4[[#This Row],[Valor do contrato sem o equipamento]]/30.4375*3</f>
        <v>0</v>
      </c>
      <c r="U271" s="132">
        <f>Tabela4[[#This Row],[Valor contrato]]*(30.4375-Tabela4[[#This Row],[Dias inoperantes]])/30.4375</f>
        <v>0</v>
      </c>
      <c r="V271" s="134"/>
      <c r="W271" s="135"/>
      <c r="X271" s="132"/>
      <c r="Y271" s="135">
        <f>Tabela4[[#This Row],[Diferença]]*Tabela4[[#This Row],[Quantidade]]</f>
        <v>0</v>
      </c>
    </row>
    <row r="272" spans="2:25" ht="15" hidden="1" thickBot="1">
      <c r="B272" s="129" t="s">
        <v>12</v>
      </c>
      <c r="C272" s="129" t="s">
        <v>30</v>
      </c>
      <c r="D272" s="129" t="s">
        <v>56</v>
      </c>
      <c r="E272" s="114">
        <v>45748</v>
      </c>
      <c r="F272" s="131" t="s">
        <v>370</v>
      </c>
      <c r="G272" s="129" t="s">
        <v>335</v>
      </c>
      <c r="H272" s="137" t="s">
        <v>342</v>
      </c>
      <c r="I272" s="137" t="s">
        <v>400</v>
      </c>
      <c r="J272" s="132">
        <v>0</v>
      </c>
      <c r="K272" s="169">
        <v>3.41</v>
      </c>
      <c r="L272" s="133">
        <f t="shared" si="10"/>
        <v>0</v>
      </c>
      <c r="M272" s="132"/>
      <c r="N272" s="169">
        <v>24.63</v>
      </c>
      <c r="O272" s="133">
        <f t="shared" si="11"/>
        <v>0</v>
      </c>
      <c r="P272" s="115"/>
      <c r="Q272" s="132"/>
      <c r="R272" s="132"/>
      <c r="S272" s="132"/>
      <c r="T272" s="132">
        <f>Tabela4[[#This Row],[Valor do contrato sem o equipamento]]/30.4375*3</f>
        <v>0</v>
      </c>
      <c r="U272" s="132">
        <f>Tabela4[[#This Row],[Valor contrato]]*(30.4375-Tabela4[[#This Row],[Dias inoperantes]])/30.4375</f>
        <v>0</v>
      </c>
      <c r="V272" s="116"/>
      <c r="W272" s="150"/>
      <c r="X272" s="132"/>
      <c r="Y272" s="123">
        <f>Tabela4[[#This Row],[Diferença]]*Tabela4[[#This Row],[Quantidade]]</f>
        <v>0</v>
      </c>
    </row>
    <row r="273" spans="2:25" ht="15" hidden="1" thickBot="1">
      <c r="B273" s="129" t="s">
        <v>12</v>
      </c>
      <c r="C273" s="129" t="s">
        <v>30</v>
      </c>
      <c r="D273" s="129" t="s">
        <v>56</v>
      </c>
      <c r="E273" s="114">
        <v>45748</v>
      </c>
      <c r="F273" s="131" t="s">
        <v>351</v>
      </c>
      <c r="G273" s="129" t="s">
        <v>335</v>
      </c>
      <c r="H273" s="137" t="s">
        <v>343</v>
      </c>
      <c r="I273" s="137" t="s">
        <v>342</v>
      </c>
      <c r="J273" s="132">
        <v>0</v>
      </c>
      <c r="K273" s="169">
        <v>19.55</v>
      </c>
      <c r="L273" s="133">
        <f t="shared" si="10"/>
        <v>0</v>
      </c>
      <c r="M273" s="132">
        <v>0</v>
      </c>
      <c r="N273" s="169">
        <v>150.71</v>
      </c>
      <c r="O273" s="133">
        <f t="shared" si="11"/>
        <v>0</v>
      </c>
      <c r="P273" s="115"/>
      <c r="Q273" s="132"/>
      <c r="R273" s="132"/>
      <c r="S273" s="132"/>
      <c r="T273" s="132">
        <f>Tabela4[[#This Row],[Valor do contrato sem o equipamento]]/30.4375*3</f>
        <v>0</v>
      </c>
      <c r="U273" s="132">
        <f>Tabela4[[#This Row],[Valor contrato]]*(30.4375-Tabela4[[#This Row],[Dias inoperantes]])/30.4375</f>
        <v>0</v>
      </c>
      <c r="V273" s="116"/>
      <c r="W273" s="150"/>
      <c r="X273" s="132"/>
      <c r="Y273" s="123">
        <f>Tabela4[[#This Row],[Diferença]]*Tabela4[[#This Row],[Quantidade]]</f>
        <v>0</v>
      </c>
    </row>
    <row r="274" spans="2:25" ht="15" hidden="1" thickBot="1">
      <c r="B274" s="129" t="s">
        <v>12</v>
      </c>
      <c r="C274" s="129" t="s">
        <v>30</v>
      </c>
      <c r="D274" s="129" t="s">
        <v>56</v>
      </c>
      <c r="E274" s="114">
        <v>45748</v>
      </c>
      <c r="F274" s="131" t="s">
        <v>367</v>
      </c>
      <c r="G274" s="129" t="s">
        <v>335</v>
      </c>
      <c r="H274" s="137" t="s">
        <v>404</v>
      </c>
      <c r="I274" s="137" t="s">
        <v>405</v>
      </c>
      <c r="J274" s="132">
        <v>0</v>
      </c>
      <c r="K274" s="169">
        <v>29.87</v>
      </c>
      <c r="L274" s="133">
        <f t="shared" si="10"/>
        <v>0</v>
      </c>
      <c r="M274" s="132"/>
      <c r="N274" s="169">
        <v>215.93</v>
      </c>
      <c r="O274" s="133">
        <f t="shared" si="11"/>
        <v>0</v>
      </c>
      <c r="P274" s="115"/>
      <c r="Q274" s="132"/>
      <c r="R274" s="132"/>
      <c r="S274" s="132"/>
      <c r="T274" s="132">
        <f>Tabela4[[#This Row],[Valor do contrato sem o equipamento]]/30.4375*3</f>
        <v>0</v>
      </c>
      <c r="U274" s="132">
        <f>Tabela4[[#This Row],[Valor contrato]]*(30.4375-Tabela4[[#This Row],[Dias inoperantes]])/30.4375</f>
        <v>0</v>
      </c>
      <c r="V274" s="116"/>
      <c r="W274" s="150"/>
      <c r="X274" s="132"/>
      <c r="Y274" s="123">
        <f>Tabela4[[#This Row],[Diferença]]*Tabela4[[#This Row],[Quantidade]]</f>
        <v>0</v>
      </c>
    </row>
    <row r="275" spans="2:25" ht="15" hidden="1" thickBot="1">
      <c r="B275" s="129" t="s">
        <v>12</v>
      </c>
      <c r="C275" s="129" t="s">
        <v>30</v>
      </c>
      <c r="D275" s="129" t="s">
        <v>56</v>
      </c>
      <c r="E275" s="114">
        <v>45748</v>
      </c>
      <c r="F275" s="131" t="s">
        <v>351</v>
      </c>
      <c r="G275" s="129" t="s">
        <v>335</v>
      </c>
      <c r="H275" s="137" t="s">
        <v>334</v>
      </c>
      <c r="I275" s="137" t="s">
        <v>338</v>
      </c>
      <c r="J275" s="132">
        <v>0</v>
      </c>
      <c r="K275" s="169">
        <v>19.55</v>
      </c>
      <c r="L275" s="133">
        <f t="shared" si="10"/>
        <v>0</v>
      </c>
      <c r="M275" s="132">
        <v>0</v>
      </c>
      <c r="N275" s="169">
        <v>141.31</v>
      </c>
      <c r="O275" s="133">
        <f t="shared" si="11"/>
        <v>0</v>
      </c>
      <c r="P275" s="115"/>
      <c r="Q275" s="132"/>
      <c r="R275" s="132"/>
      <c r="S275" s="132"/>
      <c r="T275" s="132">
        <f>Tabela4[[#This Row],[Valor do contrato sem o equipamento]]/30.4375*3</f>
        <v>0</v>
      </c>
      <c r="U275" s="132">
        <f>Tabela4[[#This Row],[Valor contrato]]*(30.4375-Tabela4[[#This Row],[Dias inoperantes]])/30.4375</f>
        <v>0</v>
      </c>
      <c r="V275" s="116"/>
      <c r="W275" s="150"/>
      <c r="X275" s="132"/>
      <c r="Y275" s="123">
        <f>Tabela4[[#This Row],[Diferença]]*Tabela4[[#This Row],[Quantidade]]</f>
        <v>0</v>
      </c>
    </row>
    <row r="276" spans="2:25" ht="15" hidden="1" thickBot="1">
      <c r="B276" s="129" t="s">
        <v>12</v>
      </c>
      <c r="C276" s="129" t="s">
        <v>30</v>
      </c>
      <c r="D276" s="129" t="s">
        <v>56</v>
      </c>
      <c r="E276" s="114">
        <v>45748</v>
      </c>
      <c r="F276" s="131" t="s">
        <v>351</v>
      </c>
      <c r="G276" s="129" t="s">
        <v>335</v>
      </c>
      <c r="H276" s="137" t="s">
        <v>340</v>
      </c>
      <c r="I276" s="137" t="s">
        <v>341</v>
      </c>
      <c r="J276" s="132">
        <v>0</v>
      </c>
      <c r="K276" s="169">
        <v>20.85</v>
      </c>
      <c r="L276" s="133">
        <f t="shared" si="10"/>
        <v>0</v>
      </c>
      <c r="M276" s="132">
        <v>0</v>
      </c>
      <c r="N276" s="169">
        <v>150.71</v>
      </c>
      <c r="O276" s="133">
        <f t="shared" si="11"/>
        <v>0</v>
      </c>
      <c r="P276" s="115"/>
      <c r="Q276" s="132"/>
      <c r="R276" s="132"/>
      <c r="S276" s="132"/>
      <c r="T276" s="132">
        <f>Tabela4[[#This Row],[Valor do contrato sem o equipamento]]/30.4375*3</f>
        <v>0</v>
      </c>
      <c r="U276" s="132">
        <f>Tabela4[[#This Row],[Valor contrato]]*(30.4375-Tabela4[[#This Row],[Dias inoperantes]])/30.4375</f>
        <v>0</v>
      </c>
      <c r="V276" s="116"/>
      <c r="W276" s="150"/>
      <c r="X276" s="132"/>
      <c r="Y276" s="123">
        <f>Tabela4[[#This Row],[Diferença]]*Tabela4[[#This Row],[Quantidade]]</f>
        <v>0</v>
      </c>
    </row>
    <row r="277" spans="2:25" ht="15" hidden="1" thickBot="1">
      <c r="B277" s="129" t="s">
        <v>12</v>
      </c>
      <c r="C277" s="129" t="s">
        <v>30</v>
      </c>
      <c r="D277" s="129" t="s">
        <v>56</v>
      </c>
      <c r="E277" s="114">
        <v>45748</v>
      </c>
      <c r="F277" s="131" t="s">
        <v>393</v>
      </c>
      <c r="G277" s="129" t="s">
        <v>335</v>
      </c>
      <c r="H277" s="137" t="s">
        <v>342</v>
      </c>
      <c r="I277" s="137" t="s">
        <v>400</v>
      </c>
      <c r="J277" s="132">
        <v>0</v>
      </c>
      <c r="K277" s="169">
        <v>22.99</v>
      </c>
      <c r="L277" s="133">
        <f t="shared" si="10"/>
        <v>0</v>
      </c>
      <c r="M277" s="132">
        <v>5</v>
      </c>
      <c r="N277" s="169">
        <v>166.18</v>
      </c>
      <c r="O277" s="133">
        <f t="shared" si="11"/>
        <v>830.90000000000009</v>
      </c>
      <c r="P277" s="115"/>
      <c r="Q277" s="132"/>
      <c r="R277" s="132"/>
      <c r="S277" s="132"/>
      <c r="T277" s="132">
        <f>Tabela4[[#This Row],[Valor do contrato sem o equipamento]]/30.4375*3</f>
        <v>0</v>
      </c>
      <c r="U277" s="132">
        <f>Tabela4[[#This Row],[Valor contrato]]*(30.4375-Tabela4[[#This Row],[Dias inoperantes]])/30.4375</f>
        <v>0</v>
      </c>
      <c r="V277" s="116"/>
      <c r="W277" s="150"/>
      <c r="X277" s="132"/>
      <c r="Y277" s="123">
        <f>Tabela4[[#This Row],[Diferença]]*Tabela4[[#This Row],[Quantidade]]</f>
        <v>0</v>
      </c>
    </row>
    <row r="278" spans="2:25" ht="15" hidden="1" thickBot="1">
      <c r="B278" s="129" t="s">
        <v>12</v>
      </c>
      <c r="C278" s="129" t="s">
        <v>30</v>
      </c>
      <c r="D278" s="129" t="s">
        <v>56</v>
      </c>
      <c r="E278" s="114">
        <v>45748</v>
      </c>
      <c r="F278" s="131" t="s">
        <v>351</v>
      </c>
      <c r="G278" s="129" t="s">
        <v>335</v>
      </c>
      <c r="H278" s="137" t="s">
        <v>340</v>
      </c>
      <c r="I278" s="137" t="s">
        <v>341</v>
      </c>
      <c r="J278" s="132">
        <v>0</v>
      </c>
      <c r="K278" s="169">
        <v>20.85</v>
      </c>
      <c r="L278" s="133">
        <f t="shared" si="10"/>
        <v>0</v>
      </c>
      <c r="M278" s="132">
        <v>0</v>
      </c>
      <c r="N278" s="169">
        <v>150.71</v>
      </c>
      <c r="O278" s="133">
        <f t="shared" si="11"/>
        <v>0</v>
      </c>
      <c r="P278" s="115" t="s">
        <v>407</v>
      </c>
      <c r="Q278" s="132"/>
      <c r="R278" s="132"/>
      <c r="S278" s="132"/>
      <c r="T278" s="132">
        <f>Tabela4[[#This Row],[Valor do contrato sem o equipamento]]/30.4375*3</f>
        <v>0</v>
      </c>
      <c r="U278" s="132">
        <f>Tabela4[[#This Row],[Valor contrato]]*(30.4375-Tabela4[[#This Row],[Dias inoperantes]])/30.4375</f>
        <v>0</v>
      </c>
      <c r="V278" s="116">
        <v>77.472739999997501</v>
      </c>
      <c r="W278" s="150">
        <f>Tabela4[[#This Row],[Pro rata total]]/30</f>
        <v>2.5824246666665833</v>
      </c>
      <c r="X278" s="140">
        <v>6</v>
      </c>
      <c r="Y278" s="123">
        <f>Tabela4[[#This Row],[Diferença]]*Tabela4[[#This Row],[Quantidade]]</f>
        <v>15.494547999999501</v>
      </c>
    </row>
    <row r="279" spans="2:25" ht="15" hidden="1" thickBot="1">
      <c r="B279" s="129" t="s">
        <v>12</v>
      </c>
      <c r="C279" s="129" t="s">
        <v>30</v>
      </c>
      <c r="D279" s="129" t="s">
        <v>56</v>
      </c>
      <c r="E279" s="114">
        <v>45748</v>
      </c>
      <c r="F279" s="131" t="s">
        <v>367</v>
      </c>
      <c r="G279" s="129" t="s">
        <v>335</v>
      </c>
      <c r="H279" s="137" t="s">
        <v>408</v>
      </c>
      <c r="I279" s="137" t="s">
        <v>409</v>
      </c>
      <c r="J279" s="132">
        <v>0</v>
      </c>
      <c r="K279" s="169">
        <v>25.71</v>
      </c>
      <c r="L279" s="133">
        <f t="shared" si="10"/>
        <v>0</v>
      </c>
      <c r="M279" s="132"/>
      <c r="N279" s="169">
        <v>185.85</v>
      </c>
      <c r="O279" s="133">
        <f t="shared" si="11"/>
        <v>0</v>
      </c>
      <c r="P279" s="115" t="s">
        <v>407</v>
      </c>
      <c r="Q279" s="132"/>
      <c r="R279" s="132"/>
      <c r="S279" s="132"/>
      <c r="T279" s="132">
        <f>Tabela4[[#This Row],[Valor do contrato sem o equipamento]]/30.4375*3</f>
        <v>0</v>
      </c>
      <c r="U279" s="132">
        <f>Tabela4[[#This Row],[Valor contrato]]*(30.4375-Tabela4[[#This Row],[Dias inoperantes]])/30.4375</f>
        <v>0</v>
      </c>
      <c r="V279" s="116">
        <v>77.472739999997501</v>
      </c>
      <c r="W279" s="150">
        <f>Tabela4[[#This Row],[Pro rata total]]/30</f>
        <v>2.5824246666665833</v>
      </c>
      <c r="X279" s="140">
        <v>1</v>
      </c>
      <c r="Y279" s="123">
        <f>Tabela4[[#This Row],[Diferença]]*Tabela4[[#This Row],[Quantidade]]</f>
        <v>2.5824246666665833</v>
      </c>
    </row>
    <row r="280" spans="2:25" ht="15" hidden="1" thickBot="1">
      <c r="B280" s="129" t="s">
        <v>12</v>
      </c>
      <c r="C280" s="129" t="s">
        <v>30</v>
      </c>
      <c r="D280" s="129" t="s">
        <v>56</v>
      </c>
      <c r="E280" s="114">
        <v>45778</v>
      </c>
      <c r="F280" s="131" t="s">
        <v>352</v>
      </c>
      <c r="G280" s="137" t="s">
        <v>333</v>
      </c>
      <c r="H280" s="137">
        <v>0.41666666666666702</v>
      </c>
      <c r="I280" s="137">
        <v>0.91666666666666663</v>
      </c>
      <c r="J280" s="132"/>
      <c r="K280" s="169">
        <v>18.04</v>
      </c>
      <c r="L280" s="133">
        <f t="shared" si="10"/>
        <v>0</v>
      </c>
      <c r="M280" s="132">
        <v>7</v>
      </c>
      <c r="N280" s="169">
        <v>130.41</v>
      </c>
      <c r="O280" s="133">
        <f t="shared" si="11"/>
        <v>912.87</v>
      </c>
      <c r="P280" s="115" t="s">
        <v>410</v>
      </c>
      <c r="Q280" s="132">
        <v>3</v>
      </c>
      <c r="R280" s="134">
        <v>166174.71916799998</v>
      </c>
      <c r="S280" s="134">
        <v>165423.60617300001</v>
      </c>
      <c r="T280" s="134">
        <f>Tabela4[[#This Row],[Valor do contrato sem o equipamento]]/30.4375*3</f>
        <v>16304.585413355235</v>
      </c>
      <c r="U280" s="134">
        <f>Tabela4[[#This Row],[Valor contrato]]*(30.4375-Tabela4[[#This Row],[Dias inoperantes]])/30.4375</f>
        <v>149796.10208367964</v>
      </c>
      <c r="V280" s="116">
        <f>Tabela4[[#This Row],[Valor pro rata dias com equipamento]]+Tabela4[[#This Row],[Valor pro rata dias sem equipamento]]</f>
        <v>166100.68749703487</v>
      </c>
      <c r="W280" s="150">
        <f>Tabela4[[#This Row],[Valor contrato]]-Tabela4[[#This Row],[Pro rata total]]</f>
        <v>74.031670965108788</v>
      </c>
      <c r="X280" s="140">
        <v>1</v>
      </c>
      <c r="Y280" s="123">
        <f>Tabela4[[#This Row],[Diferença]]*Tabela4[[#This Row],[Quantidade]]</f>
        <v>74.031670965108788</v>
      </c>
    </row>
    <row r="281" spans="2:25" ht="15" hidden="1" thickBot="1">
      <c r="B281" s="129" t="s">
        <v>12</v>
      </c>
      <c r="C281" s="129" t="s">
        <v>30</v>
      </c>
      <c r="D281" s="129" t="s">
        <v>56</v>
      </c>
      <c r="E281" s="114">
        <v>45778</v>
      </c>
      <c r="F281" s="131" t="s">
        <v>351</v>
      </c>
      <c r="G281" s="129" t="s">
        <v>335</v>
      </c>
      <c r="H281" s="137" t="s">
        <v>340</v>
      </c>
      <c r="I281" s="137" t="s">
        <v>341</v>
      </c>
      <c r="J281" s="132">
        <v>0</v>
      </c>
      <c r="K281" s="169">
        <v>20.85</v>
      </c>
      <c r="L281" s="133">
        <f t="shared" si="10"/>
        <v>0</v>
      </c>
      <c r="M281" s="132">
        <v>0</v>
      </c>
      <c r="N281" s="169">
        <v>150.71</v>
      </c>
      <c r="O281" s="133">
        <f t="shared" si="11"/>
        <v>0</v>
      </c>
      <c r="P281" s="115"/>
      <c r="Q281" s="132"/>
      <c r="R281" s="134"/>
      <c r="S281" s="134"/>
      <c r="T281" s="134">
        <f>Tabela4[[#This Row],[Valor do contrato sem o equipamento]]/30.4375*3</f>
        <v>0</v>
      </c>
      <c r="U281" s="134">
        <f>Tabela4[[#This Row],[Valor contrato]]*(30.4375-Tabela4[[#This Row],[Dias inoperantes]])/30.4375</f>
        <v>0</v>
      </c>
      <c r="V281" s="116"/>
      <c r="W281" s="150"/>
      <c r="X281" s="140"/>
      <c r="Y281" s="123">
        <f>Tabela4[[#This Row],[Diferença]]*Tabela4[[#This Row],[Quantidade]]</f>
        <v>0</v>
      </c>
    </row>
    <row r="282" spans="2:25" ht="15" hidden="1" thickBot="1">
      <c r="B282" s="129" t="s">
        <v>12</v>
      </c>
      <c r="C282" s="129" t="s">
        <v>30</v>
      </c>
      <c r="D282" s="129" t="s">
        <v>56</v>
      </c>
      <c r="E282" s="114">
        <v>45778</v>
      </c>
      <c r="F282" s="131" t="s">
        <v>367</v>
      </c>
      <c r="G282" s="129" t="s">
        <v>411</v>
      </c>
      <c r="H282" s="137">
        <v>0.875</v>
      </c>
      <c r="I282" s="137" t="s">
        <v>405</v>
      </c>
      <c r="J282" s="132"/>
      <c r="K282" s="169">
        <v>29.88</v>
      </c>
      <c r="L282" s="133">
        <f t="shared" si="10"/>
        <v>0</v>
      </c>
      <c r="M282" s="132">
        <v>7</v>
      </c>
      <c r="N282" s="169">
        <v>215.93</v>
      </c>
      <c r="O282" s="133">
        <f t="shared" si="11"/>
        <v>1511.51</v>
      </c>
      <c r="P282" s="115"/>
      <c r="Q282" s="132"/>
      <c r="R282" s="134"/>
      <c r="S282" s="134"/>
      <c r="T282" s="134">
        <f>Tabela4[[#This Row],[Valor do contrato sem o equipamento]]/30.4375*3</f>
        <v>0</v>
      </c>
      <c r="U282" s="134">
        <f>Tabela4[[#This Row],[Valor contrato]]*(30.4375-Tabela4[[#This Row],[Dias inoperantes]])/30.4375</f>
        <v>0</v>
      </c>
      <c r="V282" s="116"/>
      <c r="W282" s="150"/>
      <c r="X282" s="140"/>
      <c r="Y282" s="123">
        <f>Tabela4[[#This Row],[Diferença]]*Tabela4[[#This Row],[Quantidade]]</f>
        <v>0</v>
      </c>
    </row>
    <row r="283" spans="2:25" ht="15" hidden="1" thickBot="1">
      <c r="B283" s="129" t="s">
        <v>12</v>
      </c>
      <c r="C283" s="129" t="s">
        <v>30</v>
      </c>
      <c r="D283" s="129" t="s">
        <v>56</v>
      </c>
      <c r="E283" s="114">
        <v>45809</v>
      </c>
      <c r="F283" s="129" t="s">
        <v>351</v>
      </c>
      <c r="G283" s="129" t="s">
        <v>335</v>
      </c>
      <c r="H283" s="137" t="s">
        <v>340</v>
      </c>
      <c r="I283" s="137" t="s">
        <v>341</v>
      </c>
      <c r="J283" s="132">
        <v>0</v>
      </c>
      <c r="K283" s="169">
        <v>20.85</v>
      </c>
      <c r="L283" s="133">
        <f t="shared" si="10"/>
        <v>0</v>
      </c>
      <c r="M283" s="132">
        <v>15</v>
      </c>
      <c r="N283" s="169">
        <v>150.71</v>
      </c>
      <c r="O283" s="133">
        <f t="shared" si="11"/>
        <v>2260.65</v>
      </c>
      <c r="P283" s="115"/>
      <c r="Q283" s="132"/>
      <c r="R283" s="132"/>
      <c r="S283" s="134"/>
      <c r="T283" s="134">
        <f>Tabela4[[#This Row],[Valor do contrato sem o equipamento]]/30.4375*3</f>
        <v>0</v>
      </c>
      <c r="U283" s="134">
        <f>Tabela4[[#This Row],[Valor contrato]]*(30.4375-Tabela4[[#This Row],[Dias inoperantes]])/30.4375</f>
        <v>0</v>
      </c>
      <c r="V283" s="116"/>
      <c r="W283" s="150"/>
      <c r="X283" s="140"/>
      <c r="Y283" s="123">
        <f>Tabela4[[#This Row],[Diferença]]*Tabela4[[#This Row],[Quantidade]]</f>
        <v>0</v>
      </c>
    </row>
    <row r="284" spans="2:25" ht="15" hidden="1" thickBot="1">
      <c r="B284" s="129" t="s">
        <v>12</v>
      </c>
      <c r="C284" s="129" t="s">
        <v>30</v>
      </c>
      <c r="D284" s="129" t="s">
        <v>56</v>
      </c>
      <c r="E284" s="114">
        <v>45809</v>
      </c>
      <c r="F284" s="129" t="s">
        <v>351</v>
      </c>
      <c r="G284" s="129" t="s">
        <v>335</v>
      </c>
      <c r="H284" s="137" t="s">
        <v>343</v>
      </c>
      <c r="I284" s="137" t="s">
        <v>342</v>
      </c>
      <c r="J284" s="132">
        <v>0</v>
      </c>
      <c r="K284" s="169">
        <v>20.85</v>
      </c>
      <c r="L284" s="133">
        <f t="shared" si="10"/>
        <v>0</v>
      </c>
      <c r="M284" s="132">
        <v>1</v>
      </c>
      <c r="N284" s="169">
        <v>150.71</v>
      </c>
      <c r="O284" s="133">
        <f t="shared" si="11"/>
        <v>150.71</v>
      </c>
      <c r="P284" s="115"/>
      <c r="Q284" s="132"/>
      <c r="R284" s="132"/>
      <c r="S284" s="134"/>
      <c r="T284" s="134">
        <f>Tabela4[[#This Row],[Valor do contrato sem o equipamento]]/30.4375*3</f>
        <v>0</v>
      </c>
      <c r="U284" s="134">
        <f>Tabela4[[#This Row],[Valor contrato]]*(30.4375-Tabela4[[#This Row],[Dias inoperantes]])/30.4375</f>
        <v>0</v>
      </c>
      <c r="V284" s="116"/>
      <c r="W284" s="150"/>
      <c r="X284" s="140"/>
      <c r="Y284" s="123">
        <f>Tabela4[[#This Row],[Diferença]]*Tabela4[[#This Row],[Quantidade]]</f>
        <v>0</v>
      </c>
    </row>
    <row r="285" spans="2:25" ht="15" hidden="1" thickBot="1">
      <c r="B285" s="129" t="s">
        <v>12</v>
      </c>
      <c r="C285" s="129" t="s">
        <v>35</v>
      </c>
      <c r="D285" s="129" t="s">
        <v>56</v>
      </c>
      <c r="E285" s="114">
        <v>45870</v>
      </c>
      <c r="F285" s="129" t="s">
        <v>406</v>
      </c>
      <c r="G285" s="129" t="s">
        <v>333</v>
      </c>
      <c r="H285" s="137">
        <v>0.29166666666666669</v>
      </c>
      <c r="I285" s="137">
        <v>0.79166666666666663</v>
      </c>
      <c r="J285" s="132">
        <v>0</v>
      </c>
      <c r="K285" s="169">
        <v>25.6</v>
      </c>
      <c r="L285" s="133">
        <f t="shared" ref="L285:L357" si="14">J285*K285</f>
        <v>0</v>
      </c>
      <c r="M285" s="132">
        <v>4</v>
      </c>
      <c r="N285" s="169">
        <v>185.01</v>
      </c>
      <c r="O285" s="133">
        <f t="shared" ref="O285:O357" si="15">M285*N285</f>
        <v>740.04</v>
      </c>
      <c r="P285" s="115"/>
      <c r="Q285" s="132"/>
      <c r="R285" s="132"/>
      <c r="S285" s="134"/>
      <c r="T285" s="134">
        <f>Tabela4[[#This Row],[Valor do contrato sem o equipamento]]/30.4375*3</f>
        <v>0</v>
      </c>
      <c r="U285" s="134">
        <f>Tabela4[[#This Row],[Valor contrato]]*(30.4375-Tabela4[[#This Row],[Dias inoperantes]])/30.4375</f>
        <v>0</v>
      </c>
      <c r="V285" s="116"/>
      <c r="W285" s="150"/>
      <c r="X285" s="140"/>
      <c r="Y285" s="123">
        <f>Tabela4[[#This Row],[Diferença]]*Tabela4[[#This Row],[Quantidade]]</f>
        <v>0</v>
      </c>
    </row>
    <row r="286" spans="2:25" ht="15" hidden="1" thickBot="1">
      <c r="B286" s="129" t="s">
        <v>12</v>
      </c>
      <c r="C286" s="129" t="s">
        <v>30</v>
      </c>
      <c r="D286" s="129" t="s">
        <v>56</v>
      </c>
      <c r="E286" s="114">
        <v>45870</v>
      </c>
      <c r="F286" s="129" t="s">
        <v>351</v>
      </c>
      <c r="G286" s="129" t="s">
        <v>335</v>
      </c>
      <c r="H286" s="137">
        <v>0.25</v>
      </c>
      <c r="I286" s="137">
        <v>0.59722222222222221</v>
      </c>
      <c r="J286" s="132">
        <v>0</v>
      </c>
      <c r="K286" s="169">
        <v>20.85</v>
      </c>
      <c r="L286" s="133">
        <f t="shared" si="14"/>
        <v>0</v>
      </c>
      <c r="M286" s="132">
        <v>8</v>
      </c>
      <c r="N286" s="169">
        <v>150.71</v>
      </c>
      <c r="O286" s="133">
        <f t="shared" si="15"/>
        <v>1205.68</v>
      </c>
      <c r="P286" s="115"/>
      <c r="Q286" s="132"/>
      <c r="R286" s="132"/>
      <c r="S286" s="134"/>
      <c r="T286" s="134">
        <f>Tabela4[[#This Row],[Valor do contrato sem o equipamento]]/30.4375*3</f>
        <v>0</v>
      </c>
      <c r="U286" s="134">
        <f>Tabela4[[#This Row],[Valor contrato]]*(30.4375-Tabela4[[#This Row],[Dias inoperantes]])/30.4375</f>
        <v>0</v>
      </c>
      <c r="V286" s="116"/>
      <c r="W286" s="150"/>
      <c r="X286" s="140"/>
      <c r="Y286" s="123">
        <f>Tabela4[[#This Row],[Diferença]]*Tabela4[[#This Row],[Quantidade]]</f>
        <v>0</v>
      </c>
    </row>
    <row r="287" spans="2:25" ht="15" hidden="1" thickBot="1">
      <c r="B287" s="129" t="s">
        <v>12</v>
      </c>
      <c r="C287" s="129" t="s">
        <v>30</v>
      </c>
      <c r="D287" s="129" t="s">
        <v>56</v>
      </c>
      <c r="E287" s="114">
        <v>45870</v>
      </c>
      <c r="F287" s="129" t="s">
        <v>412</v>
      </c>
      <c r="G287" s="129" t="s">
        <v>335</v>
      </c>
      <c r="H287" s="137">
        <v>0.875</v>
      </c>
      <c r="I287" s="137">
        <v>0.22222222222222221</v>
      </c>
      <c r="J287" s="132">
        <v>0</v>
      </c>
      <c r="K287" s="169">
        <v>31.95</v>
      </c>
      <c r="L287" s="133">
        <f t="shared" si="14"/>
        <v>0</v>
      </c>
      <c r="M287" s="132">
        <v>7</v>
      </c>
      <c r="N287" s="169">
        <v>230.94</v>
      </c>
      <c r="O287" s="133">
        <f t="shared" si="15"/>
        <v>1616.58</v>
      </c>
      <c r="P287" s="115"/>
      <c r="Q287" s="132"/>
      <c r="R287" s="132"/>
      <c r="S287" s="134"/>
      <c r="T287" s="134"/>
      <c r="U287" s="134"/>
      <c r="V287" s="116"/>
      <c r="W287" s="150"/>
      <c r="X287" s="140"/>
      <c r="Y287" s="123"/>
    </row>
    <row r="288" spans="2:25" ht="15" hidden="1" thickBot="1">
      <c r="B288" s="129" t="s">
        <v>12</v>
      </c>
      <c r="C288" s="129" t="s">
        <v>30</v>
      </c>
      <c r="D288" s="129" t="s">
        <v>56</v>
      </c>
      <c r="E288" s="114">
        <v>45870</v>
      </c>
      <c r="F288" s="129" t="s">
        <v>393</v>
      </c>
      <c r="G288" s="129" t="s">
        <v>335</v>
      </c>
      <c r="H288" s="137">
        <v>0.91666666666666663</v>
      </c>
      <c r="I288" s="137">
        <v>0.2638888888888889</v>
      </c>
      <c r="J288" s="132"/>
      <c r="K288" s="169"/>
      <c r="L288" s="133">
        <f t="shared" si="14"/>
        <v>0</v>
      </c>
      <c r="M288" s="132">
        <v>6</v>
      </c>
      <c r="N288" s="169">
        <v>177.46</v>
      </c>
      <c r="O288" s="133">
        <f t="shared" si="15"/>
        <v>1064.76</v>
      </c>
      <c r="P288" s="115"/>
      <c r="Q288" s="132"/>
      <c r="R288" s="132"/>
      <c r="S288" s="134"/>
      <c r="T288" s="134">
        <f>Tabela4[[#This Row],[Valor do contrato sem o equipamento]]/30.4375*3</f>
        <v>0</v>
      </c>
      <c r="U288" s="134">
        <f>Tabela4[[#This Row],[Valor contrato]]*(30.4375-Tabela4[[#This Row],[Dias inoperantes]])/30.4375</f>
        <v>0</v>
      </c>
      <c r="V288" s="116"/>
      <c r="W288" s="150"/>
      <c r="X288" s="140"/>
      <c r="Y288" s="123">
        <f>Tabela4[[#This Row],[Diferença]]*Tabela4[[#This Row],[Quantidade]]</f>
        <v>0</v>
      </c>
    </row>
    <row r="289" spans="2:25" ht="15" hidden="1" thickBot="1">
      <c r="B289" s="129" t="s">
        <v>12</v>
      </c>
      <c r="C289" s="129" t="s">
        <v>30</v>
      </c>
      <c r="D289" s="129" t="s">
        <v>56</v>
      </c>
      <c r="E289" s="114">
        <v>45809</v>
      </c>
      <c r="F289" s="129" t="s">
        <v>412</v>
      </c>
      <c r="G289" s="129" t="s">
        <v>335</v>
      </c>
      <c r="H289" s="137">
        <v>0.875</v>
      </c>
      <c r="I289" s="137">
        <v>0.22222222222222221</v>
      </c>
      <c r="J289" s="132"/>
      <c r="K289" s="133"/>
      <c r="L289" s="133">
        <f t="shared" si="14"/>
        <v>0</v>
      </c>
      <c r="M289" s="132">
        <v>3</v>
      </c>
      <c r="N289" s="133">
        <v>230.94</v>
      </c>
      <c r="O289" s="133">
        <f t="shared" si="15"/>
        <v>692.81999999999994</v>
      </c>
      <c r="P289" s="115"/>
      <c r="Q289" s="132"/>
      <c r="R289" s="132"/>
      <c r="S289" s="134"/>
      <c r="T289" s="134">
        <f>Tabela4[[#This Row],[Valor do contrato sem o equipamento]]/30.4375*3</f>
        <v>0</v>
      </c>
      <c r="U289" s="134">
        <f>Tabela4[[#This Row],[Valor contrato]]*(30.4375-Tabela4[[#This Row],[Dias inoperantes]])/30.4375</f>
        <v>0</v>
      </c>
      <c r="V289" s="116"/>
      <c r="W289" s="150"/>
      <c r="X289" s="140"/>
      <c r="Y289" s="123">
        <f>Tabela4[[#This Row],[Diferença]]*Tabela4[[#This Row],[Quantidade]]</f>
        <v>0</v>
      </c>
    </row>
    <row r="290" spans="2:25" ht="15" hidden="1" thickBot="1">
      <c r="B290" s="129" t="s">
        <v>12</v>
      </c>
      <c r="C290" s="129" t="s">
        <v>30</v>
      </c>
      <c r="D290" s="129" t="s">
        <v>56</v>
      </c>
      <c r="E290" s="114">
        <v>45809</v>
      </c>
      <c r="F290" s="129" t="s">
        <v>393</v>
      </c>
      <c r="G290" s="129" t="s">
        <v>335</v>
      </c>
      <c r="H290" s="137">
        <v>0.91666666666666663</v>
      </c>
      <c r="I290" s="137">
        <v>0.91666666666666663</v>
      </c>
      <c r="J290" s="132"/>
      <c r="K290" s="133"/>
      <c r="L290" s="133">
        <f t="shared" si="14"/>
        <v>0</v>
      </c>
      <c r="M290" s="132">
        <v>1</v>
      </c>
      <c r="N290" s="133">
        <v>177.46</v>
      </c>
      <c r="O290" s="133">
        <f t="shared" si="15"/>
        <v>177.46</v>
      </c>
      <c r="P290" s="115"/>
      <c r="Q290" s="132"/>
      <c r="R290" s="132"/>
      <c r="S290" s="134"/>
      <c r="T290" s="134">
        <f>Tabela4[[#This Row],[Valor do contrato sem o equipamento]]/30.4375*3</f>
        <v>0</v>
      </c>
      <c r="U290" s="134">
        <f>Tabela4[[#This Row],[Valor contrato]]*(30.4375-Tabela4[[#This Row],[Dias inoperantes]])/30.4375</f>
        <v>0</v>
      </c>
      <c r="V290" s="116"/>
      <c r="W290" s="150"/>
      <c r="X290" s="140"/>
      <c r="Y290" s="123">
        <f>Tabela4[[#This Row],[Diferença]]*Tabela4[[#This Row],[Quantidade]]</f>
        <v>0</v>
      </c>
    </row>
    <row r="291" spans="2:25" ht="15" hidden="1" thickBot="1">
      <c r="B291" s="129" t="s">
        <v>11</v>
      </c>
      <c r="C291" s="129" t="s">
        <v>29</v>
      </c>
      <c r="D291" s="129" t="s">
        <v>40</v>
      </c>
      <c r="E291" s="114">
        <v>45658</v>
      </c>
      <c r="F291" s="131" t="s">
        <v>413</v>
      </c>
      <c r="G291" s="129" t="s">
        <v>333</v>
      </c>
      <c r="H291" s="137">
        <v>0.5</v>
      </c>
      <c r="I291" s="137">
        <v>0</v>
      </c>
      <c r="J291" s="132">
        <v>12</v>
      </c>
      <c r="K291" s="169">
        <v>19.690000000000001</v>
      </c>
      <c r="L291" s="133">
        <f t="shared" si="14"/>
        <v>236.28000000000003</v>
      </c>
      <c r="M291" s="132"/>
      <c r="N291" s="169"/>
      <c r="O291" s="133">
        <f t="shared" si="15"/>
        <v>0</v>
      </c>
      <c r="P291" s="115"/>
      <c r="Q291" s="132"/>
      <c r="R291" s="132"/>
      <c r="S291" s="132"/>
      <c r="T291" s="132">
        <f>Tabela4[[#This Row],[Valor do contrato sem o equipamento]]/30.4375*3</f>
        <v>0</v>
      </c>
      <c r="U291" s="132">
        <f>Tabela4[[#This Row],[Valor contrato]]*(30.4375-Tabela4[[#This Row],[Dias inoperantes]])/30.4375</f>
        <v>0</v>
      </c>
      <c r="V291" s="116"/>
      <c r="W291" s="150"/>
      <c r="X291" s="132"/>
      <c r="Y291" s="123">
        <f>Tabela4[[#This Row],[Diferença]]*Tabela4[[#This Row],[Quantidade]]</f>
        <v>0</v>
      </c>
    </row>
    <row r="292" spans="2:25" ht="15" hidden="1" thickBot="1">
      <c r="B292" s="129" t="s">
        <v>11</v>
      </c>
      <c r="C292" s="129" t="s">
        <v>29</v>
      </c>
      <c r="D292" s="129" t="s">
        <v>40</v>
      </c>
      <c r="E292" s="114">
        <v>45658</v>
      </c>
      <c r="F292" s="131" t="s">
        <v>413</v>
      </c>
      <c r="G292" s="129" t="s">
        <v>333</v>
      </c>
      <c r="H292" s="137">
        <v>0.5</v>
      </c>
      <c r="I292" s="137">
        <v>0</v>
      </c>
      <c r="J292" s="132">
        <v>10</v>
      </c>
      <c r="K292" s="169">
        <v>19.690000000000001</v>
      </c>
      <c r="L292" s="133">
        <f t="shared" si="14"/>
        <v>196.9</v>
      </c>
      <c r="M292" s="132"/>
      <c r="N292" s="169"/>
      <c r="O292" s="133">
        <f t="shared" si="15"/>
        <v>0</v>
      </c>
      <c r="P292" s="115"/>
      <c r="Q292" s="132"/>
      <c r="R292" s="132"/>
      <c r="S292" s="132"/>
      <c r="T292" s="132">
        <f>Tabela4[[#This Row],[Valor do contrato sem o equipamento]]/30.4375*3</f>
        <v>0</v>
      </c>
      <c r="U292" s="132">
        <f>Tabela4[[#This Row],[Valor contrato]]*(30.4375-Tabela4[[#This Row],[Dias inoperantes]])/30.4375</f>
        <v>0</v>
      </c>
      <c r="V292" s="116"/>
      <c r="W292" s="150"/>
      <c r="X292" s="132"/>
      <c r="Y292" s="123">
        <f>Tabela4[[#This Row],[Diferença]]*Tabela4[[#This Row],[Quantidade]]</f>
        <v>0</v>
      </c>
    </row>
    <row r="293" spans="2:25" ht="15" hidden="1" thickBot="1">
      <c r="B293" s="129" t="s">
        <v>11</v>
      </c>
      <c r="C293" s="129" t="s">
        <v>29</v>
      </c>
      <c r="D293" s="129" t="s">
        <v>40</v>
      </c>
      <c r="E293" s="114">
        <v>45658</v>
      </c>
      <c r="F293" s="131" t="s">
        <v>413</v>
      </c>
      <c r="G293" s="129" t="s">
        <v>333</v>
      </c>
      <c r="H293" s="137">
        <v>0.5</v>
      </c>
      <c r="I293" s="137">
        <v>0</v>
      </c>
      <c r="J293" s="132">
        <v>10</v>
      </c>
      <c r="K293" s="169">
        <v>19.690000000000001</v>
      </c>
      <c r="L293" s="133">
        <f t="shared" si="14"/>
        <v>196.9</v>
      </c>
      <c r="M293" s="132"/>
      <c r="N293" s="169"/>
      <c r="O293" s="133">
        <f t="shared" si="15"/>
        <v>0</v>
      </c>
      <c r="P293" s="115"/>
      <c r="Q293" s="132"/>
      <c r="R293" s="132"/>
      <c r="S293" s="132"/>
      <c r="T293" s="132">
        <f>Tabela4[[#This Row],[Valor do contrato sem o equipamento]]/30.4375*3</f>
        <v>0</v>
      </c>
      <c r="U293" s="132">
        <f>Tabela4[[#This Row],[Valor contrato]]*(30.4375-Tabela4[[#This Row],[Dias inoperantes]])/30.4375</f>
        <v>0</v>
      </c>
      <c r="V293" s="116"/>
      <c r="W293" s="150"/>
      <c r="X293" s="132"/>
      <c r="Y293" s="123">
        <f>Tabela4[[#This Row],[Diferença]]*Tabela4[[#This Row],[Quantidade]]</f>
        <v>0</v>
      </c>
    </row>
    <row r="294" spans="2:25" ht="15" hidden="1" thickBot="1">
      <c r="B294" s="129" t="s">
        <v>11</v>
      </c>
      <c r="C294" s="129" t="s">
        <v>29</v>
      </c>
      <c r="D294" s="129" t="s">
        <v>40</v>
      </c>
      <c r="E294" s="114">
        <v>45658</v>
      </c>
      <c r="F294" s="131" t="s">
        <v>413</v>
      </c>
      <c r="G294" s="129" t="s">
        <v>333</v>
      </c>
      <c r="H294" s="137">
        <v>0.5</v>
      </c>
      <c r="I294" s="137">
        <v>0</v>
      </c>
      <c r="J294" s="132">
        <v>10</v>
      </c>
      <c r="K294" s="169">
        <v>19.690000000000001</v>
      </c>
      <c r="L294" s="133">
        <f t="shared" si="14"/>
        <v>196.9</v>
      </c>
      <c r="M294" s="132"/>
      <c r="N294" s="169"/>
      <c r="O294" s="133">
        <f t="shared" si="15"/>
        <v>0</v>
      </c>
      <c r="P294" s="115"/>
      <c r="Q294" s="132"/>
      <c r="R294" s="132"/>
      <c r="S294" s="132"/>
      <c r="T294" s="132">
        <f>Tabela4[[#This Row],[Valor do contrato sem o equipamento]]/30.4375*3</f>
        <v>0</v>
      </c>
      <c r="U294" s="132">
        <f>Tabela4[[#This Row],[Valor contrato]]*(30.4375-Tabela4[[#This Row],[Dias inoperantes]])/30.4375</f>
        <v>0</v>
      </c>
      <c r="V294" s="116"/>
      <c r="W294" s="150"/>
      <c r="X294" s="132"/>
      <c r="Y294" s="123">
        <f>Tabela4[[#This Row],[Diferença]]*Tabela4[[#This Row],[Quantidade]]</f>
        <v>0</v>
      </c>
    </row>
    <row r="295" spans="2:25" ht="15" hidden="1" thickBot="1">
      <c r="B295" s="129" t="s">
        <v>11</v>
      </c>
      <c r="C295" s="129" t="s">
        <v>29</v>
      </c>
      <c r="D295" s="129" t="s">
        <v>40</v>
      </c>
      <c r="E295" s="114">
        <v>45658</v>
      </c>
      <c r="F295" s="131" t="s">
        <v>413</v>
      </c>
      <c r="G295" s="129" t="s">
        <v>333</v>
      </c>
      <c r="H295" s="137">
        <v>0.5</v>
      </c>
      <c r="I295" s="137">
        <v>0</v>
      </c>
      <c r="J295" s="132">
        <v>10</v>
      </c>
      <c r="K295" s="169">
        <v>19.690000000000001</v>
      </c>
      <c r="L295" s="133">
        <f t="shared" si="14"/>
        <v>196.9</v>
      </c>
      <c r="M295" s="132"/>
      <c r="N295" s="169"/>
      <c r="O295" s="133">
        <f t="shared" si="15"/>
        <v>0</v>
      </c>
      <c r="P295" s="115"/>
      <c r="Q295" s="132"/>
      <c r="R295" s="132"/>
      <c r="S295" s="132"/>
      <c r="T295" s="132">
        <f>Tabela4[[#This Row],[Valor do contrato sem o equipamento]]/30.4375*3</f>
        <v>0</v>
      </c>
      <c r="U295" s="132">
        <f>Tabela4[[#This Row],[Valor contrato]]*(30.4375-Tabela4[[#This Row],[Dias inoperantes]])/30.4375</f>
        <v>0</v>
      </c>
      <c r="V295" s="116"/>
      <c r="W295" s="150"/>
      <c r="X295" s="132"/>
      <c r="Y295" s="123">
        <f>Tabela4[[#This Row],[Diferença]]*Tabela4[[#This Row],[Quantidade]]</f>
        <v>0</v>
      </c>
    </row>
    <row r="296" spans="2:25" ht="15" hidden="1" thickBot="1">
      <c r="B296" s="129" t="s">
        <v>11</v>
      </c>
      <c r="C296" s="129" t="s">
        <v>29</v>
      </c>
      <c r="D296" s="129" t="s">
        <v>40</v>
      </c>
      <c r="E296" s="114">
        <v>45658</v>
      </c>
      <c r="F296" s="131" t="s">
        <v>413</v>
      </c>
      <c r="G296" s="129" t="s">
        <v>333</v>
      </c>
      <c r="H296" s="137">
        <v>0.5</v>
      </c>
      <c r="I296" s="137">
        <v>0</v>
      </c>
      <c r="J296" s="132">
        <v>12</v>
      </c>
      <c r="K296" s="169">
        <v>19.690000000000001</v>
      </c>
      <c r="L296" s="133">
        <f t="shared" si="14"/>
        <v>236.28000000000003</v>
      </c>
      <c r="M296" s="132"/>
      <c r="N296" s="169"/>
      <c r="O296" s="133">
        <f t="shared" si="15"/>
        <v>0</v>
      </c>
      <c r="P296" s="115"/>
      <c r="Q296" s="132"/>
      <c r="R296" s="132"/>
      <c r="S296" s="132"/>
      <c r="T296" s="132">
        <f>Tabela4[[#This Row],[Valor do contrato sem o equipamento]]/30.4375*3</f>
        <v>0</v>
      </c>
      <c r="U296" s="132">
        <f>Tabela4[[#This Row],[Valor contrato]]*(30.4375-Tabela4[[#This Row],[Dias inoperantes]])/30.4375</f>
        <v>0</v>
      </c>
      <c r="V296" s="116"/>
      <c r="W296" s="150"/>
      <c r="X296" s="132"/>
      <c r="Y296" s="123">
        <f>Tabela4[[#This Row],[Diferença]]*Tabela4[[#This Row],[Quantidade]]</f>
        <v>0</v>
      </c>
    </row>
    <row r="297" spans="2:25" ht="15" hidden="1" thickBot="1">
      <c r="B297" s="129" t="s">
        <v>11</v>
      </c>
      <c r="C297" s="129" t="s">
        <v>29</v>
      </c>
      <c r="D297" s="129" t="s">
        <v>40</v>
      </c>
      <c r="E297" s="114">
        <v>45658</v>
      </c>
      <c r="F297" s="131" t="s">
        <v>413</v>
      </c>
      <c r="G297" s="129" t="s">
        <v>333</v>
      </c>
      <c r="H297" s="137">
        <v>0.5</v>
      </c>
      <c r="I297" s="137">
        <v>0</v>
      </c>
      <c r="J297" s="132">
        <v>12</v>
      </c>
      <c r="K297" s="169">
        <v>19.690000000000001</v>
      </c>
      <c r="L297" s="133">
        <f t="shared" si="14"/>
        <v>236.28000000000003</v>
      </c>
      <c r="M297" s="132"/>
      <c r="N297" s="169"/>
      <c r="O297" s="133">
        <f t="shared" si="15"/>
        <v>0</v>
      </c>
      <c r="P297" s="115"/>
      <c r="Q297" s="132"/>
      <c r="R297" s="132"/>
      <c r="S297" s="132"/>
      <c r="T297" s="132">
        <f>Tabela4[[#This Row],[Valor do contrato sem o equipamento]]/30.4375*3</f>
        <v>0</v>
      </c>
      <c r="U297" s="132">
        <f>Tabela4[[#This Row],[Valor contrato]]*(30.4375-Tabela4[[#This Row],[Dias inoperantes]])/30.4375</f>
        <v>0</v>
      </c>
      <c r="V297" s="116"/>
      <c r="W297" s="150"/>
      <c r="X297" s="132"/>
      <c r="Y297" s="123">
        <f>Tabela4[[#This Row],[Diferença]]*Tabela4[[#This Row],[Quantidade]]</f>
        <v>0</v>
      </c>
    </row>
    <row r="298" spans="2:25" ht="15" hidden="1" thickBot="1">
      <c r="B298" s="129" t="s">
        <v>11</v>
      </c>
      <c r="C298" s="129" t="s">
        <v>29</v>
      </c>
      <c r="D298" s="129" t="s">
        <v>40</v>
      </c>
      <c r="E298" s="114">
        <v>45658</v>
      </c>
      <c r="F298" s="131" t="s">
        <v>413</v>
      </c>
      <c r="G298" s="129" t="s">
        <v>333</v>
      </c>
      <c r="H298" s="137">
        <v>0.5</v>
      </c>
      <c r="I298" s="137">
        <v>0</v>
      </c>
      <c r="J298" s="132">
        <v>2</v>
      </c>
      <c r="K298" s="169">
        <v>19.690000000000001</v>
      </c>
      <c r="L298" s="133">
        <f t="shared" si="14"/>
        <v>39.380000000000003</v>
      </c>
      <c r="M298" s="132"/>
      <c r="N298" s="169"/>
      <c r="O298" s="133">
        <f t="shared" si="15"/>
        <v>0</v>
      </c>
      <c r="P298" s="115"/>
      <c r="Q298" s="132"/>
      <c r="R298" s="132"/>
      <c r="S298" s="132"/>
      <c r="T298" s="132">
        <f>Tabela4[[#This Row],[Valor do contrato sem o equipamento]]/30.4375*3</f>
        <v>0</v>
      </c>
      <c r="U298" s="132">
        <f>Tabela4[[#This Row],[Valor contrato]]*(30.4375-Tabela4[[#This Row],[Dias inoperantes]])/30.4375</f>
        <v>0</v>
      </c>
      <c r="V298" s="116"/>
      <c r="W298" s="150"/>
      <c r="X298" s="132"/>
      <c r="Y298" s="123">
        <f>Tabela4[[#This Row],[Diferença]]*Tabela4[[#This Row],[Quantidade]]</f>
        <v>0</v>
      </c>
    </row>
    <row r="299" spans="2:25" ht="15" hidden="1" thickBot="1">
      <c r="B299" s="129" t="s">
        <v>11</v>
      </c>
      <c r="C299" s="129" t="s">
        <v>29</v>
      </c>
      <c r="D299" s="129" t="s">
        <v>40</v>
      </c>
      <c r="E299" s="114">
        <v>45658</v>
      </c>
      <c r="F299" s="131" t="s">
        <v>413</v>
      </c>
      <c r="G299" s="129" t="s">
        <v>333</v>
      </c>
      <c r="H299" s="137">
        <v>0.5</v>
      </c>
      <c r="I299" s="137">
        <v>0</v>
      </c>
      <c r="J299" s="132">
        <v>12</v>
      </c>
      <c r="K299" s="169">
        <v>19.690000000000001</v>
      </c>
      <c r="L299" s="133">
        <f t="shared" si="14"/>
        <v>236.28000000000003</v>
      </c>
      <c r="M299" s="132"/>
      <c r="N299" s="169"/>
      <c r="O299" s="133">
        <f t="shared" si="15"/>
        <v>0</v>
      </c>
      <c r="P299" s="115"/>
      <c r="Q299" s="132"/>
      <c r="R299" s="132"/>
      <c r="S299" s="132"/>
      <c r="T299" s="132">
        <f>Tabela4[[#This Row],[Valor do contrato sem o equipamento]]/30.4375*3</f>
        <v>0</v>
      </c>
      <c r="U299" s="132">
        <f>Tabela4[[#This Row],[Valor contrato]]*(30.4375-Tabela4[[#This Row],[Dias inoperantes]])/30.4375</f>
        <v>0</v>
      </c>
      <c r="V299" s="116"/>
      <c r="W299" s="150"/>
      <c r="X299" s="132"/>
      <c r="Y299" s="123">
        <f>Tabela4[[#This Row],[Diferença]]*Tabela4[[#This Row],[Quantidade]]</f>
        <v>0</v>
      </c>
    </row>
    <row r="300" spans="2:25" ht="15" hidden="1" thickBot="1">
      <c r="B300" s="129" t="s">
        <v>11</v>
      </c>
      <c r="C300" s="129" t="s">
        <v>29</v>
      </c>
      <c r="D300" s="129" t="s">
        <v>40</v>
      </c>
      <c r="E300" s="114">
        <v>45658</v>
      </c>
      <c r="F300" s="131" t="s">
        <v>413</v>
      </c>
      <c r="G300" s="129" t="s">
        <v>333</v>
      </c>
      <c r="H300" s="137">
        <v>0.5</v>
      </c>
      <c r="I300" s="137">
        <v>0</v>
      </c>
      <c r="J300" s="132">
        <v>12</v>
      </c>
      <c r="K300" s="169">
        <v>19.690000000000001</v>
      </c>
      <c r="L300" s="133">
        <f t="shared" si="14"/>
        <v>236.28000000000003</v>
      </c>
      <c r="M300" s="132"/>
      <c r="N300" s="169"/>
      <c r="O300" s="133">
        <f t="shared" si="15"/>
        <v>0</v>
      </c>
      <c r="P300" s="115"/>
      <c r="Q300" s="132"/>
      <c r="R300" s="132"/>
      <c r="S300" s="132"/>
      <c r="T300" s="132">
        <f>Tabela4[[#This Row],[Valor do contrato sem o equipamento]]/30.4375*3</f>
        <v>0</v>
      </c>
      <c r="U300" s="132">
        <f>Tabela4[[#This Row],[Valor contrato]]*(30.4375-Tabela4[[#This Row],[Dias inoperantes]])/30.4375</f>
        <v>0</v>
      </c>
      <c r="V300" s="116"/>
      <c r="W300" s="150"/>
      <c r="X300" s="132"/>
      <c r="Y300" s="123">
        <f>Tabela4[[#This Row],[Diferença]]*Tabela4[[#This Row],[Quantidade]]</f>
        <v>0</v>
      </c>
    </row>
    <row r="301" spans="2:25" ht="15" hidden="1" thickBot="1">
      <c r="B301" s="129" t="s">
        <v>11</v>
      </c>
      <c r="C301" s="129" t="s">
        <v>29</v>
      </c>
      <c r="D301" s="129" t="s">
        <v>40</v>
      </c>
      <c r="E301" s="114">
        <v>45658</v>
      </c>
      <c r="F301" s="131" t="s">
        <v>413</v>
      </c>
      <c r="G301" s="129" t="s">
        <v>333</v>
      </c>
      <c r="H301" s="137">
        <v>0.5</v>
      </c>
      <c r="I301" s="137">
        <v>0</v>
      </c>
      <c r="J301" s="132">
        <v>12</v>
      </c>
      <c r="K301" s="169">
        <v>19.690000000000001</v>
      </c>
      <c r="L301" s="133">
        <f t="shared" si="14"/>
        <v>236.28000000000003</v>
      </c>
      <c r="M301" s="132"/>
      <c r="N301" s="169"/>
      <c r="O301" s="133">
        <f t="shared" si="15"/>
        <v>0</v>
      </c>
      <c r="P301" s="115"/>
      <c r="Q301" s="132"/>
      <c r="R301" s="132"/>
      <c r="S301" s="132"/>
      <c r="T301" s="132">
        <f>Tabela4[[#This Row],[Valor do contrato sem o equipamento]]/30.4375*3</f>
        <v>0</v>
      </c>
      <c r="U301" s="132">
        <f>Tabela4[[#This Row],[Valor contrato]]*(30.4375-Tabela4[[#This Row],[Dias inoperantes]])/30.4375</f>
        <v>0</v>
      </c>
      <c r="V301" s="116"/>
      <c r="W301" s="150"/>
      <c r="X301" s="132"/>
      <c r="Y301" s="123">
        <f>Tabela4[[#This Row],[Diferença]]*Tabela4[[#This Row],[Quantidade]]</f>
        <v>0</v>
      </c>
    </row>
    <row r="302" spans="2:25" ht="15" hidden="1" thickBot="1">
      <c r="B302" s="129" t="s">
        <v>11</v>
      </c>
      <c r="C302" s="129" t="s">
        <v>29</v>
      </c>
      <c r="D302" s="129" t="s">
        <v>40</v>
      </c>
      <c r="E302" s="114">
        <v>45658</v>
      </c>
      <c r="F302" s="131" t="s">
        <v>413</v>
      </c>
      <c r="G302" s="129" t="s">
        <v>333</v>
      </c>
      <c r="H302" s="137">
        <v>0.5</v>
      </c>
      <c r="I302" s="137">
        <v>0</v>
      </c>
      <c r="J302" s="132">
        <v>12</v>
      </c>
      <c r="K302" s="169">
        <v>19.690000000000001</v>
      </c>
      <c r="L302" s="133">
        <f t="shared" si="14"/>
        <v>236.28000000000003</v>
      </c>
      <c r="M302" s="132"/>
      <c r="N302" s="169"/>
      <c r="O302" s="133">
        <f t="shared" si="15"/>
        <v>0</v>
      </c>
      <c r="P302" s="115"/>
      <c r="Q302" s="132"/>
      <c r="R302" s="132"/>
      <c r="S302" s="132"/>
      <c r="T302" s="132">
        <f>Tabela4[[#This Row],[Valor do contrato sem o equipamento]]/30.4375*3</f>
        <v>0</v>
      </c>
      <c r="U302" s="132">
        <f>Tabela4[[#This Row],[Valor contrato]]*(30.4375-Tabela4[[#This Row],[Dias inoperantes]])/30.4375</f>
        <v>0</v>
      </c>
      <c r="V302" s="116"/>
      <c r="W302" s="150"/>
      <c r="X302" s="132"/>
      <c r="Y302" s="123">
        <f>Tabela4[[#This Row],[Diferença]]*Tabela4[[#This Row],[Quantidade]]</f>
        <v>0</v>
      </c>
    </row>
    <row r="303" spans="2:25" ht="15" hidden="1" thickBot="1">
      <c r="B303" s="129" t="s">
        <v>11</v>
      </c>
      <c r="C303" s="129" t="s">
        <v>28</v>
      </c>
      <c r="D303" s="129" t="s">
        <v>37</v>
      </c>
      <c r="E303" s="114">
        <v>45689</v>
      </c>
      <c r="F303" s="131" t="s">
        <v>414</v>
      </c>
      <c r="G303" s="129" t="s">
        <v>333</v>
      </c>
      <c r="H303" s="137" t="s">
        <v>348</v>
      </c>
      <c r="I303" s="137" t="s">
        <v>415</v>
      </c>
      <c r="J303" s="132">
        <v>2</v>
      </c>
      <c r="K303" s="169">
        <v>26.98</v>
      </c>
      <c r="L303" s="133">
        <f t="shared" si="14"/>
        <v>53.96</v>
      </c>
      <c r="M303" s="132"/>
      <c r="N303" s="169">
        <v>194.97</v>
      </c>
      <c r="O303" s="133">
        <f t="shared" si="15"/>
        <v>0</v>
      </c>
      <c r="P303" s="115"/>
      <c r="Q303" s="132"/>
      <c r="R303" s="132"/>
      <c r="S303" s="132"/>
      <c r="T303" s="132">
        <f>Tabela4[[#This Row],[Valor do contrato sem o equipamento]]/30.4375*3</f>
        <v>0</v>
      </c>
      <c r="U303" s="132">
        <f>Tabela4[[#This Row],[Valor contrato]]*(30.4375-Tabela4[[#This Row],[Dias inoperantes]])/30.4375</f>
        <v>0</v>
      </c>
      <c r="V303" s="116"/>
      <c r="W303" s="150"/>
      <c r="X303" s="132"/>
      <c r="Y303" s="123">
        <f>Tabela4[[#This Row],[Diferença]]*Tabela4[[#This Row],[Quantidade]]</f>
        <v>0</v>
      </c>
    </row>
    <row r="304" spans="2:25" ht="15" hidden="1" thickBot="1">
      <c r="B304" s="129" t="s">
        <v>11</v>
      </c>
      <c r="C304" s="129" t="s">
        <v>28</v>
      </c>
      <c r="D304" s="129" t="s">
        <v>37</v>
      </c>
      <c r="E304" s="114">
        <v>45689</v>
      </c>
      <c r="F304" s="131" t="s">
        <v>414</v>
      </c>
      <c r="G304" s="129" t="s">
        <v>333</v>
      </c>
      <c r="H304" s="137" t="s">
        <v>415</v>
      </c>
      <c r="I304" s="137" t="s">
        <v>348</v>
      </c>
      <c r="J304" s="132">
        <v>2</v>
      </c>
      <c r="K304" s="169">
        <v>24.74</v>
      </c>
      <c r="L304" s="133">
        <f t="shared" si="14"/>
        <v>49.48</v>
      </c>
      <c r="M304" s="132"/>
      <c r="N304" s="169">
        <v>178.83</v>
      </c>
      <c r="O304" s="133">
        <f t="shared" si="15"/>
        <v>0</v>
      </c>
      <c r="P304" s="115"/>
      <c r="Q304" s="132"/>
      <c r="R304" s="132"/>
      <c r="S304" s="132"/>
      <c r="T304" s="132">
        <f>Tabela4[[#This Row],[Valor do contrato sem o equipamento]]/30.4375*3</f>
        <v>0</v>
      </c>
      <c r="U304" s="132">
        <f>Tabela4[[#This Row],[Valor contrato]]*(30.4375-Tabela4[[#This Row],[Dias inoperantes]])/30.4375</f>
        <v>0</v>
      </c>
      <c r="V304" s="116"/>
      <c r="W304" s="150"/>
      <c r="X304" s="132"/>
      <c r="Y304" s="123">
        <f>Tabela4[[#This Row],[Diferença]]*Tabela4[[#This Row],[Quantidade]]</f>
        <v>0</v>
      </c>
    </row>
    <row r="305" spans="2:25" ht="15" hidden="1" thickBot="1">
      <c r="B305" s="129" t="s">
        <v>11</v>
      </c>
      <c r="C305" s="129" t="s">
        <v>29</v>
      </c>
      <c r="D305" s="129" t="s">
        <v>80</v>
      </c>
      <c r="E305" s="114">
        <v>45689</v>
      </c>
      <c r="F305" s="131" t="s">
        <v>416</v>
      </c>
      <c r="G305" s="129" t="s">
        <v>333</v>
      </c>
      <c r="H305" s="137" t="s">
        <v>408</v>
      </c>
      <c r="I305" s="137" t="s">
        <v>417</v>
      </c>
      <c r="J305" s="132">
        <v>5.9</v>
      </c>
      <c r="K305" s="169">
        <v>25.17</v>
      </c>
      <c r="L305" s="133">
        <f t="shared" si="14"/>
        <v>148.50300000000001</v>
      </c>
      <c r="M305" s="132"/>
      <c r="N305" s="169">
        <v>181.89</v>
      </c>
      <c r="O305" s="133">
        <f t="shared" si="15"/>
        <v>0</v>
      </c>
      <c r="P305" s="115"/>
      <c r="Q305" s="132"/>
      <c r="R305" s="132"/>
      <c r="S305" s="132"/>
      <c r="T305" s="132">
        <f>Tabela4[[#This Row],[Valor do contrato sem o equipamento]]/30.4375*3</f>
        <v>0</v>
      </c>
      <c r="U305" s="132">
        <f>Tabela4[[#This Row],[Valor contrato]]*(30.4375-Tabela4[[#This Row],[Dias inoperantes]])/30.4375</f>
        <v>0</v>
      </c>
      <c r="V305" s="116"/>
      <c r="W305" s="150"/>
      <c r="X305" s="132"/>
      <c r="Y305" s="123">
        <f>Tabela4[[#This Row],[Diferença]]*Tabela4[[#This Row],[Quantidade]]</f>
        <v>0</v>
      </c>
    </row>
    <row r="306" spans="2:25" ht="15" hidden="1" thickBot="1">
      <c r="B306" s="129" t="s">
        <v>11</v>
      </c>
      <c r="C306" s="129" t="s">
        <v>29</v>
      </c>
      <c r="D306" s="129" t="s">
        <v>80</v>
      </c>
      <c r="E306" s="114">
        <v>45689</v>
      </c>
      <c r="F306" s="131" t="s">
        <v>416</v>
      </c>
      <c r="G306" s="129" t="s">
        <v>333</v>
      </c>
      <c r="H306" s="137" t="s">
        <v>389</v>
      </c>
      <c r="I306" s="137" t="s">
        <v>390</v>
      </c>
      <c r="J306" s="132">
        <v>6.9</v>
      </c>
      <c r="K306" s="169">
        <v>27.13</v>
      </c>
      <c r="L306" s="133">
        <f t="shared" si="14"/>
        <v>187.197</v>
      </c>
      <c r="M306" s="132"/>
      <c r="N306" s="169">
        <v>196.08</v>
      </c>
      <c r="O306" s="133">
        <f t="shared" si="15"/>
        <v>0</v>
      </c>
      <c r="P306" s="115"/>
      <c r="Q306" s="132"/>
      <c r="R306" s="132"/>
      <c r="S306" s="132"/>
      <c r="T306" s="132">
        <f>Tabela4[[#This Row],[Valor do contrato sem o equipamento]]/30.4375*3</f>
        <v>0</v>
      </c>
      <c r="U306" s="132">
        <f>Tabela4[[#This Row],[Valor contrato]]*(30.4375-Tabela4[[#This Row],[Dias inoperantes]])/30.4375</f>
        <v>0</v>
      </c>
      <c r="V306" s="116"/>
      <c r="W306" s="150"/>
      <c r="X306" s="132"/>
      <c r="Y306" s="123">
        <f>Tabela4[[#This Row],[Diferença]]*Tabela4[[#This Row],[Quantidade]]</f>
        <v>0</v>
      </c>
    </row>
    <row r="307" spans="2:25" ht="15" hidden="1" thickBot="1">
      <c r="B307" s="129" t="s">
        <v>11</v>
      </c>
      <c r="C307" s="129" t="s">
        <v>29</v>
      </c>
      <c r="D307" s="129" t="s">
        <v>80</v>
      </c>
      <c r="E307" s="114">
        <v>45689</v>
      </c>
      <c r="F307" s="131" t="s">
        <v>416</v>
      </c>
      <c r="G307" s="129" t="s">
        <v>333</v>
      </c>
      <c r="H307" s="137" t="s">
        <v>408</v>
      </c>
      <c r="I307" s="137" t="s">
        <v>417</v>
      </c>
      <c r="J307" s="132">
        <v>0</v>
      </c>
      <c r="K307" s="169">
        <v>27.94</v>
      </c>
      <c r="L307" s="133">
        <f t="shared" si="14"/>
        <v>0</v>
      </c>
      <c r="M307" s="132"/>
      <c r="N307" s="169">
        <v>201.95</v>
      </c>
      <c r="O307" s="133">
        <f t="shared" si="15"/>
        <v>0</v>
      </c>
      <c r="P307" s="115"/>
      <c r="Q307" s="132"/>
      <c r="R307" s="132"/>
      <c r="S307" s="132"/>
      <c r="T307" s="132">
        <f>Tabela4[[#This Row],[Valor do contrato sem o equipamento]]/30.4375*3</f>
        <v>0</v>
      </c>
      <c r="U307" s="132">
        <f>Tabela4[[#This Row],[Valor contrato]]*(30.4375-Tabela4[[#This Row],[Dias inoperantes]])/30.4375</f>
        <v>0</v>
      </c>
      <c r="V307" s="116"/>
      <c r="W307" s="150"/>
      <c r="X307" s="132"/>
      <c r="Y307" s="123">
        <f>Tabela4[[#This Row],[Diferença]]*Tabela4[[#This Row],[Quantidade]]</f>
        <v>0</v>
      </c>
    </row>
    <row r="308" spans="2:25" ht="15" hidden="1" thickBot="1">
      <c r="B308" s="129" t="s">
        <v>11</v>
      </c>
      <c r="C308" s="129" t="s">
        <v>29</v>
      </c>
      <c r="D308" s="129" t="s">
        <v>80</v>
      </c>
      <c r="E308" s="114">
        <v>45689</v>
      </c>
      <c r="F308" s="131" t="s">
        <v>418</v>
      </c>
      <c r="G308" s="129" t="s">
        <v>394</v>
      </c>
      <c r="H308" s="137" t="s">
        <v>389</v>
      </c>
      <c r="I308" s="137" t="s">
        <v>419</v>
      </c>
      <c r="J308" s="132">
        <v>5.2333333333333334</v>
      </c>
      <c r="K308" s="169">
        <v>36.26</v>
      </c>
      <c r="L308" s="133">
        <f t="shared" si="14"/>
        <v>189.76066666666665</v>
      </c>
      <c r="M308" s="132"/>
      <c r="N308" s="169">
        <v>262.08999999999997</v>
      </c>
      <c r="O308" s="133">
        <f t="shared" si="15"/>
        <v>0</v>
      </c>
      <c r="P308" s="115"/>
      <c r="Q308" s="132"/>
      <c r="R308" s="132"/>
      <c r="S308" s="132"/>
      <c r="T308" s="132">
        <f>Tabela4[[#This Row],[Valor do contrato sem o equipamento]]/30.4375*3</f>
        <v>0</v>
      </c>
      <c r="U308" s="132">
        <f>Tabela4[[#This Row],[Valor contrato]]*(30.4375-Tabela4[[#This Row],[Dias inoperantes]])/30.4375</f>
        <v>0</v>
      </c>
      <c r="V308" s="116"/>
      <c r="W308" s="150"/>
      <c r="X308" s="132"/>
      <c r="Y308" s="123">
        <f>Tabela4[[#This Row],[Diferença]]*Tabela4[[#This Row],[Quantidade]]</f>
        <v>0</v>
      </c>
    </row>
    <row r="309" spans="2:25" ht="15" hidden="1" thickBot="1">
      <c r="B309" s="129" t="s">
        <v>11</v>
      </c>
      <c r="C309" s="129" t="s">
        <v>29</v>
      </c>
      <c r="D309" s="129" t="s">
        <v>80</v>
      </c>
      <c r="E309" s="114">
        <v>45748</v>
      </c>
      <c r="F309" s="131" t="s">
        <v>416</v>
      </c>
      <c r="G309" s="129" t="s">
        <v>333</v>
      </c>
      <c r="H309" s="137" t="s">
        <v>408</v>
      </c>
      <c r="I309" s="137" t="s">
        <v>417</v>
      </c>
      <c r="J309" s="132">
        <v>13.883333329999999</v>
      </c>
      <c r="K309" s="169">
        <v>25.17</v>
      </c>
      <c r="L309" s="133">
        <f t="shared" si="14"/>
        <v>349.4434999161</v>
      </c>
      <c r="M309" s="132"/>
      <c r="N309" s="169"/>
      <c r="O309" s="133">
        <f t="shared" si="15"/>
        <v>0</v>
      </c>
      <c r="P309" s="115" t="s">
        <v>420</v>
      </c>
      <c r="Q309" s="132"/>
      <c r="R309" s="132"/>
      <c r="S309" s="132"/>
      <c r="T309" s="132">
        <f>Tabela4[[#This Row],[Valor do contrato sem o equipamento]]/30.4375*3</f>
        <v>0</v>
      </c>
      <c r="U309" s="132">
        <f>Tabela4[[#This Row],[Valor contrato]]*(30.4375-Tabela4[[#This Row],[Dias inoperantes]])/30.4375</f>
        <v>0</v>
      </c>
      <c r="V309" s="116">
        <v>339.15655492583801</v>
      </c>
      <c r="W309" s="150">
        <f>Tabela4[[#This Row],[Pro rata total]]/30</f>
        <v>11.305218497527934</v>
      </c>
      <c r="X309" s="132">
        <v>1</v>
      </c>
      <c r="Y309" s="123">
        <f>Tabela4[[#This Row],[Diferença]]*Tabela4[[#This Row],[Quantidade]]</f>
        <v>11.305218497527934</v>
      </c>
    </row>
    <row r="310" spans="2:25" ht="15" hidden="1" thickBot="1">
      <c r="B310" s="129" t="s">
        <v>11</v>
      </c>
      <c r="C310" s="129" t="s">
        <v>29</v>
      </c>
      <c r="D310" s="129" t="s">
        <v>80</v>
      </c>
      <c r="E310" s="114">
        <v>45748</v>
      </c>
      <c r="F310" s="131" t="s">
        <v>416</v>
      </c>
      <c r="G310" s="129" t="s">
        <v>333</v>
      </c>
      <c r="H310" s="137" t="s">
        <v>389</v>
      </c>
      <c r="I310" s="137" t="s">
        <v>390</v>
      </c>
      <c r="J310" s="132">
        <v>10.68333333</v>
      </c>
      <c r="K310" s="169">
        <v>24.35</v>
      </c>
      <c r="L310" s="133">
        <f t="shared" si="14"/>
        <v>260.13916658549999</v>
      </c>
      <c r="M310" s="132"/>
      <c r="N310" s="169"/>
      <c r="O310" s="133">
        <f t="shared" si="15"/>
        <v>0</v>
      </c>
      <c r="P310" s="115"/>
      <c r="Q310" s="132"/>
      <c r="R310" s="132"/>
      <c r="S310" s="132"/>
      <c r="T310" s="132">
        <f>Tabela4[[#This Row],[Valor do contrato sem o equipamento]]/30.4375*3</f>
        <v>0</v>
      </c>
      <c r="U310" s="132">
        <f>Tabela4[[#This Row],[Valor contrato]]*(30.4375-Tabela4[[#This Row],[Dias inoperantes]])/30.4375</f>
        <v>0</v>
      </c>
      <c r="V310" s="116"/>
      <c r="W310" s="150"/>
      <c r="X310" s="132"/>
      <c r="Y310" s="123">
        <f>Tabela4[[#This Row],[Diferença]]*Tabela4[[#This Row],[Quantidade]]</f>
        <v>0</v>
      </c>
    </row>
    <row r="311" spans="2:25" ht="15" hidden="1" thickBot="1">
      <c r="B311" s="129" t="s">
        <v>11</v>
      </c>
      <c r="C311" s="129" t="s">
        <v>29</v>
      </c>
      <c r="D311" s="129" t="s">
        <v>80</v>
      </c>
      <c r="E311" s="114">
        <v>45748</v>
      </c>
      <c r="F311" s="131" t="s">
        <v>416</v>
      </c>
      <c r="G311" s="129" t="s">
        <v>333</v>
      </c>
      <c r="H311" s="137" t="s">
        <v>408</v>
      </c>
      <c r="I311" s="137" t="s">
        <v>417</v>
      </c>
      <c r="J311" s="132">
        <v>0</v>
      </c>
      <c r="K311" s="169">
        <v>25.17</v>
      </c>
      <c r="L311" s="133">
        <f t="shared" si="14"/>
        <v>0</v>
      </c>
      <c r="M311" s="132"/>
      <c r="N311" s="169"/>
      <c r="O311" s="133">
        <f t="shared" si="15"/>
        <v>0</v>
      </c>
      <c r="P311" s="115"/>
      <c r="Q311" s="132"/>
      <c r="R311" s="132"/>
      <c r="S311" s="132"/>
      <c r="T311" s="132">
        <f>Tabela4[[#This Row],[Valor do contrato sem o equipamento]]/30.4375*3</f>
        <v>0</v>
      </c>
      <c r="U311" s="132">
        <f>Tabela4[[#This Row],[Valor contrato]]*(30.4375-Tabela4[[#This Row],[Dias inoperantes]])/30.4375</f>
        <v>0</v>
      </c>
      <c r="V311" s="116"/>
      <c r="W311" s="150"/>
      <c r="X311" s="132"/>
      <c r="Y311" s="123">
        <f>Tabela4[[#This Row],[Diferença]]*Tabela4[[#This Row],[Quantidade]]</f>
        <v>0</v>
      </c>
    </row>
    <row r="312" spans="2:25" ht="15" hidden="1" thickBot="1">
      <c r="B312" s="129" t="s">
        <v>11</v>
      </c>
      <c r="C312" s="129" t="s">
        <v>29</v>
      </c>
      <c r="D312" s="129" t="s">
        <v>80</v>
      </c>
      <c r="E312" s="114">
        <v>45748</v>
      </c>
      <c r="F312" s="131" t="s">
        <v>418</v>
      </c>
      <c r="G312" s="129" t="s">
        <v>394</v>
      </c>
      <c r="H312" s="137" t="s">
        <v>389</v>
      </c>
      <c r="I312" s="137" t="s">
        <v>419</v>
      </c>
      <c r="J312" s="132">
        <v>8.33</v>
      </c>
      <c r="K312" s="169">
        <v>36.26</v>
      </c>
      <c r="L312" s="133">
        <f t="shared" si="14"/>
        <v>302.04579999999999</v>
      </c>
      <c r="M312" s="132"/>
      <c r="N312" s="169"/>
      <c r="O312" s="133">
        <f t="shared" si="15"/>
        <v>0</v>
      </c>
      <c r="P312" s="115"/>
      <c r="Q312" s="132"/>
      <c r="R312" s="132"/>
      <c r="S312" s="132"/>
      <c r="T312" s="132">
        <f>Tabela4[[#This Row],[Valor do contrato sem o equipamento]]/30.4375*3</f>
        <v>0</v>
      </c>
      <c r="U312" s="132">
        <f>Tabela4[[#This Row],[Valor contrato]]*(30.4375-Tabela4[[#This Row],[Dias inoperantes]])/30.4375</f>
        <v>0</v>
      </c>
      <c r="V312" s="116"/>
      <c r="W312" s="150"/>
      <c r="X312" s="132"/>
      <c r="Y312" s="123">
        <f>Tabela4[[#This Row],[Diferença]]*Tabela4[[#This Row],[Quantidade]]</f>
        <v>0</v>
      </c>
    </row>
    <row r="313" spans="2:25" ht="15" hidden="1" thickBot="1">
      <c r="B313" s="129" t="s">
        <v>11</v>
      </c>
      <c r="C313" s="129" t="s">
        <v>29</v>
      </c>
      <c r="D313" s="129" t="s">
        <v>80</v>
      </c>
      <c r="E313" s="114">
        <v>45748</v>
      </c>
      <c r="F313" s="131" t="s">
        <v>421</v>
      </c>
      <c r="G313" s="129" t="s">
        <v>394</v>
      </c>
      <c r="H313" s="137" t="s">
        <v>389</v>
      </c>
      <c r="I313" s="137" t="s">
        <v>419</v>
      </c>
      <c r="J313" s="132">
        <v>0</v>
      </c>
      <c r="K313" s="169">
        <v>28.11</v>
      </c>
      <c r="L313" s="133">
        <f t="shared" si="14"/>
        <v>0</v>
      </c>
      <c r="M313" s="132"/>
      <c r="N313" s="169"/>
      <c r="O313" s="133">
        <f t="shared" si="15"/>
        <v>0</v>
      </c>
      <c r="P313" s="115"/>
      <c r="Q313" s="132"/>
      <c r="R313" s="132"/>
      <c r="S313" s="132"/>
      <c r="T313" s="132">
        <f>Tabela4[[#This Row],[Valor do contrato sem o equipamento]]/30.4375*3</f>
        <v>0</v>
      </c>
      <c r="U313" s="132">
        <f>Tabela4[[#This Row],[Valor contrato]]*(30.4375-Tabela4[[#This Row],[Dias inoperantes]])/30.4375</f>
        <v>0</v>
      </c>
      <c r="V313" s="116"/>
      <c r="W313" s="150"/>
      <c r="X313" s="132"/>
      <c r="Y313" s="123">
        <f>Tabela4[[#This Row],[Diferença]]*Tabela4[[#This Row],[Quantidade]]</f>
        <v>0</v>
      </c>
    </row>
    <row r="314" spans="2:25" ht="15" hidden="1" thickBot="1">
      <c r="B314" s="129" t="s">
        <v>11</v>
      </c>
      <c r="C314" s="129" t="s">
        <v>29</v>
      </c>
      <c r="D314" s="129" t="s">
        <v>80</v>
      </c>
      <c r="E314" s="114">
        <v>45748</v>
      </c>
      <c r="F314" s="131" t="s">
        <v>421</v>
      </c>
      <c r="G314" s="129" t="s">
        <v>394</v>
      </c>
      <c r="H314" s="137" t="s">
        <v>422</v>
      </c>
      <c r="I314" s="137" t="s">
        <v>423</v>
      </c>
      <c r="J314" s="132">
        <v>0</v>
      </c>
      <c r="K314" s="169">
        <v>29.84</v>
      </c>
      <c r="L314" s="133">
        <f t="shared" si="14"/>
        <v>0</v>
      </c>
      <c r="M314" s="132"/>
      <c r="N314" s="169"/>
      <c r="O314" s="133">
        <f t="shared" si="15"/>
        <v>0</v>
      </c>
      <c r="P314" s="115"/>
      <c r="Q314" s="132"/>
      <c r="R314" s="132"/>
      <c r="S314" s="132"/>
      <c r="T314" s="132">
        <f>Tabela4[[#This Row],[Valor do contrato sem o equipamento]]/30.4375*3</f>
        <v>0</v>
      </c>
      <c r="U314" s="132">
        <f>Tabela4[[#This Row],[Valor contrato]]*(30.4375-Tabela4[[#This Row],[Dias inoperantes]])/30.4375</f>
        <v>0</v>
      </c>
      <c r="V314" s="116"/>
      <c r="W314" s="150"/>
      <c r="X314" s="132"/>
      <c r="Y314" s="123">
        <f>Tabela4[[#This Row],[Diferença]]*Tabela4[[#This Row],[Quantidade]]</f>
        <v>0</v>
      </c>
    </row>
    <row r="315" spans="2:25" ht="15" hidden="1" thickBot="1">
      <c r="B315" s="129" t="s">
        <v>11</v>
      </c>
      <c r="C315" s="129" t="s">
        <v>29</v>
      </c>
      <c r="D315" s="129" t="s">
        <v>80</v>
      </c>
      <c r="E315" s="114">
        <v>45778</v>
      </c>
      <c r="F315" s="131" t="s">
        <v>416</v>
      </c>
      <c r="G315" s="129" t="s">
        <v>333</v>
      </c>
      <c r="H315" s="137" t="s">
        <v>389</v>
      </c>
      <c r="I315" s="137" t="s">
        <v>390</v>
      </c>
      <c r="J315" s="132">
        <v>124.4</v>
      </c>
      <c r="K315" s="169">
        <v>24.35</v>
      </c>
      <c r="L315" s="133">
        <f t="shared" si="14"/>
        <v>3029.1400000000003</v>
      </c>
      <c r="M315" s="132"/>
      <c r="N315" s="169">
        <v>176.02</v>
      </c>
      <c r="O315" s="133">
        <f t="shared" si="15"/>
        <v>0</v>
      </c>
      <c r="P315" s="115"/>
      <c r="Q315" s="132"/>
      <c r="R315" s="132"/>
      <c r="S315" s="132"/>
      <c r="T315" s="132">
        <f>Tabela4[[#This Row],[Valor do contrato sem o equipamento]]/30.4375*3</f>
        <v>0</v>
      </c>
      <c r="U315" s="132">
        <f>Tabela4[[#This Row],[Valor contrato]]*(30.4375-Tabela4[[#This Row],[Dias inoperantes]])/30.4375</f>
        <v>0</v>
      </c>
      <c r="V315" s="116"/>
      <c r="W315" s="150"/>
      <c r="X315" s="140"/>
      <c r="Y315" s="123">
        <f>Tabela4[[#This Row],[Diferença]]*Tabela4[[#This Row],[Quantidade]]</f>
        <v>0</v>
      </c>
    </row>
    <row r="316" spans="2:25" ht="15" hidden="1" thickBot="1">
      <c r="B316" s="129" t="s">
        <v>11</v>
      </c>
      <c r="C316" s="129" t="s">
        <v>29</v>
      </c>
      <c r="D316" s="129" t="s">
        <v>80</v>
      </c>
      <c r="E316" s="114">
        <v>45778</v>
      </c>
      <c r="F316" s="131" t="s">
        <v>416</v>
      </c>
      <c r="G316" s="129" t="s">
        <v>333</v>
      </c>
      <c r="H316" s="137" t="s">
        <v>408</v>
      </c>
      <c r="I316" s="137" t="s">
        <v>417</v>
      </c>
      <c r="J316" s="132">
        <v>42</v>
      </c>
      <c r="K316" s="169">
        <v>25.17</v>
      </c>
      <c r="L316" s="133">
        <f t="shared" si="14"/>
        <v>1057.1400000000001</v>
      </c>
      <c r="M316" s="132"/>
      <c r="N316" s="169">
        <v>181.89</v>
      </c>
      <c r="O316" s="133">
        <f t="shared" si="15"/>
        <v>0</v>
      </c>
      <c r="P316" s="115"/>
      <c r="Q316" s="132"/>
      <c r="R316" s="132"/>
      <c r="S316" s="132"/>
      <c r="T316" s="132">
        <f>Tabela4[[#This Row],[Valor do contrato sem o equipamento]]/30.4375*3</f>
        <v>0</v>
      </c>
      <c r="U316" s="132">
        <f>Tabela4[[#This Row],[Valor contrato]]*(30.4375-Tabela4[[#This Row],[Dias inoperantes]])/30.4375</f>
        <v>0</v>
      </c>
      <c r="V316" s="116"/>
      <c r="W316" s="150"/>
      <c r="X316" s="140"/>
      <c r="Y316" s="123">
        <f>Tabela4[[#This Row],[Diferença]]*Tabela4[[#This Row],[Quantidade]]</f>
        <v>0</v>
      </c>
    </row>
    <row r="317" spans="2:25" ht="15" hidden="1" thickBot="1">
      <c r="B317" s="129" t="s">
        <v>11</v>
      </c>
      <c r="C317" s="129" t="s">
        <v>30</v>
      </c>
      <c r="D317" s="129" t="s">
        <v>56</v>
      </c>
      <c r="E317" s="114">
        <v>45778</v>
      </c>
      <c r="F317" s="129" t="s">
        <v>351</v>
      </c>
      <c r="G317" s="129" t="s">
        <v>335</v>
      </c>
      <c r="H317" s="137">
        <v>0.25</v>
      </c>
      <c r="I317" s="137">
        <v>0.59722222222222221</v>
      </c>
      <c r="J317" s="132"/>
      <c r="K317" s="169"/>
      <c r="L317" s="133">
        <f t="shared" si="14"/>
        <v>0</v>
      </c>
      <c r="M317" s="132">
        <v>2</v>
      </c>
      <c r="N317" s="169">
        <v>148</v>
      </c>
      <c r="O317" s="133">
        <f t="shared" si="15"/>
        <v>296</v>
      </c>
      <c r="P317" s="115"/>
      <c r="Q317" s="132"/>
      <c r="R317" s="134"/>
      <c r="S317" s="134"/>
      <c r="T317" s="134">
        <f>Tabela4[[#This Row],[Valor do contrato sem o equipamento]]/30.4375*3</f>
        <v>0</v>
      </c>
      <c r="U317" s="134">
        <f>Tabela4[[#This Row],[Valor contrato]]*(30.4375-Tabela4[[#This Row],[Dias inoperantes]])/30.4375</f>
        <v>0</v>
      </c>
      <c r="V317" s="116"/>
      <c r="W317" s="150"/>
      <c r="X317" s="140"/>
      <c r="Y317" s="123">
        <f>Tabela4[[#This Row],[Diferença]]*Tabela4[[#This Row],[Quantidade]]</f>
        <v>0</v>
      </c>
    </row>
    <row r="318" spans="2:25" ht="15" hidden="1" thickBot="1">
      <c r="B318" s="129" t="s">
        <v>11</v>
      </c>
      <c r="C318" s="129" t="s">
        <v>32</v>
      </c>
      <c r="D318" s="129" t="s">
        <v>40</v>
      </c>
      <c r="E318" s="114">
        <v>45778</v>
      </c>
      <c r="F318" s="129" t="s">
        <v>376</v>
      </c>
      <c r="G318" s="129" t="s">
        <v>333</v>
      </c>
      <c r="H318" s="137">
        <v>0.45833333333333331</v>
      </c>
      <c r="I318" s="137">
        <v>0.95833333333333337</v>
      </c>
      <c r="J318" s="132">
        <f>4+50/60</f>
        <v>4.833333333333333</v>
      </c>
      <c r="K318" s="169">
        <v>26.98</v>
      </c>
      <c r="L318" s="133">
        <f t="shared" si="14"/>
        <v>130.40333333333334</v>
      </c>
      <c r="M318" s="132"/>
      <c r="N318" s="169">
        <v>212.63</v>
      </c>
      <c r="O318" s="133">
        <f t="shared" si="15"/>
        <v>0</v>
      </c>
      <c r="P318" s="115"/>
      <c r="Q318" s="132"/>
      <c r="R318" s="134"/>
      <c r="S318" s="134"/>
      <c r="T318" s="134">
        <f>Tabela4[[#This Row],[Valor do contrato sem o equipamento]]/30.4375*3</f>
        <v>0</v>
      </c>
      <c r="U318" s="134">
        <f>Tabela4[[#This Row],[Valor contrato]]*(30.4375-Tabela4[[#This Row],[Dias inoperantes]])/30.4375</f>
        <v>0</v>
      </c>
      <c r="V318" s="116"/>
      <c r="W318" s="150"/>
      <c r="X318" s="140"/>
      <c r="Y318" s="123">
        <f>Tabela4[[#This Row],[Diferença]]*Tabela4[[#This Row],[Quantidade]]</f>
        <v>0</v>
      </c>
    </row>
    <row r="319" spans="2:25" ht="15" hidden="1" thickBot="1">
      <c r="B319" s="129" t="s">
        <v>11</v>
      </c>
      <c r="C319" s="129" t="s">
        <v>31</v>
      </c>
      <c r="D319" s="129" t="s">
        <v>40</v>
      </c>
      <c r="E319" s="114">
        <v>45778</v>
      </c>
      <c r="F319" s="129" t="s">
        <v>424</v>
      </c>
      <c r="G319" s="129" t="s">
        <v>333</v>
      </c>
      <c r="H319" s="137">
        <v>0.29166666666666669</v>
      </c>
      <c r="I319" s="137">
        <v>0.79166666666666663</v>
      </c>
      <c r="J319" s="132">
        <f>3+22/60</f>
        <v>3.3666666666666667</v>
      </c>
      <c r="K319" s="169">
        <v>19.579999999999998</v>
      </c>
      <c r="L319" s="133">
        <f t="shared" si="14"/>
        <v>65.919333333333327</v>
      </c>
      <c r="M319" s="132"/>
      <c r="N319" s="169">
        <v>141.55000000000001</v>
      </c>
      <c r="O319" s="133">
        <f t="shared" si="15"/>
        <v>0</v>
      </c>
      <c r="P319" s="115"/>
      <c r="Q319" s="132"/>
      <c r="R319" s="134"/>
      <c r="S319" s="134"/>
      <c r="T319" s="134">
        <f>Tabela4[[#This Row],[Valor do contrato sem o equipamento]]/30.4375*3</f>
        <v>0</v>
      </c>
      <c r="U319" s="134">
        <f>Tabela4[[#This Row],[Valor contrato]]*(30.4375-Tabela4[[#This Row],[Dias inoperantes]])/30.4375</f>
        <v>0</v>
      </c>
      <c r="V319" s="116"/>
      <c r="W319" s="150"/>
      <c r="X319" s="140"/>
      <c r="Y319" s="123">
        <f>Tabela4[[#This Row],[Diferença]]*Tabela4[[#This Row],[Quantidade]]</f>
        <v>0</v>
      </c>
    </row>
    <row r="320" spans="2:25" ht="15" hidden="1" thickBot="1">
      <c r="B320" s="129" t="s">
        <v>11</v>
      </c>
      <c r="C320" s="129" t="s">
        <v>31</v>
      </c>
      <c r="D320" s="129" t="s">
        <v>40</v>
      </c>
      <c r="E320" s="114">
        <v>45778</v>
      </c>
      <c r="F320" s="129" t="s">
        <v>424</v>
      </c>
      <c r="G320" s="129" t="s">
        <v>355</v>
      </c>
      <c r="H320" s="137" t="s">
        <v>389</v>
      </c>
      <c r="I320" s="137" t="s">
        <v>425</v>
      </c>
      <c r="J320" s="132">
        <f>1+21/60</f>
        <v>1.35</v>
      </c>
      <c r="K320" s="169">
        <v>20.5</v>
      </c>
      <c r="L320" s="133">
        <f t="shared" si="14"/>
        <v>27.675000000000001</v>
      </c>
      <c r="M320" s="132"/>
      <c r="N320" s="169">
        <v>148.15</v>
      </c>
      <c r="O320" s="133">
        <f t="shared" si="15"/>
        <v>0</v>
      </c>
      <c r="P320" s="115"/>
      <c r="Q320" s="132"/>
      <c r="R320" s="132"/>
      <c r="S320" s="134"/>
      <c r="T320" s="134">
        <f>Tabela4[[#This Row],[Valor do contrato sem o equipamento]]/30.4375*3</f>
        <v>0</v>
      </c>
      <c r="U320" s="134">
        <f>Tabela4[[#This Row],[Valor contrato]]*(30.4375-Tabela4[[#This Row],[Dias inoperantes]])/30.4375</f>
        <v>0</v>
      </c>
      <c r="V320" s="116"/>
      <c r="W320" s="150"/>
      <c r="X320" s="140"/>
      <c r="Y320" s="123">
        <f>Tabela4[[#This Row],[Diferença]]*Tabela4[[#This Row],[Quantidade]]</f>
        <v>0</v>
      </c>
    </row>
    <row r="321" spans="2:25" ht="15" hidden="1" thickBot="1">
      <c r="B321" s="129" t="s">
        <v>11</v>
      </c>
      <c r="C321" s="129" t="s">
        <v>31</v>
      </c>
      <c r="D321" s="129" t="s">
        <v>40</v>
      </c>
      <c r="E321" s="114">
        <v>45809</v>
      </c>
      <c r="F321" s="129" t="s">
        <v>424</v>
      </c>
      <c r="G321" s="129" t="s">
        <v>333</v>
      </c>
      <c r="H321" s="137">
        <v>0.41666666666666669</v>
      </c>
      <c r="I321" s="137">
        <v>0.91666666666666663</v>
      </c>
      <c r="J321" s="132">
        <v>1</v>
      </c>
      <c r="K321" s="169">
        <v>21.04</v>
      </c>
      <c r="L321" s="133">
        <f t="shared" si="14"/>
        <v>21.04</v>
      </c>
      <c r="M321" s="132"/>
      <c r="N321" s="169">
        <v>152.11000000000001</v>
      </c>
      <c r="O321" s="133">
        <f t="shared" si="15"/>
        <v>0</v>
      </c>
      <c r="P321" s="115"/>
      <c r="Q321" s="132"/>
      <c r="R321" s="132"/>
      <c r="S321" s="134"/>
      <c r="T321" s="134">
        <f>Tabela4[[#This Row],[Valor do contrato sem o equipamento]]/30.4375*3</f>
        <v>0</v>
      </c>
      <c r="U321" s="134">
        <f>Tabela4[[#This Row],[Valor contrato]]*(30.4375-Tabela4[[#This Row],[Dias inoperantes]])/30.4375</f>
        <v>0</v>
      </c>
      <c r="V321" s="116"/>
      <c r="W321" s="150"/>
      <c r="X321" s="140"/>
      <c r="Y321" s="123">
        <f>Tabela4[[#This Row],[Diferença]]*Tabela4[[#This Row],[Quantidade]]</f>
        <v>0</v>
      </c>
    </row>
    <row r="322" spans="2:25" ht="15" hidden="1" thickBot="1">
      <c r="B322" s="129" t="s">
        <v>11</v>
      </c>
      <c r="C322" s="129" t="s">
        <v>31</v>
      </c>
      <c r="D322" s="129" t="s">
        <v>40</v>
      </c>
      <c r="E322" s="114">
        <v>45809</v>
      </c>
      <c r="F322" s="129" t="s">
        <v>424</v>
      </c>
      <c r="G322" s="129" t="s">
        <v>333</v>
      </c>
      <c r="H322" s="137">
        <v>0.45833333333333331</v>
      </c>
      <c r="I322" s="137">
        <v>0.95833333333333337</v>
      </c>
      <c r="J322" s="132">
        <f>7+28/60</f>
        <v>7.4666666666666668</v>
      </c>
      <c r="K322" s="169">
        <v>21.4</v>
      </c>
      <c r="L322" s="133">
        <f t="shared" si="14"/>
        <v>159.78666666666666</v>
      </c>
      <c r="M322" s="132"/>
      <c r="N322" s="169">
        <v>154.69999999999999</v>
      </c>
      <c r="O322" s="133">
        <f t="shared" si="15"/>
        <v>0</v>
      </c>
      <c r="P322" s="115"/>
      <c r="Q322" s="132"/>
      <c r="R322" s="132"/>
      <c r="S322" s="134"/>
      <c r="T322" s="134">
        <f>Tabela4[[#This Row],[Valor do contrato sem o equipamento]]/30.4375*3</f>
        <v>0</v>
      </c>
      <c r="U322" s="134">
        <f>Tabela4[[#This Row],[Valor contrato]]*(30.4375-Tabela4[[#This Row],[Dias inoperantes]])/30.4375</f>
        <v>0</v>
      </c>
      <c r="V322" s="116"/>
      <c r="W322" s="150"/>
      <c r="X322" s="140"/>
      <c r="Y322" s="123">
        <f>Tabela4[[#This Row],[Diferença]]*Tabela4[[#This Row],[Quantidade]]</f>
        <v>0</v>
      </c>
    </row>
    <row r="323" spans="2:25" ht="15" hidden="1" thickBot="1">
      <c r="B323" s="129" t="s">
        <v>11</v>
      </c>
      <c r="C323" s="129" t="s">
        <v>28</v>
      </c>
      <c r="D323" s="129" t="s">
        <v>37</v>
      </c>
      <c r="E323" s="114">
        <v>45809</v>
      </c>
      <c r="F323" s="129" t="s">
        <v>414</v>
      </c>
      <c r="G323" s="129" t="s">
        <v>333</v>
      </c>
      <c r="H323" s="137">
        <v>0.29166666666666669</v>
      </c>
      <c r="I323" s="137">
        <v>0.79166666666666663</v>
      </c>
      <c r="J323" s="132">
        <f>12+58/60</f>
        <v>12.966666666666667</v>
      </c>
      <c r="K323" s="169">
        <v>24.74</v>
      </c>
      <c r="L323" s="133">
        <f t="shared" si="14"/>
        <v>320.7953333333333</v>
      </c>
      <c r="M323" s="132"/>
      <c r="N323" s="169">
        <v>178.83</v>
      </c>
      <c r="O323" s="133">
        <f t="shared" si="15"/>
        <v>0</v>
      </c>
      <c r="P323" s="115"/>
      <c r="Q323" s="132"/>
      <c r="R323" s="132"/>
      <c r="S323" s="134"/>
      <c r="T323" s="134">
        <f>Tabela4[[#This Row],[Valor do contrato sem o equipamento]]/30.4375*3</f>
        <v>0</v>
      </c>
      <c r="U323" s="134">
        <f>Tabela4[[#This Row],[Valor contrato]]*(30.4375-Tabela4[[#This Row],[Dias inoperantes]])/30.4375</f>
        <v>0</v>
      </c>
      <c r="V323" s="116"/>
      <c r="W323" s="150"/>
      <c r="X323" s="140"/>
      <c r="Y323" s="123">
        <f>Tabela4[[#This Row],[Diferença]]*Tabela4[[#This Row],[Quantidade]]</f>
        <v>0</v>
      </c>
    </row>
    <row r="324" spans="2:25" ht="15" hidden="1" thickBot="1">
      <c r="B324" s="113"/>
      <c r="C324" s="113"/>
      <c r="D324" s="113"/>
      <c r="E324" s="114"/>
      <c r="F324" s="177"/>
      <c r="G324" s="137"/>
      <c r="H324" s="137"/>
      <c r="I324" s="137"/>
      <c r="J324" s="132"/>
      <c r="K324" s="133"/>
      <c r="L324" s="169"/>
      <c r="M324" s="132"/>
      <c r="N324" s="133"/>
      <c r="O324" s="169"/>
      <c r="P324" s="115"/>
      <c r="Q324" s="132"/>
      <c r="R324" s="132"/>
      <c r="S324" s="134"/>
      <c r="T324" s="134"/>
      <c r="U324" s="134"/>
      <c r="V324" s="116"/>
      <c r="W324" s="150"/>
      <c r="X324" s="140"/>
      <c r="Y324" s="123"/>
    </row>
    <row r="325" spans="2:25" ht="15" hidden="1" thickBot="1">
      <c r="B325" s="113" t="s">
        <v>11</v>
      </c>
      <c r="C325" s="113" t="s">
        <v>28</v>
      </c>
      <c r="D325" s="113" t="s">
        <v>37</v>
      </c>
      <c r="E325" s="114">
        <v>45901</v>
      </c>
      <c r="F325" s="177" t="s">
        <v>414</v>
      </c>
      <c r="G325" s="137" t="s">
        <v>333</v>
      </c>
      <c r="H325" s="137">
        <v>0.29166666666666669</v>
      </c>
      <c r="I325" s="137">
        <v>0.79166666666666663</v>
      </c>
      <c r="J325" s="132">
        <v>52.55</v>
      </c>
      <c r="K325" s="133">
        <v>26.23</v>
      </c>
      <c r="L325" s="169">
        <f>J325*K325</f>
        <v>1378.3864999999998</v>
      </c>
      <c r="M325" s="132">
        <v>0</v>
      </c>
      <c r="N325" s="133">
        <v>189.55</v>
      </c>
      <c r="O325" s="169">
        <f>M325*N325</f>
        <v>0</v>
      </c>
      <c r="P325" s="115"/>
      <c r="Q325" s="132"/>
      <c r="R325" s="132"/>
      <c r="S325" s="134"/>
      <c r="T325" s="134">
        <f>Tabela4[[#This Row],[Valor do contrato sem o equipamento]]/30.4375*3</f>
        <v>0</v>
      </c>
      <c r="U325" s="134">
        <f>Tabela4[[#This Row],[Valor contrato]]*(30.4375-Tabela4[[#This Row],[Dias inoperantes]])/30.4375</f>
        <v>0</v>
      </c>
      <c r="V325" s="116"/>
      <c r="W325" s="150"/>
      <c r="X325" s="140"/>
      <c r="Y325" s="123">
        <f>Tabela4[[#This Row],[Diferença]]*Tabela4[[#This Row],[Quantidade]]</f>
        <v>0</v>
      </c>
    </row>
    <row r="326" spans="2:25" ht="15" hidden="1" customHeight="1" thickBot="1">
      <c r="B326" s="113" t="s">
        <v>11</v>
      </c>
      <c r="C326" s="113" t="s">
        <v>28</v>
      </c>
      <c r="D326" s="113" t="s">
        <v>37</v>
      </c>
      <c r="E326" s="114">
        <v>45901</v>
      </c>
      <c r="F326" s="177" t="s">
        <v>414</v>
      </c>
      <c r="G326" s="137" t="s">
        <v>333</v>
      </c>
      <c r="H326" s="137">
        <v>0.79166666666666663</v>
      </c>
      <c r="I326" s="137">
        <v>0.29166666666666669</v>
      </c>
      <c r="J326" s="132">
        <v>36</v>
      </c>
      <c r="K326" s="133">
        <v>28.59</v>
      </c>
      <c r="L326" s="169">
        <f>J326*K326</f>
        <v>1029.24</v>
      </c>
      <c r="M326" s="132">
        <v>0</v>
      </c>
      <c r="N326" s="133">
        <v>206.65</v>
      </c>
      <c r="O326" s="169">
        <f>M326*N326</f>
        <v>0</v>
      </c>
      <c r="P326" s="115"/>
      <c r="Q326" s="132"/>
      <c r="R326" s="132"/>
      <c r="S326" s="134"/>
      <c r="T326" s="134">
        <f>Tabela4[[#This Row],[Valor do contrato sem o equipamento]]/30.4375*3</f>
        <v>0</v>
      </c>
      <c r="U326" s="134">
        <f>Tabela4[[#This Row],[Valor contrato]]*(30.4375-Tabela4[[#This Row],[Dias inoperantes]])/30.4375</f>
        <v>0</v>
      </c>
      <c r="V326" s="116"/>
      <c r="W326" s="150"/>
      <c r="X326" s="140"/>
      <c r="Y326" s="123">
        <f>Tabela4[[#This Row],[Diferença]]*Tabela4[[#This Row],[Quantidade]]</f>
        <v>0</v>
      </c>
    </row>
    <row r="327" spans="2:25" ht="15" hidden="1" thickBot="1">
      <c r="B327" s="129" t="s">
        <v>11</v>
      </c>
      <c r="C327" s="129" t="s">
        <v>28</v>
      </c>
      <c r="D327" s="129" t="s">
        <v>37</v>
      </c>
      <c r="E327" s="114">
        <v>45809</v>
      </c>
      <c r="F327" s="129" t="s">
        <v>414</v>
      </c>
      <c r="G327" s="129" t="s">
        <v>333</v>
      </c>
      <c r="H327" s="137">
        <v>0.41666666666666669</v>
      </c>
      <c r="I327" s="137">
        <v>0.91666666666666663</v>
      </c>
      <c r="J327" s="132">
        <f>4+15/60</f>
        <v>4.25</v>
      </c>
      <c r="K327" s="169">
        <v>24.74</v>
      </c>
      <c r="L327" s="133">
        <f t="shared" si="14"/>
        <v>105.145</v>
      </c>
      <c r="M327" s="132"/>
      <c r="N327" s="169">
        <v>178.83</v>
      </c>
      <c r="O327" s="133">
        <f t="shared" si="15"/>
        <v>0</v>
      </c>
      <c r="P327" s="115"/>
      <c r="Q327" s="132"/>
      <c r="R327" s="132"/>
      <c r="S327" s="134"/>
      <c r="T327" s="134">
        <f>Tabela4[[#This Row],[Valor do contrato sem o equipamento]]/30.4375*3</f>
        <v>0</v>
      </c>
      <c r="U327" s="134">
        <f>Tabela4[[#This Row],[Valor contrato]]*(30.4375-Tabela4[[#This Row],[Dias inoperantes]])/30.4375</f>
        <v>0</v>
      </c>
      <c r="V327" s="116"/>
      <c r="W327" s="150"/>
      <c r="X327" s="140"/>
      <c r="Y327" s="123">
        <f>Tabela4[[#This Row],[Diferença]]*Tabela4[[#This Row],[Quantidade]]</f>
        <v>0</v>
      </c>
    </row>
    <row r="328" spans="2:25" ht="15" hidden="1" thickBot="1">
      <c r="B328" s="129" t="s">
        <v>11</v>
      </c>
      <c r="C328" s="129" t="s">
        <v>29</v>
      </c>
      <c r="D328" s="129" t="s">
        <v>80</v>
      </c>
      <c r="E328" s="114">
        <v>45809</v>
      </c>
      <c r="F328" s="129" t="s">
        <v>416</v>
      </c>
      <c r="G328" s="129" t="s">
        <v>333</v>
      </c>
      <c r="H328" s="137" t="s">
        <v>389</v>
      </c>
      <c r="I328" s="137" t="s">
        <v>390</v>
      </c>
      <c r="J328" s="132">
        <f>3+35/60+5+4</f>
        <v>12.583333333333334</v>
      </c>
      <c r="K328" s="133">
        <v>24.35</v>
      </c>
      <c r="L328" s="133">
        <f t="shared" si="14"/>
        <v>306.4041666666667</v>
      </c>
      <c r="M328" s="132"/>
      <c r="N328" s="133"/>
      <c r="O328" s="133">
        <f t="shared" si="15"/>
        <v>0</v>
      </c>
      <c r="P328" s="115"/>
      <c r="Q328" s="132"/>
      <c r="R328" s="132"/>
      <c r="S328" s="134"/>
      <c r="T328" s="134">
        <f>Tabela4[[#This Row],[Valor do contrato sem o equipamento]]/30.4375*3</f>
        <v>0</v>
      </c>
      <c r="U328" s="134">
        <f>Tabela4[[#This Row],[Valor contrato]]*(30.4375-Tabela4[[#This Row],[Dias inoperantes]])/30.4375</f>
        <v>0</v>
      </c>
      <c r="V328" s="116"/>
      <c r="W328" s="150"/>
      <c r="X328" s="140"/>
      <c r="Y328" s="123">
        <f>Tabela4[[#This Row],[Diferença]]*Tabela4[[#This Row],[Quantidade]]</f>
        <v>0</v>
      </c>
    </row>
    <row r="329" spans="2:25" ht="15" hidden="1" thickBot="1">
      <c r="B329" s="129" t="s">
        <v>11</v>
      </c>
      <c r="C329" s="129" t="s">
        <v>29</v>
      </c>
      <c r="D329" s="129" t="s">
        <v>80</v>
      </c>
      <c r="E329" s="114">
        <v>45809</v>
      </c>
      <c r="F329" s="129" t="s">
        <v>416</v>
      </c>
      <c r="G329" s="129" t="s">
        <v>333</v>
      </c>
      <c r="H329" s="137" t="s">
        <v>408</v>
      </c>
      <c r="I329" s="137" t="s">
        <v>417</v>
      </c>
      <c r="J329" s="132">
        <v>11</v>
      </c>
      <c r="K329" s="133">
        <v>25.17</v>
      </c>
      <c r="L329" s="133">
        <f t="shared" si="14"/>
        <v>276.87</v>
      </c>
      <c r="M329" s="132"/>
      <c r="N329" s="133"/>
      <c r="O329" s="133">
        <f t="shared" si="15"/>
        <v>0</v>
      </c>
      <c r="P329" s="115"/>
      <c r="Q329" s="132"/>
      <c r="R329" s="132"/>
      <c r="S329" s="134"/>
      <c r="T329" s="134">
        <f>Tabela4[[#This Row],[Valor do contrato sem o equipamento]]/30.4375*3</f>
        <v>0</v>
      </c>
      <c r="U329" s="134">
        <f>Tabela4[[#This Row],[Valor contrato]]*(30.4375-Tabela4[[#This Row],[Dias inoperantes]])/30.4375</f>
        <v>0</v>
      </c>
      <c r="V329" s="116"/>
      <c r="W329" s="150"/>
      <c r="X329" s="140"/>
      <c r="Y329" s="123">
        <f>Tabela4[[#This Row],[Diferença]]*Tabela4[[#This Row],[Quantidade]]</f>
        <v>0</v>
      </c>
    </row>
    <row r="330" spans="2:25" ht="15" hidden="1" thickBot="1">
      <c r="B330" s="129" t="s">
        <v>11</v>
      </c>
      <c r="C330" s="129" t="s">
        <v>30</v>
      </c>
      <c r="D330" s="129" t="s">
        <v>56</v>
      </c>
      <c r="E330" s="114">
        <v>45809</v>
      </c>
      <c r="F330" s="129" t="s">
        <v>351</v>
      </c>
      <c r="G330" s="129" t="s">
        <v>335</v>
      </c>
      <c r="H330" s="137">
        <v>0.25</v>
      </c>
      <c r="I330" s="137">
        <v>0.59722222222222221</v>
      </c>
      <c r="J330" s="132"/>
      <c r="K330" s="133">
        <v>22.8</v>
      </c>
      <c r="L330" s="133">
        <f t="shared" si="14"/>
        <v>0</v>
      </c>
      <c r="M330" s="132">
        <v>1</v>
      </c>
      <c r="N330" s="133">
        <v>151.28</v>
      </c>
      <c r="O330" s="133">
        <f t="shared" si="15"/>
        <v>151.28</v>
      </c>
      <c r="P330" s="115"/>
      <c r="Q330" s="132"/>
      <c r="R330" s="132"/>
      <c r="S330" s="134"/>
      <c r="T330" s="134">
        <f>Tabela4[[#This Row],[Valor do contrato sem o equipamento]]/30.4375*3</f>
        <v>0</v>
      </c>
      <c r="U330" s="134">
        <f>Tabela4[[#This Row],[Valor contrato]]*(30.4375-Tabela4[[#This Row],[Dias inoperantes]])/30.4375</f>
        <v>0</v>
      </c>
      <c r="V330" s="116"/>
      <c r="W330" s="150"/>
      <c r="X330" s="140"/>
      <c r="Y330" s="123">
        <f>Tabela4[[#This Row],[Diferença]]*Tabela4[[#This Row],[Quantidade]]</f>
        <v>0</v>
      </c>
    </row>
    <row r="331" spans="2:25" ht="15" hidden="1" thickBot="1">
      <c r="B331" s="129" t="s">
        <v>11</v>
      </c>
      <c r="C331" s="129" t="s">
        <v>30</v>
      </c>
      <c r="D331" s="129" t="s">
        <v>56</v>
      </c>
      <c r="E331" s="114">
        <v>45809</v>
      </c>
      <c r="F331" s="129" t="s">
        <v>352</v>
      </c>
      <c r="G331" s="129" t="s">
        <v>333</v>
      </c>
      <c r="H331" s="137">
        <v>0.41666666666666669</v>
      </c>
      <c r="I331" s="137">
        <v>0.91666666666666663</v>
      </c>
      <c r="J331" s="132"/>
      <c r="K331" s="133">
        <v>27.9</v>
      </c>
      <c r="L331" s="133">
        <f t="shared" si="14"/>
        <v>0</v>
      </c>
      <c r="M331" s="132">
        <v>2</v>
      </c>
      <c r="N331" s="133">
        <v>188.12</v>
      </c>
      <c r="O331" s="133">
        <f t="shared" si="15"/>
        <v>376.24</v>
      </c>
      <c r="P331" s="115"/>
      <c r="Q331" s="132"/>
      <c r="R331" s="132"/>
      <c r="S331" s="134"/>
      <c r="T331" s="134">
        <f>Tabela4[[#This Row],[Valor do contrato sem o equipamento]]/30.4375*3</f>
        <v>0</v>
      </c>
      <c r="U331" s="134">
        <f>Tabela4[[#This Row],[Valor contrato]]*(30.4375-Tabela4[[#This Row],[Dias inoperantes]])/30.4375</f>
        <v>0</v>
      </c>
      <c r="V331" s="116"/>
      <c r="W331" s="150"/>
      <c r="X331" s="140"/>
      <c r="Y331" s="123">
        <f>Tabela4[[#This Row],[Diferença]]*Tabela4[[#This Row],[Quantidade]]</f>
        <v>0</v>
      </c>
    </row>
    <row r="332" spans="2:25" ht="15" hidden="1" thickBot="1">
      <c r="B332" s="129" t="s">
        <v>11</v>
      </c>
      <c r="C332" s="129" t="s">
        <v>30</v>
      </c>
      <c r="D332" s="129" t="s">
        <v>56</v>
      </c>
      <c r="E332" s="114">
        <v>45809</v>
      </c>
      <c r="F332" s="129" t="s">
        <v>351</v>
      </c>
      <c r="G332" s="129" t="s">
        <v>335</v>
      </c>
      <c r="H332" s="137">
        <v>0.29166666666666669</v>
      </c>
      <c r="I332" s="137">
        <v>0.63888888888888884</v>
      </c>
      <c r="J332" s="132"/>
      <c r="K332" s="133">
        <v>22.8</v>
      </c>
      <c r="L332" s="133">
        <f t="shared" si="14"/>
        <v>0</v>
      </c>
      <c r="M332" s="132">
        <v>2</v>
      </c>
      <c r="N332" s="133">
        <v>151.28</v>
      </c>
      <c r="O332" s="133">
        <f t="shared" si="15"/>
        <v>302.56</v>
      </c>
      <c r="P332" s="115"/>
      <c r="Q332" s="132"/>
      <c r="R332" s="132"/>
      <c r="S332" s="134"/>
      <c r="T332" s="134">
        <f>Tabela4[[#This Row],[Valor do contrato sem o equipamento]]/30.4375*3</f>
        <v>0</v>
      </c>
      <c r="U332" s="134">
        <f>Tabela4[[#This Row],[Valor contrato]]*(30.4375-Tabela4[[#This Row],[Dias inoperantes]])/30.4375</f>
        <v>0</v>
      </c>
      <c r="V332" s="116"/>
      <c r="W332" s="150"/>
      <c r="X332" s="140"/>
      <c r="Y332" s="123">
        <f>Tabela4[[#This Row],[Diferença]]*Tabela4[[#This Row],[Quantidade]]</f>
        <v>0</v>
      </c>
    </row>
    <row r="333" spans="2:25" ht="15" hidden="1" thickBot="1">
      <c r="B333" s="129" t="s">
        <v>11</v>
      </c>
      <c r="C333" s="129" t="s">
        <v>30</v>
      </c>
      <c r="D333" s="129" t="s">
        <v>56</v>
      </c>
      <c r="E333" s="114">
        <v>45809</v>
      </c>
      <c r="F333" s="129" t="s">
        <v>351</v>
      </c>
      <c r="G333" s="129" t="s">
        <v>335</v>
      </c>
      <c r="H333" s="137">
        <v>0.33333333333333331</v>
      </c>
      <c r="I333" s="137">
        <v>0.68055555555555558</v>
      </c>
      <c r="J333" s="132"/>
      <c r="K333" s="133">
        <v>22.8</v>
      </c>
      <c r="L333" s="133">
        <f t="shared" si="14"/>
        <v>0</v>
      </c>
      <c r="M333" s="132">
        <v>3</v>
      </c>
      <c r="N333" s="133">
        <v>151.28</v>
      </c>
      <c r="O333" s="133">
        <f t="shared" si="15"/>
        <v>453.84000000000003</v>
      </c>
      <c r="P333" s="115"/>
      <c r="Q333" s="132"/>
      <c r="R333" s="132"/>
      <c r="S333" s="134"/>
      <c r="T333" s="134">
        <f>Tabela4[[#This Row],[Valor do contrato sem o equipamento]]/30.4375*3</f>
        <v>0</v>
      </c>
      <c r="U333" s="134">
        <f>Tabela4[[#This Row],[Valor contrato]]*(30.4375-Tabela4[[#This Row],[Dias inoperantes]])/30.4375</f>
        <v>0</v>
      </c>
      <c r="V333" s="116"/>
      <c r="W333" s="150"/>
      <c r="X333" s="140"/>
      <c r="Y333" s="123">
        <f>Tabela4[[#This Row],[Diferença]]*Tabela4[[#This Row],[Quantidade]]</f>
        <v>0</v>
      </c>
    </row>
    <row r="334" spans="2:25" ht="15" hidden="1" thickBot="1">
      <c r="B334" s="113" t="s">
        <v>11</v>
      </c>
      <c r="C334" s="113" t="s">
        <v>30</v>
      </c>
      <c r="D334" s="113" t="s">
        <v>56</v>
      </c>
      <c r="E334" s="114">
        <v>45901</v>
      </c>
      <c r="F334" s="177" t="s">
        <v>426</v>
      </c>
      <c r="G334" s="129" t="s">
        <v>355</v>
      </c>
      <c r="H334" s="137">
        <v>0.29166666666666669</v>
      </c>
      <c r="I334" s="137">
        <v>0.7</v>
      </c>
      <c r="J334" s="132">
        <v>0</v>
      </c>
      <c r="K334" s="133">
        <v>20.93</v>
      </c>
      <c r="L334" s="133">
        <f>J334*K334</f>
        <v>0</v>
      </c>
      <c r="M334" s="132">
        <v>1</v>
      </c>
      <c r="N334" s="133">
        <v>151.28</v>
      </c>
      <c r="O334" s="133">
        <f>M334*N334</f>
        <v>151.28</v>
      </c>
      <c r="P334" s="115"/>
      <c r="Q334" s="132"/>
      <c r="R334" s="132"/>
      <c r="S334" s="134"/>
      <c r="T334" s="134">
        <f>Tabela4[[#This Row],[Valor do contrato sem o equipamento]]/30.4375*3</f>
        <v>0</v>
      </c>
      <c r="U334" s="134">
        <f>Tabela4[[#This Row],[Valor contrato]]*(30.4375-Tabela4[[#This Row],[Dias inoperantes]])/30.4375</f>
        <v>0</v>
      </c>
      <c r="V334" s="116"/>
      <c r="W334" s="150"/>
      <c r="X334" s="140"/>
      <c r="Y334" s="123">
        <f>Tabela4[[#This Row],[Diferença]]*Tabela4[[#This Row],[Quantidade]]</f>
        <v>0</v>
      </c>
    </row>
    <row r="335" spans="2:25" ht="15" hidden="1" thickBot="1">
      <c r="B335" s="129" t="s">
        <v>11</v>
      </c>
      <c r="C335" s="129" t="s">
        <v>35</v>
      </c>
      <c r="D335" s="129" t="s">
        <v>56</v>
      </c>
      <c r="E335" s="114">
        <v>45809</v>
      </c>
      <c r="F335" s="129" t="s">
        <v>351</v>
      </c>
      <c r="G335" s="129" t="s">
        <v>333</v>
      </c>
      <c r="H335" s="137">
        <v>0.41666666666666669</v>
      </c>
      <c r="I335" s="137">
        <v>0.91666666666666663</v>
      </c>
      <c r="J335" s="132"/>
      <c r="K335" s="133"/>
      <c r="L335" s="133">
        <f t="shared" si="14"/>
        <v>0</v>
      </c>
      <c r="M335" s="132">
        <v>1</v>
      </c>
      <c r="N335" s="133">
        <v>186.5</v>
      </c>
      <c r="O335" s="133">
        <f t="shared" si="15"/>
        <v>186.5</v>
      </c>
      <c r="P335" s="115"/>
      <c r="Q335" s="132"/>
      <c r="R335" s="132"/>
      <c r="S335" s="134"/>
      <c r="T335" s="134">
        <f>Tabela4[[#This Row],[Valor do contrato sem o equipamento]]/30.4375*3</f>
        <v>0</v>
      </c>
      <c r="U335" s="134">
        <f>Tabela4[[#This Row],[Valor contrato]]*(30.4375-Tabela4[[#This Row],[Dias inoperantes]])/30.4375</f>
        <v>0</v>
      </c>
      <c r="V335" s="116"/>
      <c r="W335" s="150"/>
      <c r="X335" s="140"/>
      <c r="Y335" s="123">
        <f>Tabela4[[#This Row],[Diferença]]*Tabela4[[#This Row],[Quantidade]]</f>
        <v>0</v>
      </c>
    </row>
    <row r="336" spans="2:25" ht="15" hidden="1" thickBot="1">
      <c r="B336" s="129" t="s">
        <v>11</v>
      </c>
      <c r="C336" s="129" t="s">
        <v>32</v>
      </c>
      <c r="D336" s="129" t="s">
        <v>40</v>
      </c>
      <c r="E336" s="114">
        <v>45839</v>
      </c>
      <c r="F336" s="131" t="s">
        <v>376</v>
      </c>
      <c r="G336" s="137" t="s">
        <v>333</v>
      </c>
      <c r="H336" s="137">
        <v>0.45833333333333331</v>
      </c>
      <c r="I336" s="137">
        <v>0.95833333333333337</v>
      </c>
      <c r="J336" s="132">
        <v>1.5</v>
      </c>
      <c r="K336" s="133">
        <v>26.98</v>
      </c>
      <c r="L336" s="133">
        <f t="shared" si="14"/>
        <v>40.47</v>
      </c>
      <c r="M336" s="132">
        <v>0</v>
      </c>
      <c r="N336" s="133">
        <v>212.63</v>
      </c>
      <c r="O336" s="133">
        <f t="shared" si="15"/>
        <v>0</v>
      </c>
      <c r="P336" s="115"/>
      <c r="Q336" s="132"/>
      <c r="R336" s="132"/>
      <c r="S336" s="134"/>
      <c r="T336" s="134">
        <f>Tabela4[[#This Row],[Valor do contrato sem o equipamento]]/30.4375*3</f>
        <v>0</v>
      </c>
      <c r="U336" s="134">
        <f>Tabela4[[#This Row],[Valor contrato]]*(30.4375-Tabela4[[#This Row],[Dias inoperantes]])/30.4375</f>
        <v>0</v>
      </c>
      <c r="V336" s="116"/>
      <c r="W336" s="150"/>
      <c r="X336" s="140"/>
      <c r="Y336" s="123">
        <f>Tabela4[[#This Row],[Diferença]]*Tabela4[[#This Row],[Quantidade]]</f>
        <v>0</v>
      </c>
    </row>
    <row r="337" spans="2:25" ht="15" hidden="1" thickBot="1">
      <c r="B337" s="129" t="s">
        <v>11</v>
      </c>
      <c r="C337" s="129" t="s">
        <v>31</v>
      </c>
      <c r="D337" s="129" t="s">
        <v>40</v>
      </c>
      <c r="E337" s="114">
        <v>45839</v>
      </c>
      <c r="F337" s="131" t="s">
        <v>424</v>
      </c>
      <c r="G337" s="137" t="s">
        <v>333</v>
      </c>
      <c r="H337" s="137">
        <v>0.41666666666666669</v>
      </c>
      <c r="I337" s="137">
        <v>0.91666666666666663</v>
      </c>
      <c r="J337" s="132">
        <f>1+3+15/60+3+30/60+2+40/60</f>
        <v>10.416666666666666</v>
      </c>
      <c r="K337" s="133">
        <v>21.04</v>
      </c>
      <c r="L337" s="133">
        <f t="shared" si="14"/>
        <v>219.16666666666666</v>
      </c>
      <c r="M337" s="132">
        <v>0</v>
      </c>
      <c r="N337" s="133">
        <v>152.11000000000001</v>
      </c>
      <c r="O337" s="133">
        <f t="shared" si="15"/>
        <v>0</v>
      </c>
      <c r="P337" s="115"/>
      <c r="Q337" s="132"/>
      <c r="R337" s="132"/>
      <c r="S337" s="134"/>
      <c r="T337" s="134">
        <f>Tabela4[[#This Row],[Valor do contrato sem o equipamento]]/30.4375*3</f>
        <v>0</v>
      </c>
      <c r="U337" s="134">
        <f>Tabela4[[#This Row],[Valor contrato]]*(30.4375-Tabela4[[#This Row],[Dias inoperantes]])/30.4375</f>
        <v>0</v>
      </c>
      <c r="V337" s="116"/>
      <c r="W337" s="150"/>
      <c r="X337" s="140"/>
      <c r="Y337" s="123">
        <f>Tabela4[[#This Row],[Diferença]]*Tabela4[[#This Row],[Quantidade]]</f>
        <v>0</v>
      </c>
    </row>
    <row r="338" spans="2:25" ht="15" hidden="1" thickBot="1">
      <c r="B338" s="129" t="s">
        <v>11</v>
      </c>
      <c r="C338" s="129" t="s">
        <v>29</v>
      </c>
      <c r="D338" s="129" t="s">
        <v>80</v>
      </c>
      <c r="E338" s="114">
        <v>45839</v>
      </c>
      <c r="F338" s="131" t="s">
        <v>416</v>
      </c>
      <c r="G338" s="137" t="s">
        <v>333</v>
      </c>
      <c r="H338" s="137" t="s">
        <v>408</v>
      </c>
      <c r="I338" s="132" t="s">
        <v>417</v>
      </c>
      <c r="J338" s="132">
        <v>20.6</v>
      </c>
      <c r="K338" s="133">
        <v>24.13</v>
      </c>
      <c r="L338" s="133">
        <f t="shared" si="14"/>
        <v>497.07800000000003</v>
      </c>
      <c r="M338" s="132"/>
      <c r="N338" s="133">
        <v>174.42</v>
      </c>
      <c r="O338" s="133">
        <f t="shared" si="15"/>
        <v>0</v>
      </c>
      <c r="P338" s="115"/>
      <c r="Q338" s="132"/>
      <c r="R338" s="132"/>
      <c r="S338" s="134"/>
      <c r="T338" s="134">
        <f>Tabela4[[#This Row],[Valor do contrato sem o equipamento]]/30.4375*3</f>
        <v>0</v>
      </c>
      <c r="U338" s="134">
        <f>Tabela4[[#This Row],[Valor contrato]]*(30.4375-Tabela4[[#This Row],[Dias inoperantes]])/30.4375</f>
        <v>0</v>
      </c>
      <c r="V338" s="116"/>
      <c r="W338" s="150"/>
      <c r="X338" s="140"/>
      <c r="Y338" s="123">
        <f>Tabela4[[#This Row],[Diferença]]*Tabela4[[#This Row],[Quantidade]]</f>
        <v>0</v>
      </c>
    </row>
    <row r="339" spans="2:25" ht="15" hidden="1" thickBot="1">
      <c r="B339" s="129" t="s">
        <v>11</v>
      </c>
      <c r="C339" s="129" t="s">
        <v>29</v>
      </c>
      <c r="D339" s="129" t="s">
        <v>80</v>
      </c>
      <c r="E339" s="114">
        <v>45839</v>
      </c>
      <c r="F339" s="131" t="s">
        <v>416</v>
      </c>
      <c r="G339" s="137" t="s">
        <v>333</v>
      </c>
      <c r="H339" s="137" t="s">
        <v>389</v>
      </c>
      <c r="I339" s="132" t="s">
        <v>390</v>
      </c>
      <c r="J339" s="132">
        <v>6.983333333</v>
      </c>
      <c r="K339" s="133">
        <v>23.35</v>
      </c>
      <c r="L339" s="133">
        <f t="shared" si="14"/>
        <v>163.06083332555002</v>
      </c>
      <c r="M339" s="132"/>
      <c r="N339" s="133">
        <v>168.77</v>
      </c>
      <c r="O339" s="133">
        <f t="shared" si="15"/>
        <v>0</v>
      </c>
      <c r="P339" s="115"/>
      <c r="Q339" s="132"/>
      <c r="R339" s="132"/>
      <c r="S339" s="134"/>
      <c r="T339" s="134">
        <f>Tabela4[[#This Row],[Valor do contrato sem o equipamento]]/30.4375*3</f>
        <v>0</v>
      </c>
      <c r="U339" s="134">
        <f>Tabela4[[#This Row],[Valor contrato]]*(30.4375-Tabela4[[#This Row],[Dias inoperantes]])/30.4375</f>
        <v>0</v>
      </c>
      <c r="V339" s="116"/>
      <c r="W339" s="150"/>
      <c r="X339" s="140"/>
      <c r="Y339" s="123">
        <f>Tabela4[[#This Row],[Diferença]]*Tabela4[[#This Row],[Quantidade]]</f>
        <v>0</v>
      </c>
    </row>
    <row r="340" spans="2:25" ht="15" hidden="1" thickBot="1">
      <c r="B340" s="129" t="s">
        <v>11</v>
      </c>
      <c r="C340" s="129" t="s">
        <v>29</v>
      </c>
      <c r="D340" s="129" t="s">
        <v>80</v>
      </c>
      <c r="E340" s="114">
        <v>45839</v>
      </c>
      <c r="F340" s="131" t="s">
        <v>416</v>
      </c>
      <c r="G340" s="137" t="s">
        <v>333</v>
      </c>
      <c r="H340" s="137" t="s">
        <v>408</v>
      </c>
      <c r="I340" s="132" t="s">
        <v>417</v>
      </c>
      <c r="J340" s="132"/>
      <c r="K340" s="133">
        <v>24.13</v>
      </c>
      <c r="L340" s="133">
        <f t="shared" si="14"/>
        <v>0</v>
      </c>
      <c r="M340" s="132"/>
      <c r="N340" s="133">
        <v>174.42</v>
      </c>
      <c r="O340" s="133">
        <f t="shared" si="15"/>
        <v>0</v>
      </c>
      <c r="P340" s="115"/>
      <c r="Q340" s="132"/>
      <c r="R340" s="132"/>
      <c r="S340" s="134"/>
      <c r="T340" s="134">
        <f>Tabela4[[#This Row],[Valor do contrato sem o equipamento]]/30.4375*3</f>
        <v>0</v>
      </c>
      <c r="U340" s="134">
        <f>Tabela4[[#This Row],[Valor contrato]]*(30.4375-Tabela4[[#This Row],[Dias inoperantes]])/30.4375</f>
        <v>0</v>
      </c>
      <c r="V340" s="116"/>
      <c r="W340" s="150"/>
      <c r="X340" s="140"/>
      <c r="Y340" s="123">
        <f>Tabela4[[#This Row],[Diferença]]*Tabela4[[#This Row],[Quantidade]]</f>
        <v>0</v>
      </c>
    </row>
    <row r="341" spans="2:25" ht="15" hidden="1" thickBot="1">
      <c r="B341" s="129" t="s">
        <v>11</v>
      </c>
      <c r="C341" s="129" t="s">
        <v>29</v>
      </c>
      <c r="D341" s="129" t="s">
        <v>80</v>
      </c>
      <c r="E341" s="114">
        <v>45839</v>
      </c>
      <c r="F341" s="131" t="s">
        <v>421</v>
      </c>
      <c r="G341" s="137" t="s">
        <v>394</v>
      </c>
      <c r="H341" s="137" t="s">
        <v>389</v>
      </c>
      <c r="I341" s="132" t="s">
        <v>419</v>
      </c>
      <c r="J341" s="132"/>
      <c r="K341" s="133">
        <v>26.96</v>
      </c>
      <c r="L341" s="133">
        <f t="shared" si="14"/>
        <v>0</v>
      </c>
      <c r="M341" s="132"/>
      <c r="N341" s="133">
        <v>194.87</v>
      </c>
      <c r="O341" s="133">
        <f t="shared" si="15"/>
        <v>0</v>
      </c>
      <c r="P341" s="115"/>
      <c r="Q341" s="132"/>
      <c r="R341" s="132"/>
      <c r="S341" s="134"/>
      <c r="T341" s="134">
        <f>Tabela4[[#This Row],[Valor do contrato sem o equipamento]]/30.4375*3</f>
        <v>0</v>
      </c>
      <c r="U341" s="134">
        <f>Tabela4[[#This Row],[Valor contrato]]*(30.4375-Tabela4[[#This Row],[Dias inoperantes]])/30.4375</f>
        <v>0</v>
      </c>
      <c r="V341" s="116"/>
      <c r="W341" s="150"/>
      <c r="X341" s="140"/>
      <c r="Y341" s="123">
        <f>Tabela4[[#This Row],[Diferença]]*Tabela4[[#This Row],[Quantidade]]</f>
        <v>0</v>
      </c>
    </row>
    <row r="342" spans="2:25" ht="15" hidden="1" thickBot="1">
      <c r="B342" s="129" t="s">
        <v>11</v>
      </c>
      <c r="C342" s="129" t="s">
        <v>29</v>
      </c>
      <c r="D342" s="129" t="s">
        <v>80</v>
      </c>
      <c r="E342" s="114">
        <v>45839</v>
      </c>
      <c r="F342" s="131" t="s">
        <v>421</v>
      </c>
      <c r="G342" s="137" t="s">
        <v>394</v>
      </c>
      <c r="H342" s="137" t="s">
        <v>389</v>
      </c>
      <c r="I342" s="132" t="s">
        <v>419</v>
      </c>
      <c r="J342" s="132"/>
      <c r="K342" s="133">
        <v>26.96</v>
      </c>
      <c r="L342" s="133">
        <f t="shared" si="14"/>
        <v>0</v>
      </c>
      <c r="M342" s="132"/>
      <c r="N342" s="133">
        <v>194.87</v>
      </c>
      <c r="O342" s="133">
        <f t="shared" si="15"/>
        <v>0</v>
      </c>
      <c r="P342" s="115"/>
      <c r="Q342" s="132"/>
      <c r="R342" s="132"/>
      <c r="S342" s="134"/>
      <c r="T342" s="134">
        <f>Tabela4[[#This Row],[Valor do contrato sem o equipamento]]/30.4375*3</f>
        <v>0</v>
      </c>
      <c r="U342" s="134">
        <f>Tabela4[[#This Row],[Valor contrato]]*(30.4375-Tabela4[[#This Row],[Dias inoperantes]])/30.4375</f>
        <v>0</v>
      </c>
      <c r="V342" s="116"/>
      <c r="W342" s="150"/>
      <c r="X342" s="140"/>
      <c r="Y342" s="123">
        <f>Tabela4[[#This Row],[Diferença]]*Tabela4[[#This Row],[Quantidade]]</f>
        <v>0</v>
      </c>
    </row>
    <row r="343" spans="2:25" ht="15" hidden="1" thickBot="1">
      <c r="B343" s="129" t="s">
        <v>11</v>
      </c>
      <c r="C343" s="129" t="s">
        <v>29</v>
      </c>
      <c r="D343" s="129" t="s">
        <v>80</v>
      </c>
      <c r="E343" s="114">
        <v>45839</v>
      </c>
      <c r="F343" s="131" t="s">
        <v>421</v>
      </c>
      <c r="G343" s="137" t="s">
        <v>394</v>
      </c>
      <c r="H343" s="137" t="s">
        <v>422</v>
      </c>
      <c r="I343" s="132" t="s">
        <v>423</v>
      </c>
      <c r="J343" s="132"/>
      <c r="K343" s="133">
        <v>28.62</v>
      </c>
      <c r="L343" s="133">
        <f t="shared" si="14"/>
        <v>0</v>
      </c>
      <c r="M343" s="132"/>
      <c r="N343" s="133">
        <v>206.9</v>
      </c>
      <c r="O343" s="133">
        <f t="shared" si="15"/>
        <v>0</v>
      </c>
      <c r="P343" s="115"/>
      <c r="Q343" s="132"/>
      <c r="R343" s="132"/>
      <c r="S343" s="134"/>
      <c r="T343" s="134">
        <f>Tabela4[[#This Row],[Valor do contrato sem o equipamento]]/30.4375*3</f>
        <v>0</v>
      </c>
      <c r="U343" s="134">
        <f>Tabela4[[#This Row],[Valor contrato]]*(30.4375-Tabela4[[#This Row],[Dias inoperantes]])/30.4375</f>
        <v>0</v>
      </c>
      <c r="V343" s="116"/>
      <c r="W343" s="150"/>
      <c r="X343" s="140"/>
      <c r="Y343" s="123">
        <f>Tabela4[[#This Row],[Diferença]]*Tabela4[[#This Row],[Quantidade]]</f>
        <v>0</v>
      </c>
    </row>
    <row r="344" spans="2:25" ht="15" hidden="1" thickBot="1">
      <c r="B344" s="129" t="s">
        <v>11</v>
      </c>
      <c r="C344" s="129" t="s">
        <v>29</v>
      </c>
      <c r="D344" s="129" t="s">
        <v>80</v>
      </c>
      <c r="E344" s="114">
        <v>45870</v>
      </c>
      <c r="F344" s="131" t="s">
        <v>421</v>
      </c>
      <c r="G344" s="137" t="s">
        <v>394</v>
      </c>
      <c r="H344" s="137">
        <v>0.33333333333333331</v>
      </c>
      <c r="I344" s="207">
        <v>0.68055555555555558</v>
      </c>
      <c r="J344" s="132">
        <v>2</v>
      </c>
      <c r="K344" s="169">
        <v>26.96</v>
      </c>
      <c r="L344" s="133">
        <f t="shared" si="14"/>
        <v>53.92</v>
      </c>
      <c r="M344" s="132"/>
      <c r="N344" s="169">
        <v>194.87</v>
      </c>
      <c r="O344" s="133">
        <f t="shared" si="15"/>
        <v>0</v>
      </c>
      <c r="P344" s="115"/>
      <c r="Q344" s="132"/>
      <c r="R344" s="132"/>
      <c r="S344" s="134"/>
      <c r="T344" s="134">
        <f>Tabela4[[#This Row],[Valor do contrato sem o equipamento]]/30.4375*3</f>
        <v>0</v>
      </c>
      <c r="U344" s="134">
        <f>Tabela4[[#This Row],[Valor contrato]]*(30.4375-Tabela4[[#This Row],[Dias inoperantes]])/30.4375</f>
        <v>0</v>
      </c>
      <c r="V344" s="116"/>
      <c r="W344" s="150"/>
      <c r="X344" s="140"/>
      <c r="Y344" s="123">
        <f>Tabela4[[#This Row],[Diferença]]*Tabela4[[#This Row],[Quantidade]]</f>
        <v>0</v>
      </c>
    </row>
    <row r="345" spans="2:25" ht="15" hidden="1" thickBot="1">
      <c r="B345" s="129" t="s">
        <v>11</v>
      </c>
      <c r="C345" s="129" t="s">
        <v>29</v>
      </c>
      <c r="D345" s="129" t="s">
        <v>80</v>
      </c>
      <c r="E345" s="114">
        <v>45870</v>
      </c>
      <c r="F345" s="131" t="s">
        <v>421</v>
      </c>
      <c r="G345" s="137" t="s">
        <v>394</v>
      </c>
      <c r="H345" s="137" t="s">
        <v>422</v>
      </c>
      <c r="I345" s="207" t="s">
        <v>423</v>
      </c>
      <c r="J345" s="132">
        <v>2</v>
      </c>
      <c r="K345" s="169">
        <v>28.62</v>
      </c>
      <c r="L345" s="133">
        <f t="shared" ref="L345:L347" si="16">J345*K345</f>
        <v>57.24</v>
      </c>
      <c r="M345" s="132"/>
      <c r="N345" s="169">
        <v>206.9</v>
      </c>
      <c r="O345" s="133">
        <f t="shared" ref="O345:O347" si="17">M345*N345</f>
        <v>0</v>
      </c>
      <c r="P345" s="115"/>
      <c r="Q345" s="132"/>
      <c r="R345" s="132"/>
      <c r="S345" s="134"/>
      <c r="T345" s="134">
        <f>Tabela4[[#This Row],[Valor do contrato sem o equipamento]]/30.4375*3</f>
        <v>0</v>
      </c>
      <c r="U345" s="134">
        <f>Tabela4[[#This Row],[Valor contrato]]*(30.4375-Tabela4[[#This Row],[Dias inoperantes]])/30.4375</f>
        <v>0</v>
      </c>
      <c r="V345" s="116"/>
      <c r="W345" s="150"/>
      <c r="X345" s="140"/>
      <c r="Y345" s="123">
        <f>Tabela4[[#This Row],[Diferença]]*Tabela4[[#This Row],[Quantidade]]</f>
        <v>0</v>
      </c>
    </row>
    <row r="346" spans="2:25" ht="15" hidden="1" thickBot="1">
      <c r="B346" s="129" t="s">
        <v>11</v>
      </c>
      <c r="C346" s="129" t="s">
        <v>29</v>
      </c>
      <c r="D346" s="129" t="s">
        <v>80</v>
      </c>
      <c r="E346" s="114">
        <v>45870</v>
      </c>
      <c r="F346" s="131" t="s">
        <v>427</v>
      </c>
      <c r="G346" s="137" t="s">
        <v>394</v>
      </c>
      <c r="H346" s="137" t="s">
        <v>389</v>
      </c>
      <c r="I346" s="207" t="s">
        <v>419</v>
      </c>
      <c r="J346" s="132">
        <v>10.75</v>
      </c>
      <c r="K346" s="169">
        <v>58.42</v>
      </c>
      <c r="L346" s="133">
        <f t="shared" si="16"/>
        <v>628.01499999999999</v>
      </c>
      <c r="M346" s="132">
        <v>1</v>
      </c>
      <c r="N346" s="169">
        <v>422.25</v>
      </c>
      <c r="O346" s="133">
        <f t="shared" si="17"/>
        <v>422.25</v>
      </c>
      <c r="P346" s="115"/>
      <c r="Q346" s="132"/>
      <c r="R346" s="132"/>
      <c r="S346" s="134"/>
      <c r="T346" s="134">
        <f>Tabela4[[#This Row],[Valor do contrato sem o equipamento]]/30.4375*3</f>
        <v>0</v>
      </c>
      <c r="U346" s="134">
        <f>Tabela4[[#This Row],[Valor contrato]]*(30.4375-Tabela4[[#This Row],[Dias inoperantes]])/30.4375</f>
        <v>0</v>
      </c>
      <c r="V346" s="116"/>
      <c r="W346" s="150"/>
      <c r="X346" s="140"/>
      <c r="Y346" s="123">
        <f>Tabela4[[#This Row],[Diferença]]*Tabela4[[#This Row],[Quantidade]]</f>
        <v>0</v>
      </c>
    </row>
    <row r="347" spans="2:25" ht="15" hidden="1" thickBot="1">
      <c r="B347" s="113" t="s">
        <v>11</v>
      </c>
      <c r="C347" s="113" t="s">
        <v>29</v>
      </c>
      <c r="D347" s="113" t="s">
        <v>80</v>
      </c>
      <c r="E347" s="114">
        <v>45870</v>
      </c>
      <c r="F347" s="131" t="s">
        <v>413</v>
      </c>
      <c r="G347" s="129" t="s">
        <v>333</v>
      </c>
      <c r="H347" s="137">
        <v>0.5</v>
      </c>
      <c r="I347" s="207">
        <v>0</v>
      </c>
      <c r="J347" s="132">
        <v>6.833333333333333</v>
      </c>
      <c r="K347" s="169">
        <v>19.690000000000001</v>
      </c>
      <c r="L347" s="133">
        <f t="shared" si="16"/>
        <v>134.54833333333335</v>
      </c>
      <c r="M347" s="132">
        <v>1</v>
      </c>
      <c r="N347" s="169">
        <v>174.42</v>
      </c>
      <c r="O347" s="133">
        <f t="shared" si="17"/>
        <v>174.42</v>
      </c>
      <c r="P347" s="115"/>
      <c r="Q347" s="132"/>
      <c r="R347" s="132"/>
      <c r="S347" s="134"/>
      <c r="T347" s="134">
        <f>Tabela4[[#This Row],[Valor do contrato sem o equipamento]]/30.4375*3</f>
        <v>0</v>
      </c>
      <c r="U347" s="134">
        <f>Tabela4[[#This Row],[Valor contrato]]*(30.4375-Tabela4[[#This Row],[Dias inoperantes]])/30.4375</f>
        <v>0</v>
      </c>
      <c r="V347" s="116"/>
      <c r="W347" s="150"/>
      <c r="X347" s="140"/>
      <c r="Y347" s="123">
        <f>Tabela4[[#This Row],[Diferença]]*Tabela4[[#This Row],[Quantidade]]</f>
        <v>0</v>
      </c>
    </row>
    <row r="348" spans="2:25" ht="15" hidden="1" thickBot="1">
      <c r="B348" s="113" t="s">
        <v>11</v>
      </c>
      <c r="C348" s="113" t="s">
        <v>29</v>
      </c>
      <c r="D348" s="113" t="s">
        <v>80</v>
      </c>
      <c r="E348" s="114">
        <v>45870</v>
      </c>
      <c r="F348" s="131" t="s">
        <v>413</v>
      </c>
      <c r="G348" s="129" t="s">
        <v>333</v>
      </c>
      <c r="H348" s="137">
        <v>0.33333333333333331</v>
      </c>
      <c r="I348" s="207">
        <v>0.83333333333333337</v>
      </c>
      <c r="J348" s="132">
        <v>24.5</v>
      </c>
      <c r="K348" s="169">
        <v>19.690000000000001</v>
      </c>
      <c r="L348" s="133">
        <f t="shared" ref="L348" si="18">J348*K348</f>
        <v>482.40500000000003</v>
      </c>
      <c r="M348" s="132"/>
      <c r="N348" s="169">
        <v>168.77</v>
      </c>
      <c r="O348" s="133">
        <f t="shared" ref="O348" si="19">M348*N348</f>
        <v>0</v>
      </c>
      <c r="P348" s="115"/>
      <c r="Q348" s="132"/>
      <c r="R348" s="132"/>
      <c r="S348" s="134"/>
      <c r="T348" s="134">
        <f>Tabela4[[#This Row],[Valor do contrato sem o equipamento]]/30.4375*3</f>
        <v>0</v>
      </c>
      <c r="U348" s="134">
        <f>Tabela4[[#This Row],[Valor contrato]]*(30.4375-Tabela4[[#This Row],[Dias inoperantes]])/30.4375</f>
        <v>0</v>
      </c>
      <c r="V348" s="116"/>
      <c r="W348" s="150"/>
      <c r="X348" s="140"/>
      <c r="Y348" s="123">
        <f>Tabela4[[#This Row],[Diferença]]*Tabela4[[#This Row],[Quantidade]]</f>
        <v>0</v>
      </c>
    </row>
    <row r="349" spans="2:25" ht="11.9" hidden="1" customHeight="1" thickBot="1">
      <c r="B349" s="129" t="s">
        <v>11</v>
      </c>
      <c r="C349" s="129" t="s">
        <v>29</v>
      </c>
      <c r="D349" s="129" t="s">
        <v>80</v>
      </c>
      <c r="E349" s="114">
        <v>45839</v>
      </c>
      <c r="F349" s="131" t="s">
        <v>427</v>
      </c>
      <c r="G349" s="137" t="s">
        <v>394</v>
      </c>
      <c r="H349" s="137" t="s">
        <v>389</v>
      </c>
      <c r="I349" s="132" t="s">
        <v>419</v>
      </c>
      <c r="J349" s="132">
        <v>1.1200000000000001</v>
      </c>
      <c r="K349" s="133">
        <v>58.42</v>
      </c>
      <c r="L349" s="133">
        <f t="shared" si="14"/>
        <v>65.430400000000006</v>
      </c>
      <c r="M349" s="132"/>
      <c r="N349" s="133">
        <v>422.25</v>
      </c>
      <c r="O349" s="133">
        <f t="shared" si="15"/>
        <v>0</v>
      </c>
      <c r="P349" s="115"/>
      <c r="Q349" s="132"/>
      <c r="R349" s="132"/>
      <c r="S349" s="134"/>
      <c r="T349" s="134">
        <f>Tabela4[[#This Row],[Valor do contrato sem o equipamento]]/30.4375*3</f>
        <v>0</v>
      </c>
      <c r="U349" s="134">
        <f>Tabela4[[#This Row],[Valor contrato]]*(30.4375-Tabela4[[#This Row],[Dias inoperantes]])/30.4375</f>
        <v>0</v>
      </c>
      <c r="V349" s="116"/>
      <c r="W349" s="150"/>
      <c r="X349" s="140"/>
      <c r="Y349" s="123">
        <f>Tabela4[[#This Row],[Diferença]]*Tabela4[[#This Row],[Quantidade]]</f>
        <v>0</v>
      </c>
    </row>
    <row r="350" spans="2:25" ht="15" hidden="1" thickBot="1">
      <c r="B350" s="129" t="s">
        <v>6</v>
      </c>
      <c r="C350" s="129" t="s">
        <v>30</v>
      </c>
      <c r="D350" s="129" t="s">
        <v>39</v>
      </c>
      <c r="E350" s="114">
        <v>45689</v>
      </c>
      <c r="F350" s="131" t="s">
        <v>351</v>
      </c>
      <c r="G350" s="129" t="s">
        <v>335</v>
      </c>
      <c r="H350" s="137">
        <v>0.25</v>
      </c>
      <c r="I350" s="137">
        <v>0.59722222222222221</v>
      </c>
      <c r="J350" s="132">
        <v>0</v>
      </c>
      <c r="K350" s="169">
        <v>19.5</v>
      </c>
      <c r="L350" s="133">
        <f t="shared" si="14"/>
        <v>0</v>
      </c>
      <c r="M350" s="132">
        <v>2</v>
      </c>
      <c r="N350" s="169">
        <v>140.97</v>
      </c>
      <c r="O350" s="133">
        <f t="shared" si="15"/>
        <v>281.94</v>
      </c>
      <c r="P350" s="115"/>
      <c r="Q350" s="132"/>
      <c r="R350" s="132"/>
      <c r="S350" s="132"/>
      <c r="T350" s="132">
        <f>Tabela4[[#This Row],[Valor do contrato sem o equipamento]]/30.4375*3</f>
        <v>0</v>
      </c>
      <c r="U350" s="132">
        <f>Tabela4[[#This Row],[Valor contrato]]*(30.4375-Tabela4[[#This Row],[Dias inoperantes]])/30.4375</f>
        <v>0</v>
      </c>
      <c r="V350" s="116"/>
      <c r="W350" s="150"/>
      <c r="X350" s="132"/>
      <c r="Y350" s="123">
        <f>Tabela4[[#This Row],[Diferença]]*Tabela4[[#This Row],[Quantidade]]</f>
        <v>0</v>
      </c>
    </row>
    <row r="351" spans="2:25" ht="15" hidden="1" thickBot="1">
      <c r="B351" s="129" t="s">
        <v>6</v>
      </c>
      <c r="C351" s="129" t="s">
        <v>30</v>
      </c>
      <c r="D351" s="129" t="s">
        <v>39</v>
      </c>
      <c r="E351" s="114">
        <v>45717</v>
      </c>
      <c r="F351" s="131" t="s">
        <v>351</v>
      </c>
      <c r="G351" s="129" t="s">
        <v>335</v>
      </c>
      <c r="H351" s="137">
        <v>0.25</v>
      </c>
      <c r="I351" s="137">
        <v>0.59722222222222221</v>
      </c>
      <c r="J351" s="132">
        <v>0</v>
      </c>
      <c r="K351" s="169">
        <v>19.5</v>
      </c>
      <c r="L351" s="133">
        <f t="shared" si="14"/>
        <v>0</v>
      </c>
      <c r="M351" s="132">
        <v>12</v>
      </c>
      <c r="N351" s="169">
        <v>140.97</v>
      </c>
      <c r="O351" s="133">
        <f t="shared" si="15"/>
        <v>1691.6399999999999</v>
      </c>
      <c r="P351" s="115"/>
      <c r="Q351" s="132"/>
      <c r="R351" s="132"/>
      <c r="S351" s="132"/>
      <c r="T351" s="132">
        <f>Tabela4[[#This Row],[Valor do contrato sem o equipamento]]/30.4375*3</f>
        <v>0</v>
      </c>
      <c r="U351" s="132">
        <f>Tabela4[[#This Row],[Valor contrato]]*(30.4375-Tabela4[[#This Row],[Dias inoperantes]])/30.4375</f>
        <v>0</v>
      </c>
      <c r="V351" s="116"/>
      <c r="W351" s="150"/>
      <c r="X351" s="132"/>
      <c r="Y351" s="123">
        <f>Tabela4[[#This Row],[Diferença]]*Tabela4[[#This Row],[Quantidade]]</f>
        <v>0</v>
      </c>
    </row>
    <row r="352" spans="2:25" ht="15" hidden="1" thickBot="1">
      <c r="B352" s="129" t="s">
        <v>6</v>
      </c>
      <c r="C352" s="129" t="s">
        <v>30</v>
      </c>
      <c r="D352" s="129" t="s">
        <v>39</v>
      </c>
      <c r="E352" s="114">
        <v>45748</v>
      </c>
      <c r="F352" s="131" t="s">
        <v>351</v>
      </c>
      <c r="G352" s="129" t="s">
        <v>335</v>
      </c>
      <c r="H352" s="137">
        <v>0.25</v>
      </c>
      <c r="I352" s="137">
        <v>0.59722222222222221</v>
      </c>
      <c r="J352" s="132">
        <v>0</v>
      </c>
      <c r="K352" s="169">
        <v>19.5</v>
      </c>
      <c r="L352" s="133">
        <f t="shared" si="14"/>
        <v>0</v>
      </c>
      <c r="M352" s="132"/>
      <c r="N352" s="169"/>
      <c r="O352" s="133">
        <f t="shared" si="15"/>
        <v>0</v>
      </c>
      <c r="P352" s="115"/>
      <c r="Q352" s="132"/>
      <c r="R352" s="132"/>
      <c r="S352" s="132"/>
      <c r="T352" s="132">
        <f>Tabela4[[#This Row],[Valor do contrato sem o equipamento]]/30.4375*3</f>
        <v>0</v>
      </c>
      <c r="U352" s="132">
        <f>Tabela4[[#This Row],[Valor contrato]]*(30.4375-Tabela4[[#This Row],[Dias inoperantes]])/30.4375</f>
        <v>0</v>
      </c>
      <c r="V352" s="116"/>
      <c r="W352" s="150"/>
      <c r="X352" s="132"/>
      <c r="Y352" s="123">
        <f>Tabela4[[#This Row],[Diferença]]*Tabela4[[#This Row],[Quantidade]]</f>
        <v>0</v>
      </c>
    </row>
    <row r="353" spans="2:25" ht="15" hidden="1" thickBot="1">
      <c r="B353" s="129" t="s">
        <v>6</v>
      </c>
      <c r="C353" s="129" t="s">
        <v>30</v>
      </c>
      <c r="D353" s="129" t="s">
        <v>39</v>
      </c>
      <c r="E353" s="114">
        <v>45778</v>
      </c>
      <c r="F353" s="129" t="s">
        <v>351</v>
      </c>
      <c r="G353" s="129" t="s">
        <v>335</v>
      </c>
      <c r="H353" s="137">
        <v>0.25</v>
      </c>
      <c r="I353" s="137">
        <v>0.59722222222222221</v>
      </c>
      <c r="J353" s="132"/>
      <c r="K353" s="169"/>
      <c r="L353" s="133">
        <f t="shared" si="14"/>
        <v>0</v>
      </c>
      <c r="M353" s="132">
        <v>11</v>
      </c>
      <c r="N353" s="169">
        <v>151.4</v>
      </c>
      <c r="O353" s="133">
        <f t="shared" si="15"/>
        <v>1665.4</v>
      </c>
      <c r="P353" s="115"/>
      <c r="Q353" s="132"/>
      <c r="R353" s="132"/>
      <c r="S353" s="134"/>
      <c r="T353" s="134">
        <f>Tabela4[[#This Row],[Valor do contrato sem o equipamento]]/30.4375*3</f>
        <v>0</v>
      </c>
      <c r="U353" s="134">
        <f>Tabela4[[#This Row],[Valor contrato]]*(30.4375-Tabela4[[#This Row],[Dias inoperantes]])/30.4375</f>
        <v>0</v>
      </c>
      <c r="V353" s="116"/>
      <c r="W353" s="150"/>
      <c r="X353" s="140"/>
      <c r="Y353" s="123">
        <f>Tabela4[[#This Row],[Diferença]]*Tabela4[[#This Row],[Quantidade]]</f>
        <v>0</v>
      </c>
    </row>
    <row r="354" spans="2:25" ht="15" hidden="1" thickBot="1">
      <c r="B354" s="129" t="s">
        <v>6</v>
      </c>
      <c r="C354" s="129" t="s">
        <v>30</v>
      </c>
      <c r="D354" s="129" t="s">
        <v>39</v>
      </c>
      <c r="E354" s="114">
        <v>45809</v>
      </c>
      <c r="F354" s="129" t="s">
        <v>351</v>
      </c>
      <c r="G354" s="129" t="s">
        <v>335</v>
      </c>
      <c r="H354" s="137">
        <v>0.25</v>
      </c>
      <c r="I354" s="137">
        <v>0.59722222222222221</v>
      </c>
      <c r="J354" s="132"/>
      <c r="K354" s="133"/>
      <c r="L354" s="133">
        <f t="shared" si="14"/>
        <v>0</v>
      </c>
      <c r="M354" s="132">
        <v>6</v>
      </c>
      <c r="N354" s="133">
        <v>151.4</v>
      </c>
      <c r="O354" s="133">
        <f t="shared" si="15"/>
        <v>908.40000000000009</v>
      </c>
      <c r="P354" s="115"/>
      <c r="Q354" s="132"/>
      <c r="R354" s="132"/>
      <c r="S354" s="134"/>
      <c r="T354" s="134">
        <f>Tabela4[[#This Row],[Valor do contrato sem o equipamento]]/30.4375*3</f>
        <v>0</v>
      </c>
      <c r="U354" s="134">
        <f>Tabela4[[#This Row],[Valor contrato]]*(30.4375-Tabela4[[#This Row],[Dias inoperantes]])/30.4375</f>
        <v>0</v>
      </c>
      <c r="V354" s="116"/>
      <c r="W354" s="150"/>
      <c r="X354" s="140"/>
      <c r="Y354" s="123">
        <f>Tabela4[[#This Row],[Diferença]]*Tabela4[[#This Row],[Quantidade]]</f>
        <v>0</v>
      </c>
    </row>
    <row r="355" spans="2:25" ht="15" hidden="1" thickBot="1">
      <c r="B355" s="129" t="s">
        <v>6</v>
      </c>
      <c r="C355" s="129" t="s">
        <v>30</v>
      </c>
      <c r="D355" s="129" t="s">
        <v>39</v>
      </c>
      <c r="E355" s="114">
        <v>45689</v>
      </c>
      <c r="F355" s="131" t="s">
        <v>351</v>
      </c>
      <c r="G355" s="129" t="s">
        <v>333</v>
      </c>
      <c r="H355" s="137">
        <v>0.41666666666666669</v>
      </c>
      <c r="I355" s="137">
        <v>0.91666666666666663</v>
      </c>
      <c r="J355" s="132">
        <v>0</v>
      </c>
      <c r="K355" s="169">
        <v>18.02</v>
      </c>
      <c r="L355" s="133">
        <f t="shared" si="14"/>
        <v>0</v>
      </c>
      <c r="M355" s="132">
        <v>1</v>
      </c>
      <c r="N355" s="169">
        <v>130.27000000000001</v>
      </c>
      <c r="O355" s="133">
        <f t="shared" si="15"/>
        <v>130.27000000000001</v>
      </c>
      <c r="P355" s="115"/>
      <c r="Q355" s="132"/>
      <c r="R355" s="132"/>
      <c r="S355" s="132"/>
      <c r="T355" s="132">
        <f>Tabela4[[#This Row],[Valor do contrato sem o equipamento]]/30.4375*3</f>
        <v>0</v>
      </c>
      <c r="U355" s="132">
        <f>Tabela4[[#This Row],[Valor contrato]]*(30.4375-Tabela4[[#This Row],[Dias inoperantes]])/30.4375</f>
        <v>0</v>
      </c>
      <c r="V355" s="116"/>
      <c r="W355" s="150"/>
      <c r="X355" s="132"/>
      <c r="Y355" s="123">
        <f>Tabela4[[#This Row],[Diferença]]*Tabela4[[#This Row],[Quantidade]]</f>
        <v>0</v>
      </c>
    </row>
    <row r="356" spans="2:25" ht="15" hidden="1" thickBot="1">
      <c r="B356" s="113" t="s">
        <v>6</v>
      </c>
      <c r="C356" s="113" t="s">
        <v>30</v>
      </c>
      <c r="D356" s="113" t="s">
        <v>39</v>
      </c>
      <c r="E356" s="114">
        <v>45717</v>
      </c>
      <c r="F356" s="119" t="s">
        <v>351</v>
      </c>
      <c r="G356" s="129" t="s">
        <v>333</v>
      </c>
      <c r="H356" s="137">
        <v>0.41666666666666669</v>
      </c>
      <c r="I356" s="137">
        <v>0.91666666666666663</v>
      </c>
      <c r="J356" s="132">
        <v>0</v>
      </c>
      <c r="K356" s="169">
        <v>18.02</v>
      </c>
      <c r="L356" s="133">
        <f t="shared" si="14"/>
        <v>0</v>
      </c>
      <c r="M356" s="132">
        <v>4</v>
      </c>
      <c r="N356" s="169">
        <v>130.27000000000001</v>
      </c>
      <c r="O356" s="133">
        <f t="shared" si="15"/>
        <v>521.08000000000004</v>
      </c>
      <c r="P356" s="115"/>
      <c r="Q356" s="132"/>
      <c r="R356" s="132"/>
      <c r="S356" s="132"/>
      <c r="T356" s="132">
        <f>Tabela4[[#This Row],[Valor do contrato sem o equipamento]]/30.4375*3</f>
        <v>0</v>
      </c>
      <c r="U356" s="132">
        <f>Tabela4[[#This Row],[Valor contrato]]*(30.4375-Tabela4[[#This Row],[Dias inoperantes]])/30.4375</f>
        <v>0</v>
      </c>
      <c r="V356" s="116"/>
      <c r="W356" s="150"/>
      <c r="X356" s="132"/>
      <c r="Y356" s="123">
        <f>Tabela4[[#This Row],[Diferença]]*Tabela4[[#This Row],[Quantidade]]</f>
        <v>0</v>
      </c>
    </row>
    <row r="357" spans="2:25" ht="15" hidden="1" thickBot="1">
      <c r="B357" s="129" t="s">
        <v>6</v>
      </c>
      <c r="C357" s="113" t="s">
        <v>30</v>
      </c>
      <c r="D357" s="113" t="s">
        <v>39</v>
      </c>
      <c r="E357" s="114">
        <v>45748</v>
      </c>
      <c r="F357" s="131" t="s">
        <v>367</v>
      </c>
      <c r="G357" s="129" t="s">
        <v>333</v>
      </c>
      <c r="H357" s="137">
        <v>0.41666666666666669</v>
      </c>
      <c r="I357" s="137">
        <v>0.91666666666666663</v>
      </c>
      <c r="J357" s="132">
        <v>0</v>
      </c>
      <c r="K357" s="169">
        <v>24.34</v>
      </c>
      <c r="L357" s="133">
        <f t="shared" si="14"/>
        <v>0</v>
      </c>
      <c r="M357" s="132"/>
      <c r="N357" s="169"/>
      <c r="O357" s="133">
        <f t="shared" si="15"/>
        <v>0</v>
      </c>
      <c r="P357" s="115"/>
      <c r="Q357" s="132"/>
      <c r="R357" s="132"/>
      <c r="S357" s="132"/>
      <c r="T357" s="132">
        <f>Tabela4[[#This Row],[Valor do contrato sem o equipamento]]/30.4375*3</f>
        <v>0</v>
      </c>
      <c r="U357" s="132">
        <f>Tabela4[[#This Row],[Valor contrato]]*(30.4375-Tabela4[[#This Row],[Dias inoperantes]])/30.4375</f>
        <v>0</v>
      </c>
      <c r="V357" s="116"/>
      <c r="W357" s="150"/>
      <c r="X357" s="132"/>
      <c r="Y357" s="123">
        <f>Tabela4[[#This Row],[Diferença]]*Tabela4[[#This Row],[Quantidade]]</f>
        <v>0</v>
      </c>
    </row>
    <row r="358" spans="2:25" ht="15" hidden="1" thickBot="1">
      <c r="B358" s="129" t="s">
        <v>6</v>
      </c>
      <c r="C358" s="113" t="s">
        <v>30</v>
      </c>
      <c r="D358" s="113" t="s">
        <v>39</v>
      </c>
      <c r="E358" s="114">
        <v>45778</v>
      </c>
      <c r="F358" s="129" t="s">
        <v>351</v>
      </c>
      <c r="G358" s="129" t="s">
        <v>333</v>
      </c>
      <c r="H358" s="137">
        <v>0.41666666666666669</v>
      </c>
      <c r="I358" s="137">
        <v>0.91666666666666663</v>
      </c>
      <c r="J358" s="132"/>
      <c r="K358" s="169"/>
      <c r="L358" s="133">
        <f t="shared" ref="L358:L366" si="20">J358*K358</f>
        <v>0</v>
      </c>
      <c r="M358" s="132">
        <v>2</v>
      </c>
      <c r="N358" s="169">
        <v>139.91999999999999</v>
      </c>
      <c r="O358" s="133">
        <f t="shared" ref="O358:O366" si="21">M358*N358</f>
        <v>279.83999999999997</v>
      </c>
      <c r="P358" s="115"/>
      <c r="Q358" s="132"/>
      <c r="R358" s="132"/>
      <c r="S358" s="134"/>
      <c r="T358" s="134">
        <f>Tabela4[[#This Row],[Valor do contrato sem o equipamento]]/30.4375*3</f>
        <v>0</v>
      </c>
      <c r="U358" s="134">
        <f>Tabela4[[#This Row],[Valor contrato]]*(30.4375-Tabela4[[#This Row],[Dias inoperantes]])/30.4375</f>
        <v>0</v>
      </c>
      <c r="V358" s="116"/>
      <c r="W358" s="150"/>
      <c r="X358" s="140"/>
      <c r="Y358" s="123">
        <f>Tabela4[[#This Row],[Diferença]]*Tabela4[[#This Row],[Quantidade]]</f>
        <v>0</v>
      </c>
    </row>
    <row r="359" spans="2:25" ht="15" hidden="1" thickBot="1">
      <c r="B359" s="129" t="s">
        <v>6</v>
      </c>
      <c r="C359" s="113" t="s">
        <v>30</v>
      </c>
      <c r="D359" s="113" t="s">
        <v>39</v>
      </c>
      <c r="E359" s="114">
        <v>45809</v>
      </c>
      <c r="F359" s="177" t="s">
        <v>351</v>
      </c>
      <c r="G359" s="129" t="s">
        <v>333</v>
      </c>
      <c r="H359" s="137">
        <v>0.41666666666666669</v>
      </c>
      <c r="I359" s="137">
        <v>0.91666666666666663</v>
      </c>
      <c r="J359" s="132"/>
      <c r="K359" s="133"/>
      <c r="L359" s="133">
        <f t="shared" si="20"/>
        <v>0</v>
      </c>
      <c r="M359" s="132">
        <v>6</v>
      </c>
      <c r="N359" s="133">
        <v>139.91999999999999</v>
      </c>
      <c r="O359" s="133">
        <f t="shared" si="21"/>
        <v>839.52</v>
      </c>
      <c r="P359" s="115"/>
      <c r="Q359" s="132"/>
      <c r="R359" s="132"/>
      <c r="S359" s="134"/>
      <c r="T359" s="134">
        <f>Tabela4[[#This Row],[Valor do contrato sem o equipamento]]/30.4375*3</f>
        <v>0</v>
      </c>
      <c r="U359" s="134">
        <f>Tabela4[[#This Row],[Valor contrato]]*(30.4375-Tabela4[[#This Row],[Dias inoperantes]])/30.4375</f>
        <v>0</v>
      </c>
      <c r="V359" s="116"/>
      <c r="W359" s="150"/>
      <c r="X359" s="140"/>
      <c r="Y359" s="123">
        <f>Tabela4[[#This Row],[Diferença]]*Tabela4[[#This Row],[Quantidade]]</f>
        <v>0</v>
      </c>
    </row>
    <row r="360" spans="2:25" ht="15" hidden="1" thickBot="1">
      <c r="B360" s="129" t="s">
        <v>6</v>
      </c>
      <c r="C360" s="113" t="s">
        <v>30</v>
      </c>
      <c r="D360" s="113" t="s">
        <v>39</v>
      </c>
      <c r="E360" s="114">
        <v>45689</v>
      </c>
      <c r="F360" s="119" t="s">
        <v>351</v>
      </c>
      <c r="G360" s="129" t="s">
        <v>335</v>
      </c>
      <c r="H360" s="137">
        <v>0.56944444444444442</v>
      </c>
      <c r="I360" s="137">
        <v>0.91666666666666663</v>
      </c>
      <c r="J360" s="132">
        <v>0</v>
      </c>
      <c r="K360" s="169">
        <v>19.5</v>
      </c>
      <c r="L360" s="133">
        <f t="shared" si="20"/>
        <v>0</v>
      </c>
      <c r="M360" s="132">
        <v>6</v>
      </c>
      <c r="N360" s="169">
        <v>140.97</v>
      </c>
      <c r="O360" s="133">
        <f t="shared" si="21"/>
        <v>845.81999999999994</v>
      </c>
      <c r="P360" s="115"/>
      <c r="Q360" s="132"/>
      <c r="R360" s="132"/>
      <c r="S360" s="132"/>
      <c r="T360" s="132">
        <f>Tabela4[[#This Row],[Valor do contrato sem o equipamento]]/30.4375*3</f>
        <v>0</v>
      </c>
      <c r="U360" s="132">
        <f>Tabela4[[#This Row],[Valor contrato]]*(30.4375-Tabela4[[#This Row],[Dias inoperantes]])/30.4375</f>
        <v>0</v>
      </c>
      <c r="V360" s="116"/>
      <c r="W360" s="150"/>
      <c r="X360" s="132"/>
      <c r="Y360" s="123">
        <f>Tabela4[[#This Row],[Diferença]]*Tabela4[[#This Row],[Quantidade]]</f>
        <v>0</v>
      </c>
    </row>
    <row r="361" spans="2:25" ht="15" hidden="1" thickBot="1">
      <c r="B361" s="129" t="s">
        <v>6</v>
      </c>
      <c r="C361" s="113" t="s">
        <v>30</v>
      </c>
      <c r="D361" s="113" t="s">
        <v>39</v>
      </c>
      <c r="E361" s="114">
        <v>45717</v>
      </c>
      <c r="F361" s="119" t="s">
        <v>351</v>
      </c>
      <c r="G361" s="129" t="s">
        <v>335</v>
      </c>
      <c r="H361" s="137">
        <v>0.56944444444444442</v>
      </c>
      <c r="I361" s="137">
        <v>0.91666666666666663</v>
      </c>
      <c r="J361" s="132">
        <v>0</v>
      </c>
      <c r="K361" s="169">
        <v>19.5</v>
      </c>
      <c r="L361" s="133">
        <f t="shared" si="20"/>
        <v>0</v>
      </c>
      <c r="M361" s="132">
        <v>9</v>
      </c>
      <c r="N361" s="169">
        <v>140.97</v>
      </c>
      <c r="O361" s="133">
        <f t="shared" si="21"/>
        <v>1268.73</v>
      </c>
      <c r="P361" s="115"/>
      <c r="Q361" s="132"/>
      <c r="R361" s="132"/>
      <c r="S361" s="132"/>
      <c r="T361" s="132">
        <f>Tabela4[[#This Row],[Valor do contrato sem o equipamento]]/30.4375*3</f>
        <v>0</v>
      </c>
      <c r="U361" s="132">
        <f>Tabela4[[#This Row],[Valor contrato]]*(30.4375-Tabela4[[#This Row],[Dias inoperantes]])/30.4375</f>
        <v>0</v>
      </c>
      <c r="V361" s="116"/>
      <c r="W361" s="150"/>
      <c r="X361" s="132"/>
      <c r="Y361" s="123">
        <f>Tabela4[[#This Row],[Diferença]]*Tabela4[[#This Row],[Quantidade]]</f>
        <v>0</v>
      </c>
    </row>
    <row r="362" spans="2:25" ht="15" hidden="1" thickBot="1">
      <c r="B362" s="129" t="s">
        <v>6</v>
      </c>
      <c r="C362" s="113" t="s">
        <v>30</v>
      </c>
      <c r="D362" s="113" t="s">
        <v>39</v>
      </c>
      <c r="E362" s="114">
        <v>45748</v>
      </c>
      <c r="F362" s="119" t="s">
        <v>351</v>
      </c>
      <c r="G362" s="129" t="s">
        <v>335</v>
      </c>
      <c r="H362" s="137">
        <v>0.56944444444444442</v>
      </c>
      <c r="I362" s="137">
        <v>0.91666666666666663</v>
      </c>
      <c r="J362" s="132">
        <v>0</v>
      </c>
      <c r="K362" s="169">
        <v>19.5</v>
      </c>
      <c r="L362" s="133">
        <f t="shared" si="20"/>
        <v>0</v>
      </c>
      <c r="M362" s="132"/>
      <c r="N362" s="169"/>
      <c r="O362" s="133">
        <f t="shared" si="21"/>
        <v>0</v>
      </c>
      <c r="P362" s="115"/>
      <c r="Q362" s="132"/>
      <c r="R362" s="132"/>
      <c r="S362" s="132"/>
      <c r="T362" s="132">
        <f>Tabela4[[#This Row],[Valor do contrato sem o equipamento]]/30.4375*3</f>
        <v>0</v>
      </c>
      <c r="U362" s="132">
        <f>Tabela4[[#This Row],[Valor contrato]]*(30.4375-Tabela4[[#This Row],[Dias inoperantes]])/30.4375</f>
        <v>0</v>
      </c>
      <c r="V362" s="116"/>
      <c r="W362" s="150"/>
      <c r="X362" s="132"/>
      <c r="Y362" s="123">
        <f>Tabela4[[#This Row],[Diferença]]*Tabela4[[#This Row],[Quantidade]]</f>
        <v>0</v>
      </c>
    </row>
    <row r="363" spans="2:25" ht="15" hidden="1" thickBot="1">
      <c r="B363" s="129" t="s">
        <v>6</v>
      </c>
      <c r="C363" s="113" t="s">
        <v>30</v>
      </c>
      <c r="D363" s="113" t="s">
        <v>39</v>
      </c>
      <c r="E363" s="114">
        <v>45778</v>
      </c>
      <c r="F363" s="177" t="s">
        <v>351</v>
      </c>
      <c r="G363" s="129" t="s">
        <v>335</v>
      </c>
      <c r="H363" s="137">
        <v>0.56944444444444442</v>
      </c>
      <c r="I363" s="137">
        <v>0.91666666666666663</v>
      </c>
      <c r="J363" s="132"/>
      <c r="K363" s="169"/>
      <c r="L363" s="133">
        <f t="shared" si="20"/>
        <v>0</v>
      </c>
      <c r="M363" s="132">
        <v>8</v>
      </c>
      <c r="N363" s="169">
        <v>151.4</v>
      </c>
      <c r="O363" s="133">
        <f t="shared" si="21"/>
        <v>1211.2</v>
      </c>
      <c r="P363" s="115"/>
      <c r="Q363" s="132"/>
      <c r="R363" s="132"/>
      <c r="S363" s="134"/>
      <c r="T363" s="134">
        <f>Tabela4[[#This Row],[Valor do contrato sem o equipamento]]/30.4375*3</f>
        <v>0</v>
      </c>
      <c r="U363" s="134">
        <f>Tabela4[[#This Row],[Valor contrato]]*(30.4375-Tabela4[[#This Row],[Dias inoperantes]])/30.4375</f>
        <v>0</v>
      </c>
      <c r="V363" s="116"/>
      <c r="W363" s="150"/>
      <c r="X363" s="140"/>
      <c r="Y363" s="123">
        <f>Tabela4[[#This Row],[Diferença]]*Tabela4[[#This Row],[Quantidade]]</f>
        <v>0</v>
      </c>
    </row>
    <row r="364" spans="2:25" ht="15" hidden="1" thickBot="1">
      <c r="B364" s="129" t="s">
        <v>6</v>
      </c>
      <c r="C364" s="113" t="s">
        <v>30</v>
      </c>
      <c r="D364" s="113" t="s">
        <v>39</v>
      </c>
      <c r="E364" s="114">
        <v>45748</v>
      </c>
      <c r="F364" s="119" t="s">
        <v>370</v>
      </c>
      <c r="G364" s="129" t="s">
        <v>335</v>
      </c>
      <c r="H364" s="137">
        <v>0.91666666666666663</v>
      </c>
      <c r="I364" s="137">
        <v>0.2638888888888889</v>
      </c>
      <c r="J364" s="132">
        <v>0</v>
      </c>
      <c r="K364" s="169">
        <v>25.51</v>
      </c>
      <c r="L364" s="133">
        <f t="shared" si="20"/>
        <v>0</v>
      </c>
      <c r="M364" s="132"/>
      <c r="N364" s="169"/>
      <c r="O364" s="133">
        <f t="shared" si="21"/>
        <v>0</v>
      </c>
      <c r="P364" s="115"/>
      <c r="Q364" s="132"/>
      <c r="R364" s="132"/>
      <c r="S364" s="132"/>
      <c r="T364" s="132">
        <f>Tabela4[[#This Row],[Valor do contrato sem o equipamento]]/30.4375*3</f>
        <v>0</v>
      </c>
      <c r="U364" s="132">
        <f>Tabela4[[#This Row],[Valor contrato]]*(30.4375-Tabela4[[#This Row],[Dias inoperantes]])/30.4375</f>
        <v>0</v>
      </c>
      <c r="V364" s="116"/>
      <c r="W364" s="150"/>
      <c r="X364" s="132"/>
      <c r="Y364" s="123">
        <f>Tabela4[[#This Row],[Diferença]]*Tabela4[[#This Row],[Quantidade]]</f>
        <v>0</v>
      </c>
    </row>
    <row r="365" spans="2:25" ht="15" hidden="1" thickBot="1">
      <c r="B365" s="129" t="s">
        <v>6</v>
      </c>
      <c r="C365" s="113" t="s">
        <v>30</v>
      </c>
      <c r="D365" s="113" t="s">
        <v>39</v>
      </c>
      <c r="E365" s="114">
        <v>45778</v>
      </c>
      <c r="F365" s="177" t="s">
        <v>393</v>
      </c>
      <c r="G365" s="129" t="s">
        <v>335</v>
      </c>
      <c r="H365" s="137">
        <v>0.91666666666666663</v>
      </c>
      <c r="I365" s="137">
        <v>0.2638888888888889</v>
      </c>
      <c r="J365" s="132"/>
      <c r="K365" s="169"/>
      <c r="L365" s="133">
        <f t="shared" si="20"/>
        <v>0</v>
      </c>
      <c r="M365" s="132">
        <v>2</v>
      </c>
      <c r="N365" s="169">
        <v>174.23</v>
      </c>
      <c r="O365" s="133">
        <f t="shared" si="21"/>
        <v>348.46</v>
      </c>
      <c r="P365" s="115"/>
      <c r="Q365" s="132"/>
      <c r="R365" s="132"/>
      <c r="S365" s="134"/>
      <c r="T365" s="134">
        <f>Tabela4[[#This Row],[Valor do contrato sem o equipamento]]/30.4375*3</f>
        <v>0</v>
      </c>
      <c r="U365" s="134">
        <f>Tabela4[[#This Row],[Valor contrato]]*(30.4375-Tabela4[[#This Row],[Dias inoperantes]])/30.4375</f>
        <v>0</v>
      </c>
      <c r="V365" s="116"/>
      <c r="W365" s="150"/>
      <c r="X365" s="140"/>
      <c r="Y365" s="123">
        <f>Tabela4[[#This Row],[Diferença]]*Tabela4[[#This Row],[Quantidade]]</f>
        <v>0</v>
      </c>
    </row>
    <row r="366" spans="2:25" ht="15" hidden="1" thickBot="1">
      <c r="B366" s="129" t="s">
        <v>6</v>
      </c>
      <c r="C366" s="113" t="s">
        <v>30</v>
      </c>
      <c r="D366" s="113" t="s">
        <v>39</v>
      </c>
      <c r="E366" s="114">
        <v>45809</v>
      </c>
      <c r="F366" s="177" t="s">
        <v>351</v>
      </c>
      <c r="G366" s="129" t="s">
        <v>335</v>
      </c>
      <c r="H366" s="137">
        <v>0.91666666666666663</v>
      </c>
      <c r="I366" s="137">
        <v>0.2638888888888889</v>
      </c>
      <c r="J366" s="132"/>
      <c r="K366" s="133"/>
      <c r="L366" s="133">
        <f t="shared" si="20"/>
        <v>0</v>
      </c>
      <c r="M366" s="132">
        <v>3</v>
      </c>
      <c r="N366" s="133">
        <v>198.03</v>
      </c>
      <c r="O366" s="133">
        <f t="shared" si="21"/>
        <v>594.09</v>
      </c>
      <c r="P366" s="115"/>
      <c r="Q366" s="132"/>
      <c r="R366" s="132"/>
      <c r="S366" s="134"/>
      <c r="T366" s="134">
        <f>Tabela4[[#This Row],[Valor do contrato sem o equipamento]]/30.4375*3</f>
        <v>0</v>
      </c>
      <c r="U366" s="134">
        <f>Tabela4[[#This Row],[Valor contrato]]*(30.4375-Tabela4[[#This Row],[Dias inoperantes]])/30.4375</f>
        <v>0</v>
      </c>
      <c r="V366" s="116"/>
      <c r="W366" s="150"/>
      <c r="X366" s="140"/>
      <c r="Y366" s="123">
        <f>Tabela4[[#This Row],[Diferença]]*Tabela4[[#This Row],[Quantidade]]</f>
        <v>0</v>
      </c>
    </row>
    <row r="367" spans="2:25" ht="15" hidden="1" thickBot="1">
      <c r="B367" s="113" t="s">
        <v>19</v>
      </c>
      <c r="C367" s="113" t="s">
        <v>31</v>
      </c>
      <c r="D367" s="113" t="s">
        <v>40</v>
      </c>
      <c r="E367" s="114">
        <v>45870</v>
      </c>
      <c r="F367" s="177" t="s">
        <v>387</v>
      </c>
      <c r="G367" s="137" t="s">
        <v>333</v>
      </c>
      <c r="H367" s="137">
        <v>0.79166666666666663</v>
      </c>
      <c r="I367" s="137">
        <v>0.29166666666666669</v>
      </c>
      <c r="J367" s="132">
        <v>3.33</v>
      </c>
      <c r="K367" s="169">
        <v>22.67</v>
      </c>
      <c r="L367" s="169">
        <f t="shared" ref="L367:L376" si="22">J367*K367</f>
        <v>75.491100000000003</v>
      </c>
      <c r="M367" s="132">
        <v>0</v>
      </c>
      <c r="N367" s="169">
        <v>172.29</v>
      </c>
      <c r="O367" s="169">
        <f t="shared" ref="O367:O376" si="23">M367*N367</f>
        <v>0</v>
      </c>
      <c r="P367" s="115"/>
      <c r="Q367" s="132"/>
      <c r="R367" s="132"/>
      <c r="S367" s="134"/>
      <c r="T367" s="134">
        <f>Tabela4[[#This Row],[Valor do contrato sem o equipamento]]/30.4375*3</f>
        <v>0</v>
      </c>
      <c r="U367" s="134">
        <f>Tabela4[[#This Row],[Valor contrato]]*(30.4375-Tabela4[[#This Row],[Dias inoperantes]])/30.4375</f>
        <v>0</v>
      </c>
      <c r="V367" s="116"/>
      <c r="W367" s="150"/>
      <c r="X367" s="140"/>
      <c r="Y367" s="123">
        <f>Tabela4[[#This Row],[Diferença]]*Tabela4[[#This Row],[Quantidade]]</f>
        <v>0</v>
      </c>
    </row>
    <row r="368" spans="2:25" ht="15" hidden="1" thickBot="1">
      <c r="B368" s="113" t="s">
        <v>19</v>
      </c>
      <c r="C368" s="113" t="s">
        <v>31</v>
      </c>
      <c r="D368" s="113" t="s">
        <v>40</v>
      </c>
      <c r="E368" s="114">
        <v>45870</v>
      </c>
      <c r="F368" s="177" t="s">
        <v>361</v>
      </c>
      <c r="G368" s="137" t="s">
        <v>355</v>
      </c>
      <c r="H368" s="137">
        <v>0.33333333333333331</v>
      </c>
      <c r="I368" s="137">
        <v>0.7416666666666667</v>
      </c>
      <c r="J368" s="132">
        <v>6</v>
      </c>
      <c r="K368" s="169">
        <v>22.67</v>
      </c>
      <c r="L368" s="169">
        <f t="shared" si="22"/>
        <v>136.02000000000001</v>
      </c>
      <c r="M368" s="132">
        <v>0</v>
      </c>
      <c r="N368" s="169">
        <v>163.82</v>
      </c>
      <c r="O368" s="169">
        <f t="shared" si="23"/>
        <v>0</v>
      </c>
      <c r="P368" s="115"/>
      <c r="Q368" s="132"/>
      <c r="R368" s="132"/>
      <c r="S368" s="134"/>
      <c r="T368" s="134">
        <f>Tabela4[[#This Row],[Valor do contrato sem o equipamento]]/30.4375*3</f>
        <v>0</v>
      </c>
      <c r="U368" s="134">
        <f>Tabela4[[#This Row],[Valor contrato]]*(30.4375-Tabela4[[#This Row],[Dias inoperantes]])/30.4375</f>
        <v>0</v>
      </c>
      <c r="V368" s="116"/>
      <c r="W368" s="150"/>
      <c r="X368" s="140"/>
      <c r="Y368" s="123">
        <f>Tabela4[[#This Row],[Diferença]]*Tabela4[[#This Row],[Quantidade]]</f>
        <v>0</v>
      </c>
    </row>
    <row r="369" spans="2:25" ht="15" hidden="1" thickBot="1">
      <c r="B369" s="113" t="s">
        <v>19</v>
      </c>
      <c r="C369" s="113" t="s">
        <v>32</v>
      </c>
      <c r="D369" s="113" t="s">
        <v>40</v>
      </c>
      <c r="E369" s="114">
        <v>45870</v>
      </c>
      <c r="F369" s="177" t="s">
        <v>376</v>
      </c>
      <c r="G369" s="137" t="s">
        <v>333</v>
      </c>
      <c r="H369" s="137">
        <v>0.41666666666666669</v>
      </c>
      <c r="I369" s="137">
        <v>0.91666666666666663</v>
      </c>
      <c r="J369" s="132">
        <v>6</v>
      </c>
      <c r="K369" s="169">
        <v>27.38</v>
      </c>
      <c r="L369" s="169">
        <f t="shared" si="22"/>
        <v>164.28</v>
      </c>
      <c r="M369" s="132">
        <v>0</v>
      </c>
      <c r="N369" s="169">
        <v>197.9</v>
      </c>
      <c r="O369" s="169">
        <f t="shared" si="23"/>
        <v>0</v>
      </c>
      <c r="P369" s="115"/>
      <c r="Q369" s="115"/>
      <c r="R369" s="115"/>
      <c r="S369" s="134"/>
      <c r="T369" s="134">
        <f>Tabela4[[#This Row],[Valor do contrato sem o equipamento]]/30.4375*3</f>
        <v>0</v>
      </c>
      <c r="U369" s="134">
        <f>Tabela4[[#This Row],[Valor contrato]]*(30.4375-Tabela4[[#This Row],[Dias inoperantes]])/30.4375</f>
        <v>0</v>
      </c>
      <c r="V369" s="116"/>
      <c r="W369" s="150"/>
      <c r="X369" s="140"/>
      <c r="Y369" s="123">
        <f>Tabela4[[#This Row],[Diferença]]*Tabela4[[#This Row],[Quantidade]]</f>
        <v>0</v>
      </c>
    </row>
    <row r="370" spans="2:25" ht="15" hidden="1" thickBot="1">
      <c r="B370" s="113" t="s">
        <v>19</v>
      </c>
      <c r="C370" s="113" t="s">
        <v>28</v>
      </c>
      <c r="D370" s="113" t="s">
        <v>63</v>
      </c>
      <c r="E370" s="114">
        <v>45870</v>
      </c>
      <c r="F370" s="177" t="s">
        <v>414</v>
      </c>
      <c r="G370" s="137" t="s">
        <v>333</v>
      </c>
      <c r="H370" s="137">
        <v>0.83333333333333337</v>
      </c>
      <c r="I370" s="137">
        <v>0.33333333333333331</v>
      </c>
      <c r="J370" s="132">
        <v>0</v>
      </c>
      <c r="K370" s="169">
        <v>49.47</v>
      </c>
      <c r="L370" s="169">
        <f t="shared" si="22"/>
        <v>0</v>
      </c>
      <c r="M370" s="132">
        <v>1</v>
      </c>
      <c r="N370" s="169">
        <v>357.59</v>
      </c>
      <c r="O370" s="169">
        <f t="shared" si="23"/>
        <v>357.59</v>
      </c>
      <c r="P370" s="115"/>
      <c r="Q370" s="132"/>
      <c r="R370" s="132"/>
      <c r="S370" s="134"/>
      <c r="T370" s="134">
        <f>Tabela4[[#This Row],[Valor do contrato sem o equipamento]]/30.4375*3</f>
        <v>0</v>
      </c>
      <c r="U370" s="134">
        <f>Tabela4[[#This Row],[Valor contrato]]*(30.4375-Tabela4[[#This Row],[Dias inoperantes]])/30.4375</f>
        <v>0</v>
      </c>
      <c r="V370" s="116"/>
      <c r="W370" s="150"/>
      <c r="X370" s="140"/>
      <c r="Y370" s="123">
        <f>Tabela4[[#This Row],[Diferença]]*Tabela4[[#This Row],[Quantidade]]</f>
        <v>0</v>
      </c>
    </row>
    <row r="371" spans="2:25" ht="15" hidden="1" thickBot="1">
      <c r="B371" s="113" t="s">
        <v>19</v>
      </c>
      <c r="C371" s="113" t="s">
        <v>29</v>
      </c>
      <c r="D371" s="113" t="s">
        <v>39</v>
      </c>
      <c r="E371" s="114">
        <v>45870</v>
      </c>
      <c r="F371" s="131" t="s">
        <v>416</v>
      </c>
      <c r="G371" s="137" t="s">
        <v>377</v>
      </c>
      <c r="H371" s="137">
        <v>0.41666666666666669</v>
      </c>
      <c r="I371" s="137">
        <v>0.91666666666666663</v>
      </c>
      <c r="J371" s="132">
        <v>1.05</v>
      </c>
      <c r="K371" s="133">
        <v>20.97</v>
      </c>
      <c r="L371" s="169">
        <f t="shared" si="22"/>
        <v>22.0185</v>
      </c>
      <c r="M371" s="132"/>
      <c r="N371" s="133"/>
      <c r="O371" s="169">
        <f t="shared" si="23"/>
        <v>0</v>
      </c>
      <c r="P371" s="115"/>
      <c r="Q371" s="132"/>
      <c r="R371" s="132"/>
      <c r="S371" s="134"/>
      <c r="T371" s="134">
        <f>Tabela4[[#This Row],[Valor do contrato sem o equipamento]]/30.4375*3</f>
        <v>0</v>
      </c>
      <c r="U371" s="134">
        <f>Tabela4[[#This Row],[Valor contrato]]*(30.4375-Tabela4[[#This Row],[Dias inoperantes]])/30.4375</f>
        <v>0</v>
      </c>
      <c r="V371" s="116"/>
      <c r="W371" s="150"/>
      <c r="X371" s="140"/>
      <c r="Y371" s="123">
        <f>Tabela4[[#This Row],[Diferença]]*Tabela4[[#This Row],[Quantidade]]</f>
        <v>0</v>
      </c>
    </row>
    <row r="372" spans="2:25" ht="15" hidden="1" thickBot="1">
      <c r="B372" s="113" t="s">
        <v>19</v>
      </c>
      <c r="C372" s="113" t="s">
        <v>29</v>
      </c>
      <c r="D372" s="113" t="s">
        <v>39</v>
      </c>
      <c r="E372" s="114">
        <v>45870</v>
      </c>
      <c r="F372" s="131" t="s">
        <v>416</v>
      </c>
      <c r="G372" s="137" t="s">
        <v>377</v>
      </c>
      <c r="H372" s="137">
        <v>0.5</v>
      </c>
      <c r="I372" s="137">
        <v>0</v>
      </c>
      <c r="J372" s="132">
        <v>16.649999999999999</v>
      </c>
      <c r="K372" s="133">
        <v>21.62</v>
      </c>
      <c r="L372" s="169">
        <f t="shared" si="22"/>
        <v>359.97300000000001</v>
      </c>
      <c r="M372" s="132"/>
      <c r="N372" s="133"/>
      <c r="O372" s="169">
        <f t="shared" si="23"/>
        <v>0</v>
      </c>
      <c r="P372" s="115"/>
      <c r="Q372" s="132"/>
      <c r="R372" s="132"/>
      <c r="S372" s="134"/>
      <c r="T372" s="134">
        <f>Tabela4[[#This Row],[Valor do contrato sem o equipamento]]/30.4375*3</f>
        <v>0</v>
      </c>
      <c r="U372" s="134">
        <f>Tabela4[[#This Row],[Valor contrato]]*(30.4375-Tabela4[[#This Row],[Dias inoperantes]])/30.4375</f>
        <v>0</v>
      </c>
      <c r="V372" s="116"/>
      <c r="W372" s="150"/>
      <c r="X372" s="140"/>
      <c r="Y372" s="123">
        <f>Tabela4[[#This Row],[Diferença]]*Tabela4[[#This Row],[Quantidade]]</f>
        <v>0</v>
      </c>
    </row>
    <row r="373" spans="2:25" ht="15" hidden="1" thickBot="1">
      <c r="B373" s="113" t="s">
        <v>19</v>
      </c>
      <c r="C373" s="113" t="s">
        <v>28</v>
      </c>
      <c r="D373" s="113" t="s">
        <v>63</v>
      </c>
      <c r="E373" s="114">
        <v>45901</v>
      </c>
      <c r="F373" s="119" t="s">
        <v>414</v>
      </c>
      <c r="G373" s="137" t="s">
        <v>333</v>
      </c>
      <c r="H373" s="137">
        <v>0.5</v>
      </c>
      <c r="I373" s="137">
        <v>0</v>
      </c>
      <c r="J373" s="132">
        <v>8</v>
      </c>
      <c r="K373" s="169">
        <v>47</v>
      </c>
      <c r="L373" s="169">
        <f>J373*K373</f>
        <v>376</v>
      </c>
      <c r="M373" s="132">
        <v>0</v>
      </c>
      <c r="N373" s="169">
        <v>339.69</v>
      </c>
      <c r="O373" s="169">
        <f>M373*N373</f>
        <v>0</v>
      </c>
      <c r="P373" s="115"/>
      <c r="Q373" s="132"/>
      <c r="R373" s="132"/>
      <c r="S373" s="134"/>
      <c r="T373" s="134">
        <f>Tabela4[[#This Row],[Valor do contrato sem o equipamento]]/30.4375*3</f>
        <v>0</v>
      </c>
      <c r="U373" s="134">
        <f>Tabela4[[#This Row],[Valor contrato]]*(30.4375-Tabela4[[#This Row],[Dias inoperantes]])/30.4375</f>
        <v>0</v>
      </c>
      <c r="V373" s="116"/>
      <c r="W373" s="150"/>
      <c r="X373" s="140"/>
      <c r="Y373" s="123">
        <f>Tabela4[[#This Row],[Diferença]]*Tabela4[[#This Row],[Quantidade]]</f>
        <v>0</v>
      </c>
    </row>
    <row r="374" spans="2:25" ht="15" hidden="1" thickBot="1">
      <c r="B374" s="113" t="s">
        <v>19</v>
      </c>
      <c r="C374" s="113" t="s">
        <v>28</v>
      </c>
      <c r="D374" s="113" t="s">
        <v>63</v>
      </c>
      <c r="E374" s="114">
        <v>45901</v>
      </c>
      <c r="F374" s="119" t="s">
        <v>414</v>
      </c>
      <c r="G374" s="137" t="s">
        <v>333</v>
      </c>
      <c r="H374" s="137">
        <v>0.33333333333333331</v>
      </c>
      <c r="I374" s="137">
        <v>0.83333333333333337</v>
      </c>
      <c r="J374" s="132">
        <v>0</v>
      </c>
      <c r="K374" s="169">
        <v>47</v>
      </c>
      <c r="L374" s="169">
        <f>J374*K374</f>
        <v>0</v>
      </c>
      <c r="M374" s="132">
        <v>2</v>
      </c>
      <c r="N374" s="169">
        <v>339.69</v>
      </c>
      <c r="O374" s="169">
        <f>M374*N374</f>
        <v>679.38</v>
      </c>
      <c r="P374" s="115"/>
      <c r="Q374" s="132"/>
      <c r="R374" s="132"/>
      <c r="S374" s="134"/>
      <c r="T374" s="134">
        <f>Tabela4[[#This Row],[Valor do contrato sem o equipamento]]/30.4375*3</f>
        <v>0</v>
      </c>
      <c r="U374" s="134">
        <f>Tabela4[[#This Row],[Valor contrato]]*(30.4375-Tabela4[[#This Row],[Dias inoperantes]])/30.4375</f>
        <v>0</v>
      </c>
      <c r="V374" s="116"/>
      <c r="W374" s="150"/>
      <c r="X374" s="140"/>
      <c r="Y374" s="123">
        <f>Tabela4[[#This Row],[Diferença]]*Tabela4[[#This Row],[Quantidade]]</f>
        <v>0</v>
      </c>
    </row>
    <row r="375" spans="2:25" ht="15" hidden="1" thickBot="1">
      <c r="B375" s="113" t="s">
        <v>19</v>
      </c>
      <c r="C375" s="113" t="s">
        <v>28</v>
      </c>
      <c r="D375" s="113" t="s">
        <v>63</v>
      </c>
      <c r="E375" s="114">
        <v>45870</v>
      </c>
      <c r="F375" s="177" t="s">
        <v>414</v>
      </c>
      <c r="G375" s="137" t="s">
        <v>333</v>
      </c>
      <c r="H375" s="137">
        <v>0.33333333333333331</v>
      </c>
      <c r="I375" s="137">
        <v>0.83333333333333337</v>
      </c>
      <c r="J375" s="132">
        <v>0</v>
      </c>
      <c r="K375" s="169">
        <v>47</v>
      </c>
      <c r="L375" s="169">
        <f t="shared" si="22"/>
        <v>0</v>
      </c>
      <c r="M375" s="132">
        <v>1</v>
      </c>
      <c r="N375" s="169">
        <v>339.69</v>
      </c>
      <c r="O375" s="169">
        <f t="shared" si="23"/>
        <v>339.69</v>
      </c>
      <c r="P375" s="115"/>
      <c r="Q375" s="132"/>
      <c r="R375" s="132"/>
      <c r="S375" s="134"/>
      <c r="T375" s="134">
        <f>Tabela4[[#This Row],[Valor do contrato sem o equipamento]]/30.4375*3</f>
        <v>0</v>
      </c>
      <c r="U375" s="134">
        <f>Tabela4[[#This Row],[Valor contrato]]*(30.4375-Tabela4[[#This Row],[Dias inoperantes]])/30.4375</f>
        <v>0</v>
      </c>
      <c r="V375" s="116"/>
      <c r="W375" s="150"/>
      <c r="X375" s="140"/>
      <c r="Y375" s="123">
        <f>Tabela4[[#This Row],[Diferença]]*Tabela4[[#This Row],[Quantidade]]</f>
        <v>0</v>
      </c>
    </row>
    <row r="376" spans="2:25" ht="15" hidden="1" thickBot="1">
      <c r="B376" s="113" t="s">
        <v>19</v>
      </c>
      <c r="C376" s="113" t="s">
        <v>29</v>
      </c>
      <c r="D376" s="113" t="s">
        <v>39</v>
      </c>
      <c r="E376" s="114">
        <v>45870</v>
      </c>
      <c r="F376" s="131" t="s">
        <v>416</v>
      </c>
      <c r="G376" s="137" t="s">
        <v>399</v>
      </c>
      <c r="H376" s="137">
        <v>0.45833333333333331</v>
      </c>
      <c r="I376" s="137">
        <v>0.80555555555555558</v>
      </c>
      <c r="J376" s="132">
        <v>14.266666666666667</v>
      </c>
      <c r="K376" s="133">
        <v>23.86</v>
      </c>
      <c r="L376" s="169">
        <f t="shared" si="22"/>
        <v>340.40266666666668</v>
      </c>
      <c r="M376" s="132">
        <v>0</v>
      </c>
      <c r="N376" s="133">
        <v>172.43</v>
      </c>
      <c r="O376" s="169">
        <f t="shared" si="23"/>
        <v>0</v>
      </c>
      <c r="P376" s="115"/>
      <c r="Q376" s="132"/>
      <c r="R376" s="132"/>
      <c r="S376" s="134"/>
      <c r="T376" s="134">
        <f>Tabela4[[#This Row],[Valor do contrato sem o equipamento]]/30.4375*3</f>
        <v>0</v>
      </c>
      <c r="U376" s="134">
        <f>Tabela4[[#This Row],[Valor contrato]]*(30.4375-Tabela4[[#This Row],[Dias inoperantes]])/30.4375</f>
        <v>0</v>
      </c>
      <c r="V376" s="116"/>
      <c r="W376" s="150"/>
      <c r="X376" s="140"/>
      <c r="Y376" s="123">
        <f>Tabela4[[#This Row],[Diferença]]*Tabela4[[#This Row],[Quantidade]]</f>
        <v>0</v>
      </c>
    </row>
    <row r="377" spans="2:25" ht="15" hidden="1" thickBot="1">
      <c r="B377" s="113" t="s">
        <v>6</v>
      </c>
      <c r="C377" s="113" t="s">
        <v>30</v>
      </c>
      <c r="D377" s="113" t="s">
        <v>39</v>
      </c>
      <c r="E377" s="114">
        <v>45870</v>
      </c>
      <c r="F377" s="119" t="s">
        <v>428</v>
      </c>
      <c r="G377" s="137" t="s">
        <v>333</v>
      </c>
      <c r="H377" s="137">
        <v>0.41666666666666669</v>
      </c>
      <c r="I377" s="137">
        <v>0.91666666666666663</v>
      </c>
      <c r="J377" s="132"/>
      <c r="K377" s="133"/>
      <c r="L377" s="169">
        <f>J377*K377</f>
        <v>0</v>
      </c>
      <c r="M377" s="132">
        <v>9</v>
      </c>
      <c r="N377" s="169">
        <v>131.1</v>
      </c>
      <c r="O377" s="169">
        <f>M377*N377</f>
        <v>1179.8999999999999</v>
      </c>
      <c r="P377" s="115"/>
      <c r="Q377" s="132"/>
      <c r="R377" s="132"/>
      <c r="S377" s="134"/>
      <c r="T377" s="134">
        <f>Tabela4[[#This Row],[Valor do contrato sem o equipamento]]/30.4375*3</f>
        <v>0</v>
      </c>
      <c r="U377" s="134">
        <f>Tabela4[[#This Row],[Valor contrato]]*(30.4375-Tabela4[[#This Row],[Dias inoperantes]])/30.4375</f>
        <v>0</v>
      </c>
      <c r="V377" s="116"/>
      <c r="W377" s="150"/>
      <c r="X377" s="140"/>
      <c r="Y377" s="123">
        <f>Tabela4[[#This Row],[Diferença]]*Tabela4[[#This Row],[Quantidade]]</f>
        <v>0</v>
      </c>
    </row>
    <row r="378" spans="2:25" ht="12.65" hidden="1" customHeight="1" thickBot="1">
      <c r="B378" s="113" t="s">
        <v>6</v>
      </c>
      <c r="C378" s="113" t="s">
        <v>30</v>
      </c>
      <c r="D378" s="113" t="s">
        <v>39</v>
      </c>
      <c r="E378" s="114">
        <v>45870</v>
      </c>
      <c r="F378" s="119" t="s">
        <v>428</v>
      </c>
      <c r="G378" s="137" t="s">
        <v>429</v>
      </c>
      <c r="H378" s="137">
        <v>0.56944444444444442</v>
      </c>
      <c r="I378" s="137">
        <v>0.91666666666666663</v>
      </c>
      <c r="J378" s="132"/>
      <c r="K378" s="133"/>
      <c r="L378" s="169">
        <f>J378*K378</f>
        <v>0</v>
      </c>
      <c r="M378" s="132">
        <v>3</v>
      </c>
      <c r="N378" s="169">
        <v>141.97</v>
      </c>
      <c r="O378" s="169">
        <f>M378*N378</f>
        <v>425.90999999999997</v>
      </c>
      <c r="P378" s="115"/>
      <c r="Q378" s="132"/>
      <c r="R378" s="132"/>
      <c r="S378" s="134"/>
      <c r="T378" s="134">
        <f>Tabela4[[#This Row],[Valor do contrato sem o equipamento]]/30.4375*3</f>
        <v>0</v>
      </c>
      <c r="U378" s="134">
        <f>Tabela4[[#This Row],[Valor contrato]]*(30.4375-Tabela4[[#This Row],[Dias inoperantes]])/30.4375</f>
        <v>0</v>
      </c>
      <c r="V378" s="116"/>
      <c r="W378" s="150"/>
      <c r="X378" s="140"/>
      <c r="Y378" s="123">
        <f>Tabela4[[#This Row],[Diferença]]*Tabela4[[#This Row],[Quantidade]]</f>
        <v>0</v>
      </c>
    </row>
    <row r="379" spans="2:25" ht="15" hidden="1" thickBot="1">
      <c r="B379" s="113" t="s">
        <v>6</v>
      </c>
      <c r="C379" s="113" t="s">
        <v>30</v>
      </c>
      <c r="D379" s="113" t="s">
        <v>39</v>
      </c>
      <c r="E379" s="114">
        <v>45901</v>
      </c>
      <c r="F379" s="119" t="s">
        <v>351</v>
      </c>
      <c r="G379" s="137" t="s">
        <v>333</v>
      </c>
      <c r="H379" s="137">
        <v>0.41666666666666669</v>
      </c>
      <c r="I379" s="137">
        <v>0.91666666666666663</v>
      </c>
      <c r="J379" s="132">
        <v>0</v>
      </c>
      <c r="K379" s="169">
        <v>18.14</v>
      </c>
      <c r="L379" s="169">
        <f>J379*K379</f>
        <v>0</v>
      </c>
      <c r="M379" s="132">
        <v>5</v>
      </c>
      <c r="N379" s="169">
        <v>131.1</v>
      </c>
      <c r="O379" s="169">
        <f>M379*N379</f>
        <v>655.5</v>
      </c>
      <c r="P379" s="115"/>
      <c r="Q379" s="132"/>
      <c r="R379" s="132"/>
      <c r="S379" s="134"/>
      <c r="T379" s="134">
        <f>Tabela4[[#This Row],[Valor do contrato sem o equipamento]]/30.4375*3</f>
        <v>0</v>
      </c>
      <c r="U379" s="134">
        <f>Tabela4[[#This Row],[Valor contrato]]*(30.4375-Tabela4[[#This Row],[Dias inoperantes]])/30.4375</f>
        <v>0</v>
      </c>
      <c r="V379" s="116"/>
      <c r="W379" s="150"/>
      <c r="X379" s="140"/>
      <c r="Y379" s="123">
        <f>Tabela4[[#This Row],[Diferença]]*Tabela4[[#This Row],[Quantidade]]</f>
        <v>0</v>
      </c>
    </row>
    <row r="380" spans="2:25" ht="15" hidden="1" thickBot="1">
      <c r="B380" s="113" t="s">
        <v>6</v>
      </c>
      <c r="C380" s="113" t="s">
        <v>30</v>
      </c>
      <c r="D380" s="113" t="s">
        <v>39</v>
      </c>
      <c r="E380" s="114">
        <v>45901</v>
      </c>
      <c r="F380" s="119" t="s">
        <v>428</v>
      </c>
      <c r="G380" s="137" t="s">
        <v>429</v>
      </c>
      <c r="H380" s="137">
        <v>0.25</v>
      </c>
      <c r="I380" s="137">
        <v>0.59722222222222221</v>
      </c>
      <c r="J380" s="132">
        <v>0</v>
      </c>
      <c r="K380" s="169">
        <v>19.64</v>
      </c>
      <c r="L380" s="169">
        <f>J380*K380</f>
        <v>0</v>
      </c>
      <c r="M380" s="132">
        <v>16</v>
      </c>
      <c r="N380" s="169">
        <v>141.97</v>
      </c>
      <c r="O380" s="169">
        <f>M380*N380</f>
        <v>2271.52</v>
      </c>
      <c r="P380" s="115"/>
      <c r="Q380" s="132"/>
      <c r="R380" s="132"/>
      <c r="S380" s="134"/>
      <c r="T380" s="134">
        <f>Tabela4[[#This Row],[Valor do contrato sem o equipamento]]/30.4375*3</f>
        <v>0</v>
      </c>
      <c r="U380" s="134">
        <f>Tabela4[[#This Row],[Valor contrato]]*(30.4375-Tabela4[[#This Row],[Dias inoperantes]])/30.4375</f>
        <v>0</v>
      </c>
      <c r="V380" s="116"/>
      <c r="W380" s="150"/>
      <c r="X380" s="140"/>
      <c r="Y380" s="123">
        <f>Tabela4[[#This Row],[Diferença]]*Tabela4[[#This Row],[Quantidade]]</f>
        <v>0</v>
      </c>
    </row>
    <row r="381" spans="2:25" ht="22.4" hidden="1" customHeight="1" thickBot="1">
      <c r="B381" s="113" t="s">
        <v>6</v>
      </c>
      <c r="C381" s="113" t="s">
        <v>30</v>
      </c>
      <c r="D381" s="113" t="s">
        <v>39</v>
      </c>
      <c r="E381" s="114">
        <v>45870</v>
      </c>
      <c r="F381" s="119" t="s">
        <v>428</v>
      </c>
      <c r="G381" s="137" t="s">
        <v>429</v>
      </c>
      <c r="H381" s="137">
        <v>0.25</v>
      </c>
      <c r="I381" s="137">
        <v>0.59722222222222221</v>
      </c>
      <c r="J381" s="132"/>
      <c r="K381" s="133"/>
      <c r="L381" s="169">
        <f>J381*K381</f>
        <v>0</v>
      </c>
      <c r="M381" s="132">
        <v>11</v>
      </c>
      <c r="N381" s="169">
        <v>141.97</v>
      </c>
      <c r="O381" s="169">
        <f>M381*N381</f>
        <v>1561.67</v>
      </c>
      <c r="P381" s="115"/>
      <c r="Q381" s="132"/>
      <c r="R381" s="132"/>
      <c r="S381" s="134"/>
      <c r="T381" s="134">
        <f>Tabela4[[#This Row],[Valor do contrato sem o equipamento]]/30.4375*3</f>
        <v>0</v>
      </c>
      <c r="U381" s="134">
        <f>Tabela4[[#This Row],[Valor contrato]]*(30.4375-Tabela4[[#This Row],[Dias inoperantes]])/30.4375</f>
        <v>0</v>
      </c>
      <c r="V381" s="116"/>
      <c r="W381" s="150"/>
      <c r="X381" s="140"/>
      <c r="Y381" s="123">
        <f>Tabela4[[#This Row],[Diferença]]*Tabela4[[#This Row],[Quantidade]]</f>
        <v>0</v>
      </c>
    </row>
    <row r="382" spans="2:25" ht="22.4" hidden="1" customHeight="1" thickBot="1">
      <c r="B382" s="129" t="s">
        <v>11</v>
      </c>
      <c r="C382" s="129" t="s">
        <v>31</v>
      </c>
      <c r="D382" s="129" t="s">
        <v>40</v>
      </c>
      <c r="E382" s="114">
        <v>45870</v>
      </c>
      <c r="F382" s="131" t="s">
        <v>424</v>
      </c>
      <c r="G382" s="137" t="s">
        <v>333</v>
      </c>
      <c r="H382" s="137">
        <v>0.41666666666666669</v>
      </c>
      <c r="I382" s="137">
        <v>0.91666666666666663</v>
      </c>
      <c r="J382" s="132">
        <v>36.93333333333333</v>
      </c>
      <c r="K382" s="133">
        <v>20.96</v>
      </c>
      <c r="L382" s="133">
        <f t="shared" ref="L382" si="24">J382*K382</f>
        <v>774.12266666666665</v>
      </c>
      <c r="M382" s="132">
        <v>0</v>
      </c>
      <c r="N382" s="133">
        <v>151.51</v>
      </c>
      <c r="O382" s="133">
        <f t="shared" ref="O382" si="25">M382*N382</f>
        <v>0</v>
      </c>
      <c r="P382" s="115"/>
      <c r="Q382" s="132"/>
      <c r="R382" s="132"/>
      <c r="S382" s="134"/>
      <c r="T382" s="134">
        <f>Tabela4[[#This Row],[Valor do contrato sem o equipamento]]/30.4375*3</f>
        <v>0</v>
      </c>
      <c r="U382" s="134">
        <f>Tabela4[[#This Row],[Valor contrato]]*(30.4375-Tabela4[[#This Row],[Dias inoperantes]])/30.4375</f>
        <v>0</v>
      </c>
      <c r="V382" s="116"/>
      <c r="W382" s="150"/>
      <c r="X382" s="140"/>
      <c r="Y382" s="123">
        <f>Tabela4[[#This Row],[Diferença]]*Tabela4[[#This Row],[Quantidade]]</f>
        <v>0</v>
      </c>
    </row>
    <row r="383" spans="2:25" ht="22.4" hidden="1" customHeight="1" thickBot="1">
      <c r="B383" s="113" t="s">
        <v>11</v>
      </c>
      <c r="C383" s="113" t="s">
        <v>31</v>
      </c>
      <c r="D383" s="113" t="s">
        <v>40</v>
      </c>
      <c r="E383" s="114">
        <v>45901</v>
      </c>
      <c r="F383" s="119" t="s">
        <v>424</v>
      </c>
      <c r="G383" s="137" t="s">
        <v>333</v>
      </c>
      <c r="H383" s="137">
        <v>0.29166666666666669</v>
      </c>
      <c r="I383" s="137">
        <v>0.79166666666666663</v>
      </c>
      <c r="J383" s="132">
        <v>10.833333333333334</v>
      </c>
      <c r="K383" s="169">
        <v>21.04</v>
      </c>
      <c r="L383" s="169">
        <f>J383*K383</f>
        <v>227.93333333333334</v>
      </c>
      <c r="M383" s="132"/>
      <c r="N383" s="133">
        <v>152.11000000000001</v>
      </c>
      <c r="O383" s="169">
        <f>M383*N383</f>
        <v>0</v>
      </c>
      <c r="P383" s="115"/>
      <c r="Q383" s="132"/>
      <c r="R383" s="132"/>
      <c r="S383" s="134"/>
      <c r="T383" s="134">
        <f>Tabela4[[#This Row],[Valor do contrato sem o equipamento]]/30.4375*3</f>
        <v>0</v>
      </c>
      <c r="U383" s="134">
        <f>Tabela4[[#This Row],[Valor contrato]]*(30.4375-Tabela4[[#This Row],[Dias inoperantes]])/30.4375</f>
        <v>0</v>
      </c>
      <c r="V383" s="116"/>
      <c r="W383" s="150"/>
      <c r="X383" s="140"/>
      <c r="Y383" s="123">
        <f>Tabela4[[#This Row],[Diferença]]*Tabela4[[#This Row],[Quantidade]]</f>
        <v>0</v>
      </c>
    </row>
    <row r="384" spans="2:25" ht="22.4" hidden="1" customHeight="1" thickBot="1">
      <c r="B384" s="113" t="s">
        <v>11</v>
      </c>
      <c r="C384" s="113" t="s">
        <v>31</v>
      </c>
      <c r="D384" s="113" t="s">
        <v>40</v>
      </c>
      <c r="E384" s="114">
        <v>45901</v>
      </c>
      <c r="F384" s="131" t="s">
        <v>424</v>
      </c>
      <c r="G384" s="137" t="s">
        <v>333</v>
      </c>
      <c r="H384" s="137">
        <v>0.41666666666666669</v>
      </c>
      <c r="I384" s="137">
        <v>0.91666666666666663</v>
      </c>
      <c r="J384" s="132">
        <v>37.233333333333334</v>
      </c>
      <c r="K384" s="169">
        <v>21.04</v>
      </c>
      <c r="L384" s="169">
        <f>J384*K384</f>
        <v>783.3893333333333</v>
      </c>
      <c r="M384" s="132"/>
      <c r="N384" s="133">
        <v>152.11000000000001</v>
      </c>
      <c r="O384" s="169">
        <f>M384*N384</f>
        <v>0</v>
      </c>
      <c r="P384" s="115"/>
      <c r="Q384" s="132"/>
      <c r="R384" s="132"/>
      <c r="S384" s="134"/>
      <c r="T384" s="134">
        <f>Tabela4[[#This Row],[Valor do contrato sem o equipamento]]/30.4375*3</f>
        <v>0</v>
      </c>
      <c r="U384" s="134">
        <f>Tabela4[[#This Row],[Valor contrato]]*(30.4375-Tabela4[[#This Row],[Dias inoperantes]])/30.4375</f>
        <v>0</v>
      </c>
      <c r="V384" s="116"/>
      <c r="W384" s="150"/>
      <c r="X384" s="140"/>
      <c r="Y384" s="123">
        <f>Tabela4[[#This Row],[Diferença]]*Tabela4[[#This Row],[Quantidade]]</f>
        <v>0</v>
      </c>
    </row>
    <row r="385" spans="2:25" ht="22.4" hidden="1" customHeight="1" thickBot="1">
      <c r="B385" s="129" t="s">
        <v>11</v>
      </c>
      <c r="C385" s="129" t="s">
        <v>31</v>
      </c>
      <c r="D385" s="129" t="s">
        <v>40</v>
      </c>
      <c r="E385" s="114">
        <v>45870</v>
      </c>
      <c r="F385" s="131" t="s">
        <v>424</v>
      </c>
      <c r="G385" s="137" t="s">
        <v>355</v>
      </c>
      <c r="H385" s="137">
        <v>0.33333333333333331</v>
      </c>
      <c r="I385" s="137">
        <v>0.7416666666666667</v>
      </c>
      <c r="J385" s="132">
        <v>6.0333333333333332</v>
      </c>
      <c r="K385" s="133">
        <v>21.94</v>
      </c>
      <c r="L385" s="133">
        <f t="shared" ref="L385" si="26">J385*K385</f>
        <v>132.37133333333333</v>
      </c>
      <c r="M385" s="132">
        <v>0</v>
      </c>
      <c r="N385" s="133">
        <v>158.58000000000001</v>
      </c>
      <c r="O385" s="133">
        <f t="shared" ref="O385" si="27">M385*N385</f>
        <v>0</v>
      </c>
      <c r="P385" s="115"/>
      <c r="Q385" s="132"/>
      <c r="R385" s="132"/>
      <c r="S385" s="134"/>
      <c r="T385" s="134">
        <f>Tabela4[[#This Row],[Valor do contrato sem o equipamento]]/30.4375*3</f>
        <v>0</v>
      </c>
      <c r="U385" s="134">
        <f>Tabela4[[#This Row],[Valor contrato]]*(30.4375-Tabela4[[#This Row],[Dias inoperantes]])/30.4375</f>
        <v>0</v>
      </c>
      <c r="V385" s="116"/>
      <c r="W385" s="150"/>
      <c r="X385" s="140"/>
      <c r="Y385" s="123">
        <f>Tabela4[[#This Row],[Diferença]]*Tabela4[[#This Row],[Quantidade]]</f>
        <v>0</v>
      </c>
    </row>
    <row r="386" spans="2:25" ht="22.4" hidden="1" customHeight="1" thickBot="1">
      <c r="B386" s="113"/>
      <c r="C386" s="113"/>
      <c r="D386" s="113"/>
      <c r="E386" s="114"/>
      <c r="F386" s="119"/>
      <c r="G386" s="137"/>
      <c r="H386" s="137"/>
      <c r="I386" s="137"/>
      <c r="J386" s="132"/>
      <c r="K386" s="133"/>
      <c r="L386" s="169">
        <f t="shared" ref="L386:L389" si="28">J386*K386</f>
        <v>0</v>
      </c>
      <c r="M386" s="132"/>
      <c r="N386" s="133"/>
      <c r="O386" s="169">
        <f t="shared" ref="O386:O389" si="29">M386*N386</f>
        <v>0</v>
      </c>
      <c r="P386" s="115"/>
      <c r="Q386" s="132"/>
      <c r="R386" s="132"/>
      <c r="S386" s="134"/>
      <c r="T386" s="134">
        <f>Tabela4[[#This Row],[Valor do contrato sem o equipamento]]/30.4375*3</f>
        <v>0</v>
      </c>
      <c r="U386" s="134">
        <f>Tabela4[[#This Row],[Valor contrato]]*(30.4375-Tabela4[[#This Row],[Dias inoperantes]])/30.4375</f>
        <v>0</v>
      </c>
      <c r="V386" s="116"/>
      <c r="W386" s="150"/>
      <c r="X386" s="140"/>
      <c r="Y386" s="123">
        <f>Tabela4[[#This Row],[Diferença]]*Tabela4[[#This Row],[Quantidade]]</f>
        <v>0</v>
      </c>
    </row>
    <row r="387" spans="2:25" ht="22.4" hidden="1" customHeight="1" thickBot="1">
      <c r="B387" s="113"/>
      <c r="C387" s="113"/>
      <c r="D387" s="113"/>
      <c r="E387" s="114"/>
      <c r="F387" s="119"/>
      <c r="G387" s="137"/>
      <c r="H387" s="137"/>
      <c r="I387" s="137"/>
      <c r="J387" s="132"/>
      <c r="K387" s="133"/>
      <c r="L387" s="169">
        <f t="shared" si="28"/>
        <v>0</v>
      </c>
      <c r="M387" s="132"/>
      <c r="N387" s="133"/>
      <c r="O387" s="169">
        <f t="shared" si="29"/>
        <v>0</v>
      </c>
      <c r="P387" s="115"/>
      <c r="Q387" s="132"/>
      <c r="R387" s="132"/>
      <c r="S387" s="134"/>
      <c r="T387" s="134">
        <f>Tabela4[[#This Row],[Valor do contrato sem o equipamento]]/30.4375*3</f>
        <v>0</v>
      </c>
      <c r="U387" s="134">
        <f>Tabela4[[#This Row],[Valor contrato]]*(30.4375-Tabela4[[#This Row],[Dias inoperantes]])/30.4375</f>
        <v>0</v>
      </c>
      <c r="V387" s="116"/>
      <c r="W387" s="150"/>
      <c r="X387" s="140"/>
      <c r="Y387" s="123">
        <f>Tabela4[[#This Row],[Diferença]]*Tabela4[[#This Row],[Quantidade]]</f>
        <v>0</v>
      </c>
    </row>
    <row r="388" spans="2:25" ht="22.4" hidden="1" customHeight="1" thickBot="1">
      <c r="B388" s="113"/>
      <c r="C388" s="113"/>
      <c r="D388" s="113"/>
      <c r="E388" s="114"/>
      <c r="F388" s="119"/>
      <c r="G388" s="137"/>
      <c r="H388" s="137"/>
      <c r="I388" s="137"/>
      <c r="J388" s="132"/>
      <c r="K388" s="133"/>
      <c r="L388" s="169">
        <f t="shared" si="28"/>
        <v>0</v>
      </c>
      <c r="M388" s="132"/>
      <c r="N388" s="133"/>
      <c r="O388" s="169">
        <f t="shared" si="29"/>
        <v>0</v>
      </c>
      <c r="P388" s="115"/>
      <c r="Q388" s="132"/>
      <c r="R388" s="132"/>
      <c r="S388" s="134"/>
      <c r="T388" s="134">
        <f>Tabela4[[#This Row],[Valor do contrato sem o equipamento]]/30.4375*3</f>
        <v>0</v>
      </c>
      <c r="U388" s="134">
        <f>Tabela4[[#This Row],[Valor contrato]]*(30.4375-Tabela4[[#This Row],[Dias inoperantes]])/30.4375</f>
        <v>0</v>
      </c>
      <c r="V388" s="116"/>
      <c r="W388" s="150"/>
      <c r="X388" s="140"/>
      <c r="Y388" s="123">
        <f>Tabela4[[#This Row],[Diferença]]*Tabela4[[#This Row],[Quantidade]]</f>
        <v>0</v>
      </c>
    </row>
    <row r="389" spans="2:25" ht="22.4" hidden="1" customHeight="1" thickBot="1">
      <c r="B389" s="113"/>
      <c r="C389" s="113"/>
      <c r="D389" s="113"/>
      <c r="E389" s="114"/>
      <c r="F389" s="119"/>
      <c r="G389" s="137"/>
      <c r="H389" s="137"/>
      <c r="I389" s="137"/>
      <c r="J389" s="132"/>
      <c r="K389" s="133"/>
      <c r="L389" s="169">
        <f t="shared" si="28"/>
        <v>0</v>
      </c>
      <c r="M389" s="132"/>
      <c r="N389" s="133"/>
      <c r="O389" s="169">
        <f t="shared" si="29"/>
        <v>0</v>
      </c>
      <c r="P389" s="115"/>
      <c r="Q389" s="132"/>
      <c r="R389" s="132"/>
      <c r="S389" s="134"/>
      <c r="T389" s="134">
        <f>Tabela4[[#This Row],[Valor do contrato sem o equipamento]]/30.4375*3</f>
        <v>0</v>
      </c>
      <c r="U389" s="134">
        <f>Tabela4[[#This Row],[Valor contrato]]*(30.4375-Tabela4[[#This Row],[Dias inoperantes]])/30.4375</f>
        <v>0</v>
      </c>
      <c r="V389" s="116"/>
      <c r="W389" s="150"/>
      <c r="X389" s="140"/>
      <c r="Y389" s="123">
        <f>Tabela4[[#This Row],[Diferença]]*Tabela4[[#This Row],[Quantidade]]</f>
        <v>0</v>
      </c>
    </row>
    <row r="390" spans="2:25" ht="33" hidden="1" customHeight="1" thickBot="1">
      <c r="B390" s="113" t="s">
        <v>17</v>
      </c>
      <c r="C390" s="113" t="s">
        <v>30</v>
      </c>
      <c r="D390" s="113" t="s">
        <v>68</v>
      </c>
      <c r="E390" s="114">
        <v>45901</v>
      </c>
      <c r="F390" s="131" t="s">
        <v>351</v>
      </c>
      <c r="G390" s="137" t="s">
        <v>333</v>
      </c>
      <c r="H390" s="137">
        <v>0.41666666666666669</v>
      </c>
      <c r="I390" s="137">
        <v>0.91666666666666663</v>
      </c>
      <c r="J390" s="132">
        <v>0</v>
      </c>
      <c r="K390" s="169">
        <v>18.260000000000002</v>
      </c>
      <c r="L390" s="169">
        <f t="shared" ref="L390:L396" si="30">J390*K390</f>
        <v>0</v>
      </c>
      <c r="M390" s="132">
        <v>2</v>
      </c>
      <c r="N390" s="169">
        <v>132.01</v>
      </c>
      <c r="O390" s="169">
        <f t="shared" ref="O390:O396" si="31">M390*N390</f>
        <v>264.02</v>
      </c>
      <c r="P390" s="115"/>
      <c r="Q390" s="132"/>
      <c r="R390" s="132"/>
      <c r="S390" s="134"/>
      <c r="T390" s="134">
        <f>Tabela4[[#This Row],[Valor do contrato sem o equipamento]]/30.4375*3</f>
        <v>0</v>
      </c>
      <c r="U390" s="134">
        <f>Tabela4[[#This Row],[Valor contrato]]*(30.4375-Tabela4[[#This Row],[Dias inoperantes]])/30.4375</f>
        <v>0</v>
      </c>
      <c r="V390" s="116"/>
      <c r="W390" s="150"/>
      <c r="X390" s="140"/>
      <c r="Y390" s="123">
        <f>Tabela4[[#This Row],[Diferença]]*Tabela4[[#This Row],[Quantidade]]</f>
        <v>0</v>
      </c>
    </row>
    <row r="391" spans="2:25" ht="31.5" hidden="1" customHeight="1" thickBot="1">
      <c r="B391" s="113" t="s">
        <v>17</v>
      </c>
      <c r="C391" s="113" t="s">
        <v>30</v>
      </c>
      <c r="D391" s="113" t="s">
        <v>68</v>
      </c>
      <c r="E391" s="114">
        <v>45901</v>
      </c>
      <c r="F391" s="119" t="s">
        <v>351</v>
      </c>
      <c r="G391" s="137" t="s">
        <v>335</v>
      </c>
      <c r="H391" s="137">
        <v>0.25</v>
      </c>
      <c r="I391" s="137">
        <v>0.59722222222222221</v>
      </c>
      <c r="J391" s="132">
        <v>0</v>
      </c>
      <c r="K391" s="169">
        <v>19.96</v>
      </c>
      <c r="L391" s="169">
        <f t="shared" si="30"/>
        <v>0</v>
      </c>
      <c r="M391" s="132">
        <v>1</v>
      </c>
      <c r="N391" s="169">
        <v>144.29</v>
      </c>
      <c r="O391" s="169">
        <f t="shared" si="31"/>
        <v>144.29</v>
      </c>
      <c r="P391" s="115"/>
      <c r="Q391" s="132"/>
      <c r="R391" s="132"/>
      <c r="S391" s="134"/>
      <c r="T391" s="134">
        <f>Tabela4[[#This Row],[Valor do contrato sem o equipamento]]/30.4375*3</f>
        <v>0</v>
      </c>
      <c r="U391" s="134">
        <f>Tabela4[[#This Row],[Valor contrato]]*(30.4375-Tabela4[[#This Row],[Dias inoperantes]])/30.4375</f>
        <v>0</v>
      </c>
      <c r="V391" s="116"/>
      <c r="W391" s="150"/>
      <c r="X391" s="140"/>
      <c r="Y391" s="123">
        <f>Tabela4[[#This Row],[Diferença]]*Tabela4[[#This Row],[Quantidade]]</f>
        <v>0</v>
      </c>
    </row>
    <row r="392" spans="2:25" ht="28.5" hidden="1" customHeight="1" thickBot="1">
      <c r="B392" s="113" t="s">
        <v>17</v>
      </c>
      <c r="C392" s="113" t="s">
        <v>30</v>
      </c>
      <c r="D392" s="113" t="s">
        <v>68</v>
      </c>
      <c r="E392" s="114">
        <v>45901</v>
      </c>
      <c r="F392" s="119" t="s">
        <v>367</v>
      </c>
      <c r="G392" s="137" t="s">
        <v>333</v>
      </c>
      <c r="H392" s="137">
        <v>0.33333333333333331</v>
      </c>
      <c r="I392" s="137">
        <v>0.83333333333333337</v>
      </c>
      <c r="J392" s="132">
        <v>0</v>
      </c>
      <c r="K392" s="169">
        <v>21.45</v>
      </c>
      <c r="L392" s="169">
        <f t="shared" si="30"/>
        <v>0</v>
      </c>
      <c r="M392" s="132">
        <v>1</v>
      </c>
      <c r="N392" s="169">
        <v>155.07</v>
      </c>
      <c r="O392" s="169">
        <f t="shared" si="31"/>
        <v>155.07</v>
      </c>
      <c r="P392" s="115"/>
      <c r="Q392" s="132"/>
      <c r="R392" s="132"/>
      <c r="S392" s="134"/>
      <c r="T392" s="134">
        <f>Tabela4[[#This Row],[Valor do contrato sem o equipamento]]/30.4375*3</f>
        <v>0</v>
      </c>
      <c r="U392" s="134">
        <f>Tabela4[[#This Row],[Valor contrato]]*(30.4375-Tabela4[[#This Row],[Dias inoperantes]])/30.4375</f>
        <v>0</v>
      </c>
      <c r="V392" s="116"/>
      <c r="W392" s="150"/>
      <c r="X392" s="140"/>
      <c r="Y392" s="123">
        <f>Tabela4[[#This Row],[Diferença]]*Tabela4[[#This Row],[Quantidade]]</f>
        <v>0</v>
      </c>
    </row>
    <row r="393" spans="2:25" ht="29.15" hidden="1" customHeight="1" thickBot="1">
      <c r="B393" s="113" t="s">
        <v>17</v>
      </c>
      <c r="C393" s="113" t="s">
        <v>30</v>
      </c>
      <c r="D393" s="113" t="s">
        <v>68</v>
      </c>
      <c r="E393" s="114">
        <v>45901</v>
      </c>
      <c r="F393" s="119" t="s">
        <v>351</v>
      </c>
      <c r="G393" s="137" t="s">
        <v>335</v>
      </c>
      <c r="H393" s="137">
        <v>0.56944444444444442</v>
      </c>
      <c r="I393" s="137">
        <v>0.91666666666666663</v>
      </c>
      <c r="J393" s="132">
        <v>0</v>
      </c>
      <c r="K393" s="169">
        <v>19.96</v>
      </c>
      <c r="L393" s="169">
        <f t="shared" si="30"/>
        <v>0</v>
      </c>
      <c r="M393" s="132">
        <v>2</v>
      </c>
      <c r="N393" s="169">
        <v>144.29</v>
      </c>
      <c r="O393" s="169">
        <f t="shared" si="31"/>
        <v>288.58</v>
      </c>
      <c r="P393" s="115"/>
      <c r="Q393" s="132"/>
      <c r="R393" s="132"/>
      <c r="S393" s="134"/>
      <c r="T393" s="134">
        <f>Tabela4[[#This Row],[Valor do contrato sem o equipamento]]/30.4375*3</f>
        <v>0</v>
      </c>
      <c r="U393" s="134">
        <f>Tabela4[[#This Row],[Valor contrato]]*(30.4375-Tabela4[[#This Row],[Dias inoperantes]])/30.4375</f>
        <v>0</v>
      </c>
      <c r="V393" s="116"/>
      <c r="W393" s="150"/>
      <c r="X393" s="140"/>
      <c r="Y393" s="123">
        <f>Tabela4[[#This Row],[Diferença]]*Tabela4[[#This Row],[Quantidade]]</f>
        <v>0</v>
      </c>
    </row>
    <row r="394" spans="2:25" ht="26.75" hidden="1" customHeight="1" thickBot="1">
      <c r="B394" s="113" t="s">
        <v>11</v>
      </c>
      <c r="C394" s="113" t="s">
        <v>29</v>
      </c>
      <c r="D394" s="113" t="s">
        <v>80</v>
      </c>
      <c r="E394" s="114">
        <v>45901</v>
      </c>
      <c r="F394" s="119" t="s">
        <v>413</v>
      </c>
      <c r="G394" s="137" t="s">
        <v>333</v>
      </c>
      <c r="H394" s="137">
        <v>0.5</v>
      </c>
      <c r="I394" s="137">
        <v>0</v>
      </c>
      <c r="J394" s="132">
        <v>7.3833333333333337</v>
      </c>
      <c r="K394" s="169">
        <v>24.13</v>
      </c>
      <c r="L394" s="169">
        <f>J394*K394</f>
        <v>178.15983333333332</v>
      </c>
      <c r="M394" s="132">
        <v>0</v>
      </c>
      <c r="N394" s="169">
        <v>174.42</v>
      </c>
      <c r="O394" s="169">
        <f>M394*N394</f>
        <v>0</v>
      </c>
      <c r="P394" s="115"/>
      <c r="Q394" s="132"/>
      <c r="R394" s="132"/>
      <c r="S394" s="134"/>
      <c r="T394" s="134">
        <f>Tabela4[[#This Row],[Valor do contrato sem o equipamento]]/30.4375*3</f>
        <v>0</v>
      </c>
      <c r="U394" s="134">
        <f>Tabela4[[#This Row],[Valor contrato]]*(30.4375-Tabela4[[#This Row],[Dias inoperantes]])/30.4375</f>
        <v>0</v>
      </c>
      <c r="V394" s="116"/>
      <c r="W394" s="150"/>
      <c r="X394" s="140"/>
      <c r="Y394" s="123">
        <f>Tabela4[[#This Row],[Diferença]]*Tabela4[[#This Row],[Quantidade]]</f>
        <v>0</v>
      </c>
    </row>
    <row r="395" spans="2:25" ht="27" hidden="1" customHeight="1" thickBot="1">
      <c r="B395" s="113" t="s">
        <v>11</v>
      </c>
      <c r="C395" s="113" t="s">
        <v>29</v>
      </c>
      <c r="D395" s="113" t="s">
        <v>80</v>
      </c>
      <c r="E395" s="114">
        <v>45901</v>
      </c>
      <c r="F395" s="119" t="s">
        <v>413</v>
      </c>
      <c r="G395" s="137" t="s">
        <v>377</v>
      </c>
      <c r="H395" s="137">
        <v>0.33333333333333331</v>
      </c>
      <c r="I395" s="137">
        <v>0.83333333333333337</v>
      </c>
      <c r="J395" s="132">
        <v>1.4333333333333333</v>
      </c>
      <c r="K395" s="169">
        <v>23.35</v>
      </c>
      <c r="L395" s="169">
        <f>J395*K395</f>
        <v>33.468333333333334</v>
      </c>
      <c r="M395" s="132">
        <v>1</v>
      </c>
      <c r="N395" s="169">
        <v>168.77</v>
      </c>
      <c r="O395" s="169">
        <f>M395*N395</f>
        <v>168.77</v>
      </c>
      <c r="P395" s="115"/>
      <c r="Q395" s="132"/>
      <c r="R395" s="132"/>
      <c r="S395" s="134"/>
      <c r="T395" s="134">
        <f>Tabela4[[#This Row],[Valor do contrato sem o equipamento]]/30.4375*3</f>
        <v>0</v>
      </c>
      <c r="U395" s="134">
        <f>Tabela4[[#This Row],[Valor contrato]]*(30.4375-Tabela4[[#This Row],[Dias inoperantes]])/30.4375</f>
        <v>0</v>
      </c>
      <c r="V395" s="116"/>
      <c r="W395" s="150"/>
      <c r="X395" s="140"/>
      <c r="Y395" s="123">
        <f>Tabela4[[#This Row],[Diferença]]*Tabela4[[#This Row],[Quantidade]]</f>
        <v>0</v>
      </c>
    </row>
    <row r="396" spans="2:25" ht="0.65" hidden="1" customHeight="1" thickBot="1">
      <c r="B396" s="113" t="s">
        <v>11</v>
      </c>
      <c r="C396" s="113" t="s">
        <v>29</v>
      </c>
      <c r="D396" s="113" t="s">
        <v>80</v>
      </c>
      <c r="E396" s="114">
        <v>45901</v>
      </c>
      <c r="F396" s="119" t="s">
        <v>413</v>
      </c>
      <c r="G396" s="137" t="s">
        <v>430</v>
      </c>
      <c r="H396" s="137">
        <v>0.33333333333333331</v>
      </c>
      <c r="I396" s="137">
        <v>0.68055555555555558</v>
      </c>
      <c r="J396" s="132">
        <v>0.68333333333333335</v>
      </c>
      <c r="K396" s="169">
        <v>26.96</v>
      </c>
      <c r="L396" s="169">
        <f t="shared" si="30"/>
        <v>18.422666666666668</v>
      </c>
      <c r="M396" s="132">
        <v>0</v>
      </c>
      <c r="N396" s="169">
        <v>194.87</v>
      </c>
      <c r="O396" s="169">
        <f t="shared" si="31"/>
        <v>0</v>
      </c>
      <c r="P396" s="115"/>
      <c r="Q396" s="132"/>
      <c r="R396" s="132"/>
      <c r="S396" s="134"/>
      <c r="T396" s="134">
        <f>Tabela4[[#This Row],[Valor do contrato sem o equipamento]]/30.4375*3</f>
        <v>0</v>
      </c>
      <c r="U396" s="134">
        <f>Tabela4[[#This Row],[Valor contrato]]*(30.4375-Tabela4[[#This Row],[Dias inoperantes]])/30.4375</f>
        <v>0</v>
      </c>
      <c r="V396" s="116"/>
      <c r="W396" s="150"/>
      <c r="X396" s="140"/>
      <c r="Y396" s="123">
        <f>Tabela4[[#This Row],[Diferença]]*Tabela4[[#This Row],[Quantidade]]</f>
        <v>0</v>
      </c>
    </row>
    <row r="397" spans="2:25" ht="28.5" hidden="1" customHeight="1" thickBot="1">
      <c r="B397" s="113" t="s">
        <v>21</v>
      </c>
      <c r="C397" s="113" t="s">
        <v>31</v>
      </c>
      <c r="D397" s="113" t="s">
        <v>40</v>
      </c>
      <c r="E397" s="114">
        <v>45901</v>
      </c>
      <c r="F397" s="119" t="s">
        <v>424</v>
      </c>
      <c r="G397" s="137" t="s">
        <v>377</v>
      </c>
      <c r="H397" s="137">
        <v>0.45833333333333331</v>
      </c>
      <c r="I397" s="137">
        <v>0.95833333333333337</v>
      </c>
      <c r="J397" s="132">
        <v>8</v>
      </c>
      <c r="K397" s="169">
        <v>20.91</v>
      </c>
      <c r="L397" s="169">
        <f>J397*K397</f>
        <v>167.28</v>
      </c>
      <c r="M397" s="132">
        <v>0</v>
      </c>
      <c r="N397" s="169">
        <v>151.12</v>
      </c>
      <c r="O397" s="169">
        <f>M397*N397</f>
        <v>0</v>
      </c>
      <c r="P397" s="115"/>
      <c r="Q397" s="132"/>
      <c r="R397" s="132"/>
      <c r="S397" s="134"/>
      <c r="T397" s="134">
        <f>Tabela4[[#This Row],[Valor do contrato sem o equipamento]]/30.4375*3</f>
        <v>0</v>
      </c>
      <c r="U397" s="134">
        <f>Tabela4[[#This Row],[Valor contrato]]*(30.4375-Tabela4[[#This Row],[Dias inoperantes]])/30.4375</f>
        <v>0</v>
      </c>
      <c r="V397" s="116"/>
      <c r="W397" s="150"/>
      <c r="X397" s="140"/>
      <c r="Y397" s="123">
        <f>Tabela4[[#This Row],[Diferença]]*Tabela4[[#This Row],[Quantidade]]</f>
        <v>0</v>
      </c>
    </row>
    <row r="398" spans="2:25" ht="27" hidden="1" customHeight="1" thickBot="1">
      <c r="B398" s="113" t="s">
        <v>21</v>
      </c>
      <c r="C398" s="113" t="s">
        <v>31</v>
      </c>
      <c r="D398" s="113" t="s">
        <v>40</v>
      </c>
      <c r="E398" s="114">
        <v>45901</v>
      </c>
      <c r="F398" s="119" t="s">
        <v>424</v>
      </c>
      <c r="G398" s="137" t="s">
        <v>377</v>
      </c>
      <c r="H398" s="137">
        <v>0.25</v>
      </c>
      <c r="I398" s="137">
        <v>0.75</v>
      </c>
      <c r="J398" s="132">
        <v>17</v>
      </c>
      <c r="K398" s="169">
        <v>20.010000000000002</v>
      </c>
      <c r="L398" s="169">
        <f>J398*K398</f>
        <v>340.17</v>
      </c>
      <c r="M398" s="132">
        <v>0</v>
      </c>
      <c r="N398" s="169">
        <v>144.61000000000001</v>
      </c>
      <c r="O398" s="169">
        <f>M398*N398</f>
        <v>0</v>
      </c>
      <c r="P398" s="115"/>
      <c r="Q398" s="132"/>
      <c r="R398" s="132"/>
      <c r="S398" s="134"/>
      <c r="T398" s="134">
        <f>Tabela4[[#This Row],[Valor do contrato sem o equipamento]]/30.4375*3</f>
        <v>0</v>
      </c>
      <c r="U398" s="134">
        <f>Tabela4[[#This Row],[Valor contrato]]*(30.4375-Tabela4[[#This Row],[Dias inoperantes]])/30.4375</f>
        <v>0</v>
      </c>
      <c r="V398" s="116"/>
      <c r="W398" s="150"/>
      <c r="X398" s="140"/>
      <c r="Y398" s="123">
        <f>Tabela4[[#This Row],[Diferença]]*Tabela4[[#This Row],[Quantidade]]</f>
        <v>0</v>
      </c>
    </row>
    <row r="399" spans="2:25" ht="22.4" hidden="1" customHeight="1" thickBot="1">
      <c r="B399" s="113" t="s">
        <v>21</v>
      </c>
      <c r="C399" s="113" t="s">
        <v>31</v>
      </c>
      <c r="D399" s="113" t="s">
        <v>40</v>
      </c>
      <c r="E399" s="114">
        <v>45901</v>
      </c>
      <c r="F399" s="119" t="s">
        <v>424</v>
      </c>
      <c r="G399" s="137" t="s">
        <v>333</v>
      </c>
      <c r="H399" s="137">
        <v>0.29166666666666669</v>
      </c>
      <c r="I399" s="137">
        <v>0.79166666666666663</v>
      </c>
      <c r="J399" s="132">
        <v>0.5</v>
      </c>
      <c r="K399" s="169">
        <v>20.010000000000002</v>
      </c>
      <c r="L399" s="169">
        <f>Tabela4[[#This Row],[Valor hora atraso]]*Tabela4[[#This Row],[Quantidade de horas de atraso]]</f>
        <v>10.005000000000001</v>
      </c>
      <c r="M399" s="132">
        <v>0</v>
      </c>
      <c r="N399" s="169">
        <v>144.61000000000001</v>
      </c>
      <c r="O399" s="169">
        <f>M399*N399</f>
        <v>0</v>
      </c>
      <c r="P399" s="115"/>
      <c r="Q399" s="132"/>
      <c r="R399" s="132"/>
      <c r="S399" s="134"/>
      <c r="T399" s="134">
        <f>Tabela4[[#This Row],[Valor do contrato sem o equipamento]]/30.4375*3</f>
        <v>0</v>
      </c>
      <c r="U399" s="134">
        <f>Tabela4[[#This Row],[Valor contrato]]*(30.4375-Tabela4[[#This Row],[Dias inoperantes]])/30.4375</f>
        <v>0</v>
      </c>
      <c r="V399" s="116"/>
      <c r="W399" s="150"/>
      <c r="X399" s="140"/>
      <c r="Y399" s="123">
        <f>Tabela4[[#This Row],[Diferença]]*Tabela4[[#This Row],[Quantidade]]</f>
        <v>0</v>
      </c>
    </row>
    <row r="400" spans="2:25" ht="22.4" hidden="1" customHeight="1" thickBot="1">
      <c r="B400" s="113" t="s">
        <v>14</v>
      </c>
      <c r="C400" s="113" t="s">
        <v>32</v>
      </c>
      <c r="D400" s="113" t="s">
        <v>39</v>
      </c>
      <c r="E400" s="114">
        <v>45901</v>
      </c>
      <c r="F400" s="119" t="s">
        <v>376</v>
      </c>
      <c r="G400" s="137" t="s">
        <v>333</v>
      </c>
      <c r="H400" s="137">
        <v>0.41666666666666669</v>
      </c>
      <c r="I400" s="137">
        <v>0.91666666666666663</v>
      </c>
      <c r="J400" s="132">
        <v>25.5</v>
      </c>
      <c r="K400" s="133">
        <v>34.479999999999997</v>
      </c>
      <c r="L400" s="169">
        <f>J400*K400</f>
        <v>879.2399999999999</v>
      </c>
      <c r="M400" s="132">
        <v>8</v>
      </c>
      <c r="N400" s="133">
        <v>207.33</v>
      </c>
      <c r="O400" s="169">
        <f>M400*N400</f>
        <v>1658.64</v>
      </c>
      <c r="P400" s="115"/>
      <c r="Q400" s="132"/>
      <c r="R400" s="132"/>
      <c r="S400" s="134"/>
      <c r="T400" s="134">
        <f>Tabela4[[#This Row],[Valor do contrato sem o equipamento]]/30.4375*3</f>
        <v>0</v>
      </c>
      <c r="U400" s="134">
        <f>Tabela4[[#This Row],[Valor contrato]]*(30.4375-Tabela4[[#This Row],[Dias inoperantes]])/30.4375</f>
        <v>0</v>
      </c>
      <c r="V400" s="116"/>
      <c r="W400" s="150"/>
      <c r="X400" s="140"/>
      <c r="Y400" s="123">
        <f>Tabela4[[#This Row],[Diferença]]*Tabela4[[#This Row],[Quantidade]]</f>
        <v>0</v>
      </c>
    </row>
    <row r="401" spans="2:25" ht="22.4" hidden="1" customHeight="1" thickBot="1">
      <c r="B401" s="113" t="s">
        <v>14</v>
      </c>
      <c r="C401" s="113" t="s">
        <v>32</v>
      </c>
      <c r="D401" s="113" t="s">
        <v>39</v>
      </c>
      <c r="E401" s="114">
        <v>45901</v>
      </c>
      <c r="F401" s="119" t="s">
        <v>376</v>
      </c>
      <c r="G401" s="137" t="s">
        <v>386</v>
      </c>
      <c r="H401" s="137">
        <v>0.64583333333333337</v>
      </c>
      <c r="I401" s="137">
        <v>0</v>
      </c>
      <c r="J401" s="132">
        <v>22</v>
      </c>
      <c r="K401" s="133">
        <v>27.11</v>
      </c>
      <c r="L401" s="169">
        <f>J401*K401</f>
        <v>596.41999999999996</v>
      </c>
      <c r="M401" s="132">
        <v>0</v>
      </c>
      <c r="N401" s="133">
        <v>195.91</v>
      </c>
      <c r="O401" s="169">
        <f>M401*N401</f>
        <v>0</v>
      </c>
      <c r="P401" s="115"/>
      <c r="Q401" s="132"/>
      <c r="R401" s="132"/>
      <c r="S401" s="134"/>
      <c r="T401" s="134">
        <f>Tabela4[[#This Row],[Valor do contrato sem o equipamento]]/30.4375*3</f>
        <v>0</v>
      </c>
      <c r="U401" s="134">
        <f>Tabela4[[#This Row],[Valor contrato]]*(30.4375-Tabela4[[#This Row],[Dias inoperantes]])/30.4375</f>
        <v>0</v>
      </c>
      <c r="V401" s="116"/>
      <c r="W401" s="150"/>
      <c r="X401" s="140"/>
      <c r="Y401" s="123">
        <f>Tabela4[[#This Row],[Diferença]]*Tabela4[[#This Row],[Quantidade]]</f>
        <v>0</v>
      </c>
    </row>
    <row r="402" spans="2:25" ht="22.4" hidden="1" customHeight="1" thickBot="1">
      <c r="B402" s="113" t="s">
        <v>14</v>
      </c>
      <c r="C402" s="113" t="s">
        <v>32</v>
      </c>
      <c r="D402" s="113" t="s">
        <v>39</v>
      </c>
      <c r="E402" s="114">
        <v>45901</v>
      </c>
      <c r="F402" s="177" t="s">
        <v>383</v>
      </c>
      <c r="G402" s="137" t="s">
        <v>333</v>
      </c>
      <c r="H402" s="137">
        <v>0.29166666666666669</v>
      </c>
      <c r="I402" s="137">
        <v>0.79166666666666663</v>
      </c>
      <c r="J402" s="132">
        <v>0</v>
      </c>
      <c r="K402" s="133">
        <v>39.85</v>
      </c>
      <c r="L402" s="133">
        <f t="shared" ref="L402" si="32">J402*K402</f>
        <v>0</v>
      </c>
      <c r="M402" s="140">
        <v>2</v>
      </c>
      <c r="N402" s="133">
        <v>239.62</v>
      </c>
      <c r="O402" s="169">
        <f t="shared" ref="O402" si="33">M402*N402</f>
        <v>479.24</v>
      </c>
      <c r="P402" s="115"/>
      <c r="Q402" s="132"/>
      <c r="R402" s="132"/>
      <c r="S402" s="134"/>
      <c r="T402" s="134">
        <f>Tabela4[[#This Row],[Valor do contrato sem o equipamento]]/30.4375*3</f>
        <v>0</v>
      </c>
      <c r="U402" s="134">
        <f>Tabela4[[#This Row],[Valor contrato]]*(30.4375-Tabela4[[#This Row],[Dias inoperantes]])/30.4375</f>
        <v>0</v>
      </c>
      <c r="V402" s="116"/>
      <c r="W402" s="150"/>
      <c r="X402" s="140"/>
      <c r="Y402" s="123">
        <f>Tabela4[[#This Row],[Diferença]]*Tabela4[[#This Row],[Quantidade]]</f>
        <v>0</v>
      </c>
    </row>
    <row r="403" spans="2:25" ht="22.4" customHeight="1" thickBot="1">
      <c r="B403" s="113" t="s">
        <v>14</v>
      </c>
      <c r="C403" s="113" t="s">
        <v>31</v>
      </c>
      <c r="D403" s="113" t="s">
        <v>39</v>
      </c>
      <c r="E403" s="114">
        <v>45901</v>
      </c>
      <c r="F403" s="177" t="s">
        <v>361</v>
      </c>
      <c r="G403" s="137" t="s">
        <v>386</v>
      </c>
      <c r="H403" s="137">
        <v>0.65833333333333333</v>
      </c>
      <c r="I403" s="137">
        <v>0</v>
      </c>
      <c r="J403" s="132">
        <v>8</v>
      </c>
      <c r="K403" s="133">
        <v>21.34</v>
      </c>
      <c r="L403" s="135">
        <f>J403*K403</f>
        <v>170.72</v>
      </c>
      <c r="M403" s="140">
        <v>0</v>
      </c>
      <c r="N403" s="133">
        <v>138.44</v>
      </c>
      <c r="O403" s="135">
        <f>M403*N403</f>
        <v>0</v>
      </c>
      <c r="P403" s="115"/>
      <c r="Q403" s="132"/>
      <c r="R403" s="132"/>
      <c r="S403" s="134"/>
      <c r="T403" s="134">
        <f>Tabela4[[#This Row],[Valor do contrato sem o equipamento]]/30.4375*3</f>
        <v>0</v>
      </c>
      <c r="U403" s="134">
        <f>Tabela4[[#This Row],[Valor contrato]]*(30.4375-Tabela4[[#This Row],[Dias inoperantes]])/30.4375</f>
        <v>0</v>
      </c>
      <c r="V403" s="116"/>
      <c r="W403" s="150"/>
      <c r="X403" s="140"/>
      <c r="Y403" s="123">
        <f>Tabela4[[#This Row],[Diferença]]*Tabela4[[#This Row],[Quantidade]]</f>
        <v>0</v>
      </c>
    </row>
    <row r="404" spans="2:25" ht="22.4" customHeight="1" thickBot="1">
      <c r="B404" s="113" t="s">
        <v>14</v>
      </c>
      <c r="C404" s="113" t="s">
        <v>31</v>
      </c>
      <c r="D404" s="113" t="s">
        <v>39</v>
      </c>
      <c r="E404" s="114">
        <v>45901</v>
      </c>
      <c r="F404" s="177" t="s">
        <v>361</v>
      </c>
      <c r="G404" s="137" t="s">
        <v>386</v>
      </c>
      <c r="H404" s="137">
        <v>0.29166666666666669</v>
      </c>
      <c r="I404" s="137">
        <v>0.64583333333333337</v>
      </c>
      <c r="J404" s="132">
        <v>0</v>
      </c>
      <c r="K404" s="133">
        <v>18.309999999999999</v>
      </c>
      <c r="L404" s="135">
        <f>J404*K404</f>
        <v>0</v>
      </c>
      <c r="M404" s="140">
        <v>3</v>
      </c>
      <c r="N404" s="133">
        <v>132.32</v>
      </c>
      <c r="O404" s="135">
        <f>M404*N404</f>
        <v>396.96</v>
      </c>
      <c r="P404" s="115"/>
      <c r="Q404" s="132"/>
      <c r="R404" s="132"/>
      <c r="S404" s="134"/>
      <c r="T404" s="134">
        <f>Tabela4[[#This Row],[Valor do contrato sem o equipamento]]/30.4375*3</f>
        <v>0</v>
      </c>
      <c r="U404" s="134">
        <f>Tabela4[[#This Row],[Valor contrato]]*(30.4375-Tabela4[[#This Row],[Dias inoperantes]])/30.4375</f>
        <v>0</v>
      </c>
      <c r="V404" s="116"/>
      <c r="W404" s="150"/>
      <c r="X404" s="140"/>
      <c r="Y404" s="123">
        <f>Tabela4[[#This Row],[Diferença]]*Tabela4[[#This Row],[Quantidade]]</f>
        <v>0</v>
      </c>
    </row>
    <row r="405" spans="2:25" ht="22.4" customHeight="1" thickBot="1">
      <c r="B405" s="113" t="s">
        <v>14</v>
      </c>
      <c r="C405" s="113" t="s">
        <v>31</v>
      </c>
      <c r="D405" s="113" t="s">
        <v>39</v>
      </c>
      <c r="E405" s="114">
        <v>45901</v>
      </c>
      <c r="F405" s="129" t="s">
        <v>361</v>
      </c>
      <c r="G405" s="137" t="s">
        <v>333</v>
      </c>
      <c r="H405" s="137">
        <v>0.29166666666666669</v>
      </c>
      <c r="I405" s="137">
        <v>0.79166666666666663</v>
      </c>
      <c r="J405" s="132">
        <v>0</v>
      </c>
      <c r="K405" s="133">
        <v>23.03</v>
      </c>
      <c r="L405" s="135">
        <f t="shared" ref="L405" si="34">J405*K405</f>
        <v>0</v>
      </c>
      <c r="M405" s="140">
        <v>1</v>
      </c>
      <c r="N405" s="133">
        <v>138.44</v>
      </c>
      <c r="O405" s="135">
        <f t="shared" ref="O405" si="35">M405*N405</f>
        <v>138.44</v>
      </c>
      <c r="P405" s="115"/>
      <c r="Q405" s="132"/>
      <c r="R405" s="132"/>
      <c r="S405" s="134"/>
      <c r="T405" s="134">
        <f>Tabela4[[#This Row],[Valor do contrato sem o equipamento]]/30.4375*3</f>
        <v>0</v>
      </c>
      <c r="U405" s="134">
        <f>Tabela4[[#This Row],[Valor contrato]]*(30.4375-Tabela4[[#This Row],[Dias inoperantes]])/30.4375</f>
        <v>0</v>
      </c>
      <c r="V405" s="116"/>
      <c r="W405" s="150"/>
      <c r="X405" s="140"/>
      <c r="Y405" s="123">
        <f>Tabela4[[#This Row],[Diferença]]*Tabela4[[#This Row],[Quantidade]]</f>
        <v>0</v>
      </c>
    </row>
    <row r="406" spans="2:25" ht="22.4" customHeight="1" thickBot="1">
      <c r="B406" s="113" t="s">
        <v>14</v>
      </c>
      <c r="C406" s="113" t="s">
        <v>31</v>
      </c>
      <c r="D406" s="113" t="s">
        <v>39</v>
      </c>
      <c r="E406" s="114">
        <v>45901</v>
      </c>
      <c r="F406" s="177" t="s">
        <v>361</v>
      </c>
      <c r="G406" s="137" t="s">
        <v>333</v>
      </c>
      <c r="H406" s="137">
        <v>0.41666666666666669</v>
      </c>
      <c r="I406" s="137">
        <v>0.91666666666666663</v>
      </c>
      <c r="J406" s="132">
        <v>25</v>
      </c>
      <c r="K406" s="133">
        <v>23.03</v>
      </c>
      <c r="L406" s="135">
        <f>J406*K406</f>
        <v>575.75</v>
      </c>
      <c r="M406" s="140">
        <v>5</v>
      </c>
      <c r="N406" s="133">
        <v>138.44</v>
      </c>
      <c r="O406" s="135">
        <f>M406*N406</f>
        <v>692.2</v>
      </c>
      <c r="P406" s="115"/>
      <c r="Q406" s="132"/>
      <c r="R406" s="132"/>
      <c r="S406" s="134"/>
      <c r="T406" s="134">
        <f>Tabela4[[#This Row],[Valor do contrato sem o equipamento]]/30.4375*3</f>
        <v>0</v>
      </c>
      <c r="U406" s="134">
        <f>Tabela4[[#This Row],[Valor contrato]]*(30.4375-Tabela4[[#This Row],[Dias inoperantes]])/30.4375</f>
        <v>0</v>
      </c>
      <c r="V406" s="116"/>
      <c r="W406" s="150"/>
      <c r="X406" s="140"/>
      <c r="Y406" s="123">
        <f>Tabela4[[#This Row],[Diferença]]*Tabela4[[#This Row],[Quantidade]]</f>
        <v>0</v>
      </c>
    </row>
    <row r="407" spans="2:25" ht="22.4" customHeight="1" thickBot="1">
      <c r="B407" s="113" t="s">
        <v>14</v>
      </c>
      <c r="C407" s="113" t="s">
        <v>31</v>
      </c>
      <c r="D407" s="113" t="s">
        <v>39</v>
      </c>
      <c r="E407" s="114">
        <v>45901</v>
      </c>
      <c r="F407" s="129" t="s">
        <v>378</v>
      </c>
      <c r="G407" s="137" t="s">
        <v>333</v>
      </c>
      <c r="H407" s="137">
        <v>0.79166666666666663</v>
      </c>
      <c r="I407" s="137">
        <v>0.29166666666666669</v>
      </c>
      <c r="J407" s="132">
        <v>21</v>
      </c>
      <c r="K407" s="133">
        <v>25.81</v>
      </c>
      <c r="L407" s="135">
        <f t="shared" ref="L407" si="36">J407*K407</f>
        <v>542.01</v>
      </c>
      <c r="M407" s="140">
        <v>5</v>
      </c>
      <c r="N407" s="133">
        <v>155.19999999999999</v>
      </c>
      <c r="O407" s="135">
        <f t="shared" ref="O407" si="37">M407*N407</f>
        <v>776</v>
      </c>
      <c r="P407" s="115"/>
      <c r="Q407" s="132"/>
      <c r="R407" s="132"/>
      <c r="S407" s="134"/>
      <c r="T407" s="134">
        <f>Tabela4[[#This Row],[Valor do contrato sem o equipamento]]/30.4375*3</f>
        <v>0</v>
      </c>
      <c r="U407" s="134">
        <f>Tabela4[[#This Row],[Valor contrato]]*(30.4375-Tabela4[[#This Row],[Dias inoperantes]])/30.4375</f>
        <v>0</v>
      </c>
      <c r="V407" s="116"/>
      <c r="W407" s="150"/>
      <c r="X407" s="140"/>
      <c r="Y407" s="123">
        <f>Tabela4[[#This Row],[Diferença]]*Tabela4[[#This Row],[Quantidade]]</f>
        <v>0</v>
      </c>
    </row>
    <row r="408" spans="2:25" ht="15" thickBot="1">
      <c r="B408" s="166" t="s">
        <v>431</v>
      </c>
      <c r="C408" s="166"/>
      <c r="D408" s="166"/>
      <c r="E408" s="166"/>
      <c r="F408" s="167"/>
      <c r="G408" s="167"/>
      <c r="H408" s="167"/>
      <c r="I408" s="167"/>
      <c r="J408" s="170">
        <f>SUBTOTAL(109,Tabela4[Quantidade de horas de atraso])</f>
        <v>54</v>
      </c>
      <c r="K408" s="170"/>
      <c r="L408" s="168">
        <f>SUBTOTAL(109,Tabela4[Total atrasos])</f>
        <v>1288.48</v>
      </c>
      <c r="M408" s="170">
        <f>SUBTOTAL(109,Tabela4[Qtd de dias de faltas])</f>
        <v>14</v>
      </c>
      <c r="N408" s="168"/>
      <c r="O408" s="168">
        <f>SUBTOTAL(109,Tabela4[Total faltas])</f>
        <v>2003.6</v>
      </c>
      <c r="P408" s="166"/>
      <c r="Q408" s="166"/>
      <c r="R408" s="166"/>
      <c r="S408" s="166"/>
      <c r="T408" s="166"/>
      <c r="U408" s="166"/>
      <c r="V408" s="166"/>
      <c r="W408" s="166"/>
      <c r="X408" s="166"/>
      <c r="Y408" s="168">
        <f>SUBTOTAL(109,Tabela4[Desconto equipamentos])</f>
        <v>0</v>
      </c>
    </row>
    <row r="410" spans="2:25">
      <c r="H410" s="23"/>
      <c r="I410" s="23"/>
      <c r="K410" s="23"/>
      <c r="L410" s="23"/>
    </row>
    <row r="411" spans="2:25">
      <c r="H411" s="23"/>
      <c r="I411" s="23"/>
      <c r="K411" s="23"/>
      <c r="L411" s="23"/>
    </row>
    <row r="412" spans="2:25">
      <c r="H412" s="23"/>
      <c r="I412" s="23"/>
      <c r="K412" s="23"/>
      <c r="L412" s="23"/>
    </row>
    <row r="413" spans="2:25">
      <c r="F413" s="350"/>
      <c r="G413" s="350"/>
      <c r="H413" s="350"/>
      <c r="I413" s="352"/>
      <c r="K413" s="23"/>
      <c r="L413" s="23"/>
    </row>
    <row r="414" spans="2:25" ht="14.9" customHeight="1">
      <c r="F414" s="351"/>
      <c r="G414" s="351"/>
      <c r="H414" s="351"/>
      <c r="I414" s="353"/>
      <c r="K414" s="23"/>
      <c r="L414" s="23"/>
    </row>
  </sheetData>
  <mergeCells count="4">
    <mergeCell ref="F413:F414"/>
    <mergeCell ref="G413:G414"/>
    <mergeCell ref="H413:H414"/>
    <mergeCell ref="I413:I414"/>
  </mergeCells>
  <phoneticPr fontId="5" type="noConversion"/>
  <pageMargins left="0.511811024" right="0.511811024" top="0.78740157499999996" bottom="0.78740157499999996" header="0.31496062000000002" footer="0.31496062000000002"/>
  <drawing r:id="rId1"/>
  <tableParts count="1">
    <tablePart r:id="rId2"/>
  </tableParts>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769802C1-C2B1-44B6-AC02-59D62EC165DD}">
          <x14:formula1>
            <xm:f>Unidade!$A$2:$A$12</xm:f>
          </x14:formula1>
          <xm:sqref>B236:B389 B2:B233</xm:sqref>
        </x14:dataValidation>
        <x14:dataValidation type="list" allowBlank="1" showInputMessage="1" showErrorMessage="1" xr:uid="{6262E4F0-2727-4EE9-BCFF-FA9008216FA7}">
          <x14:formula1>
            <xm:f>'Categoria'!$A$2:$A$19</xm:f>
          </x14:formula1>
          <xm:sqref>C236:C389 C2:C233</xm:sqref>
        </x14:dataValidation>
        <x14:dataValidation type="list" allowBlank="1" showInputMessage="1" showErrorMessage="1" xr:uid="{91C0386A-319A-4AA7-9A13-F2A15544714C}">
          <x14:formula1>
            <xm:f>Fornecedor!$A$2:$A$91</xm:f>
          </x14:formula1>
          <xm:sqref>D236:D389 D2:D233</xm:sqref>
        </x14:dataValidation>
        <x14:dataValidation type="list" allowBlank="1" showInputMessage="1" showErrorMessage="1" xr:uid="{76EBC501-6138-45C7-B6BE-0CEEDEA72D27}">
          <x14:formula1>
            <xm:f>'Faturamento RJ'!$AA$2:$AA$964</xm:f>
          </x14:formula1>
          <xm:sqref>E236:E389 E2:E233</xm:sqref>
        </x14:dataValidation>
      </x14:dataValidations>
    </ex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115EC-26F5-4B79-91CE-2BC8A2EAB15F}">
  <sheetPr>
    <tabColor theme="4" tint="0.39997558519241921"/>
    <pageSetUpPr fitToPage="1"/>
  </sheetPr>
  <dimension ref="A1:T93"/>
  <sheetViews>
    <sheetView showGridLines="0" zoomScale="85" zoomScaleNormal="85" workbookViewId="0">
      <pane xSplit="1" topLeftCell="B1" activePane="topRight" state="frozen"/>
      <selection activeCell="C164" sqref="C164"/>
      <selection pane="topRight" activeCell="E5" sqref="E5"/>
    </sheetView>
  </sheetViews>
  <sheetFormatPr defaultRowHeight="14.5"/>
  <cols>
    <col min="1" max="1" width="28.6328125" style="143" customWidth="1"/>
    <col min="2" max="2" width="22.453125" style="8" customWidth="1"/>
    <col min="3" max="3" width="23.453125" style="8" customWidth="1"/>
    <col min="4" max="4" width="19.453125" style="8" customWidth="1"/>
    <col min="5" max="5" width="19.453125" style="58" customWidth="1"/>
    <col min="6" max="7" width="19.453125" style="8" customWidth="1"/>
    <col min="8" max="9" width="19.453125" style="24" customWidth="1"/>
    <col min="10" max="10" width="19.453125" style="8" customWidth="1"/>
    <col min="11" max="11" width="14.54296875" style="8" bestFit="1" customWidth="1"/>
    <col min="12" max="12" width="19.6328125" style="8" customWidth="1"/>
    <col min="13" max="13" width="15.453125" style="8" customWidth="1"/>
    <col min="14" max="14" width="14.54296875" style="8" customWidth="1"/>
    <col min="15" max="15" width="22.453125" style="8" customWidth="1"/>
    <col min="16" max="16" width="20.6328125" style="8" customWidth="1"/>
    <col min="17" max="17" width="22.6328125" style="8" customWidth="1"/>
    <col min="18" max="18" width="18" style="8" customWidth="1"/>
    <col min="19" max="19" width="35.453125" style="8" customWidth="1"/>
    <col min="20" max="20" width="72.36328125" customWidth="1"/>
  </cols>
  <sheetData>
    <row r="1" spans="1:20" s="8" customFormat="1" ht="71.900000000000006" customHeight="1">
      <c r="A1" s="181"/>
      <c r="B1" s="71" t="s">
        <v>27</v>
      </c>
      <c r="C1" s="71" t="s">
        <v>0</v>
      </c>
      <c r="D1" s="71" t="s">
        <v>22</v>
      </c>
      <c r="E1" s="72" t="s">
        <v>432</v>
      </c>
      <c r="F1" s="71" t="s">
        <v>433</v>
      </c>
      <c r="G1" s="71" t="s">
        <v>434</v>
      </c>
      <c r="H1" s="70" t="s">
        <v>435</v>
      </c>
      <c r="I1" s="70" t="s">
        <v>436</v>
      </c>
      <c r="J1" s="71" t="s">
        <v>437</v>
      </c>
      <c r="K1" s="71" t="s">
        <v>438</v>
      </c>
      <c r="L1" s="71" t="s">
        <v>439</v>
      </c>
      <c r="M1" s="71" t="s">
        <v>440</v>
      </c>
      <c r="N1" s="71" t="s">
        <v>329</v>
      </c>
      <c r="O1" s="70" t="s">
        <v>441</v>
      </c>
      <c r="P1" s="71" t="s">
        <v>442</v>
      </c>
      <c r="Q1" s="71" t="s">
        <v>443</v>
      </c>
      <c r="R1" s="71" t="s">
        <v>444</v>
      </c>
      <c r="S1" s="82" t="s">
        <v>445</v>
      </c>
      <c r="T1" s="71" t="s">
        <v>446</v>
      </c>
    </row>
    <row r="2" spans="1:20" ht="21.65" customHeight="1">
      <c r="B2" s="67" t="s">
        <v>39</v>
      </c>
      <c r="C2" s="52" t="s">
        <v>6</v>
      </c>
      <c r="D2" s="52" t="s">
        <v>30</v>
      </c>
      <c r="E2" s="53">
        <v>45805</v>
      </c>
      <c r="F2" s="53">
        <v>45717</v>
      </c>
      <c r="G2" s="52" t="s">
        <v>447</v>
      </c>
      <c r="H2" s="56">
        <v>298159.67</v>
      </c>
      <c r="I2" s="56">
        <v>340580.15157694573</v>
      </c>
      <c r="J2" s="54">
        <f t="shared" ref="J2:J33" si="0">IFERROR(IF(H2&gt;0,I2-H2,""),"")</f>
        <v>42420.481576945749</v>
      </c>
      <c r="K2" s="55">
        <f t="shared" ref="K2:K33" si="1">IFERROR(IF(J2&gt;0,J2/H2,""),"")</f>
        <v>0.14227437794301875</v>
      </c>
      <c r="L2" s="54">
        <v>127261.44</v>
      </c>
      <c r="M2" s="54">
        <v>126534.36</v>
      </c>
      <c r="N2" s="54">
        <f t="shared" ref="N2:N33" si="2">L2-M2</f>
        <v>727.08000000000175</v>
      </c>
      <c r="O2" s="54">
        <v>340787.92867127818</v>
      </c>
      <c r="P2" s="54">
        <v>340580.15157694573</v>
      </c>
      <c r="Q2" s="54">
        <f t="shared" ref="Q2:Q33" si="3">O2-P2</f>
        <v>207.77709433244308</v>
      </c>
      <c r="R2" s="54">
        <f t="shared" ref="R2:R33" si="4">Q2*12</f>
        <v>2493.325131989317</v>
      </c>
      <c r="S2" s="81" t="s">
        <v>448</v>
      </c>
      <c r="T2" s="100"/>
    </row>
    <row r="3" spans="1:20" ht="21.65" customHeight="1">
      <c r="B3" s="67" t="s">
        <v>40</v>
      </c>
      <c r="C3" s="52" t="s">
        <v>6</v>
      </c>
      <c r="D3" s="52" t="s">
        <v>32</v>
      </c>
      <c r="E3" s="53">
        <v>45748</v>
      </c>
      <c r="F3" s="53">
        <v>45658</v>
      </c>
      <c r="G3" s="52" t="s">
        <v>447</v>
      </c>
      <c r="H3" s="56">
        <v>128043.16</v>
      </c>
      <c r="I3" s="54">
        <v>133633.18</v>
      </c>
      <c r="J3" s="54">
        <f t="shared" si="0"/>
        <v>5590.0199999999895</v>
      </c>
      <c r="K3" s="55">
        <f t="shared" si="1"/>
        <v>4.3657310550598634E-2</v>
      </c>
      <c r="L3" s="54">
        <f>4123.47*2</f>
        <v>8246.94</v>
      </c>
      <c r="M3" s="54">
        <v>2565.17</v>
      </c>
      <c r="N3" s="54">
        <f t="shared" si="2"/>
        <v>5681.77</v>
      </c>
      <c r="O3" s="54">
        <v>137756.65</v>
      </c>
      <c r="P3" s="54">
        <f>I3</f>
        <v>133633.18</v>
      </c>
      <c r="Q3" s="54">
        <f t="shared" si="3"/>
        <v>4123.4700000000012</v>
      </c>
      <c r="R3" s="54">
        <f t="shared" si="4"/>
        <v>49481.640000000014</v>
      </c>
      <c r="S3" s="81" t="s">
        <v>449</v>
      </c>
      <c r="T3" s="54"/>
    </row>
    <row r="4" spans="1:20" ht="21.65" customHeight="1">
      <c r="B4" s="67" t="s">
        <v>40</v>
      </c>
      <c r="C4" s="52" t="s">
        <v>6</v>
      </c>
      <c r="D4" s="52" t="s">
        <v>25</v>
      </c>
      <c r="E4" s="53">
        <v>45881</v>
      </c>
      <c r="F4" s="53">
        <v>45717</v>
      </c>
      <c r="G4" s="52" t="s">
        <v>447</v>
      </c>
      <c r="H4" s="56">
        <v>130282.08021869701</v>
      </c>
      <c r="I4" s="56">
        <v>136485.22734573303</v>
      </c>
      <c r="J4" s="54">
        <f t="shared" si="0"/>
        <v>6203.1471270360198</v>
      </c>
      <c r="K4" s="55">
        <f t="shared" si="1"/>
        <v>4.7613202956409313E-2</v>
      </c>
      <c r="L4" s="54">
        <f>4299.4*5</f>
        <v>21497</v>
      </c>
      <c r="M4" s="54">
        <v>22454.699688302542</v>
      </c>
      <c r="N4" s="54">
        <f t="shared" si="2"/>
        <v>-957.6996883025422</v>
      </c>
      <c r="O4" s="54">
        <v>137483.25</v>
      </c>
      <c r="P4" s="56">
        <v>136485.22734573303</v>
      </c>
      <c r="Q4" s="54">
        <f t="shared" si="3"/>
        <v>998.02265426696977</v>
      </c>
      <c r="R4" s="54">
        <f t="shared" si="4"/>
        <v>11976.271851203637</v>
      </c>
      <c r="S4" s="81"/>
      <c r="T4" s="54"/>
    </row>
    <row r="5" spans="1:20" ht="21.65" customHeight="1">
      <c r="B5" s="67" t="s">
        <v>40</v>
      </c>
      <c r="C5" s="52" t="s">
        <v>6</v>
      </c>
      <c r="D5" s="52" t="s">
        <v>25</v>
      </c>
      <c r="E5" s="53">
        <v>45881</v>
      </c>
      <c r="F5" s="53">
        <v>45778</v>
      </c>
      <c r="G5" s="52" t="s">
        <v>447</v>
      </c>
      <c r="H5" s="56">
        <v>136485.22734573303</v>
      </c>
      <c r="I5" s="56">
        <v>137066.54655046307</v>
      </c>
      <c r="J5" s="54">
        <f t="shared" si="0"/>
        <v>581.31920473003993</v>
      </c>
      <c r="K5" s="55">
        <f t="shared" si="1"/>
        <v>4.2592097037541686E-3</v>
      </c>
      <c r="L5" s="54">
        <v>0</v>
      </c>
      <c r="M5" s="54">
        <v>0</v>
      </c>
      <c r="N5" s="54">
        <f t="shared" si="2"/>
        <v>0</v>
      </c>
      <c r="O5" s="54">
        <v>136531.92000000001</v>
      </c>
      <c r="P5" s="56">
        <v>137066.54655046307</v>
      </c>
      <c r="Q5" s="54">
        <f t="shared" si="3"/>
        <v>-534.62655046305736</v>
      </c>
      <c r="R5" s="54">
        <f t="shared" si="4"/>
        <v>-6415.5186055566883</v>
      </c>
      <c r="S5" s="81"/>
      <c r="T5" s="54"/>
    </row>
    <row r="6" spans="1:20" ht="21.65" customHeight="1">
      <c r="B6" s="67" t="s">
        <v>40</v>
      </c>
      <c r="C6" s="52" t="s">
        <v>6</v>
      </c>
      <c r="D6" s="52" t="s">
        <v>26</v>
      </c>
      <c r="E6" s="53">
        <v>45881</v>
      </c>
      <c r="F6" s="53">
        <v>45717</v>
      </c>
      <c r="G6" s="52" t="s">
        <v>447</v>
      </c>
      <c r="H6" s="56">
        <v>26027.65</v>
      </c>
      <c r="I6" s="56">
        <v>27309.402769064829</v>
      </c>
      <c r="J6" s="54">
        <f t="shared" si="0"/>
        <v>1281.7527690648276</v>
      </c>
      <c r="K6" s="55">
        <f t="shared" si="1"/>
        <v>4.9245812398154558E-2</v>
      </c>
      <c r="L6" s="54">
        <v>0</v>
      </c>
      <c r="M6" s="54">
        <v>0</v>
      </c>
      <c r="N6" s="54">
        <f t="shared" si="2"/>
        <v>0</v>
      </c>
      <c r="O6" s="54">
        <v>27274.25</v>
      </c>
      <c r="P6" s="56">
        <v>27309.402769064829</v>
      </c>
      <c r="Q6" s="54">
        <f t="shared" si="3"/>
        <v>-35.152769064829045</v>
      </c>
      <c r="R6" s="54">
        <f t="shared" si="4"/>
        <v>-421.83322877794853</v>
      </c>
      <c r="S6" s="81"/>
      <c r="T6" s="54"/>
    </row>
    <row r="7" spans="1:20" ht="21.65" customHeight="1">
      <c r="B7" s="67" t="s">
        <v>40</v>
      </c>
      <c r="C7" s="52" t="s">
        <v>6</v>
      </c>
      <c r="D7" s="52" t="s">
        <v>26</v>
      </c>
      <c r="E7" s="53">
        <v>45881</v>
      </c>
      <c r="F7" s="53">
        <v>45778</v>
      </c>
      <c r="G7" s="52" t="s">
        <v>447</v>
      </c>
      <c r="H7" s="56">
        <v>27309.402769064829</v>
      </c>
      <c r="I7" s="56">
        <v>27438.271612041444</v>
      </c>
      <c r="J7" s="54">
        <f t="shared" si="0"/>
        <v>128.86884297661527</v>
      </c>
      <c r="K7" s="55">
        <f t="shared" si="1"/>
        <v>4.7188451562402362E-3</v>
      </c>
      <c r="L7" s="54">
        <v>0</v>
      </c>
      <c r="M7" s="54">
        <v>0</v>
      </c>
      <c r="N7" s="54">
        <f t="shared" si="2"/>
        <v>0</v>
      </c>
      <c r="O7" s="54">
        <v>27460.73</v>
      </c>
      <c r="P7" s="56">
        <v>27438.271612041444</v>
      </c>
      <c r="Q7" s="54">
        <f t="shared" si="3"/>
        <v>22.458387958555249</v>
      </c>
      <c r="R7" s="54">
        <f t="shared" si="4"/>
        <v>269.50065550266299</v>
      </c>
      <c r="S7" s="81"/>
      <c r="T7" s="54"/>
    </row>
    <row r="8" spans="1:20" ht="21.65" customHeight="1">
      <c r="B8" s="67" t="s">
        <v>39</v>
      </c>
      <c r="C8" s="52" t="s">
        <v>6</v>
      </c>
      <c r="D8" s="52" t="s">
        <v>35</v>
      </c>
      <c r="E8" s="53">
        <v>45805</v>
      </c>
      <c r="F8" s="53">
        <v>45717</v>
      </c>
      <c r="G8" s="52" t="s">
        <v>447</v>
      </c>
      <c r="H8" s="56">
        <v>11606.082142577594</v>
      </c>
      <c r="I8" s="56">
        <v>12461.141519566572</v>
      </c>
      <c r="J8" s="54">
        <f t="shared" si="0"/>
        <v>855.05937698897833</v>
      </c>
      <c r="K8" s="55">
        <f t="shared" si="1"/>
        <v>7.3673386633387919E-2</v>
      </c>
      <c r="L8" s="54">
        <v>2565.1717635431578</v>
      </c>
      <c r="M8" s="54">
        <v>2565.1717635431578</v>
      </c>
      <c r="N8" s="54">
        <f t="shared" si="2"/>
        <v>0</v>
      </c>
      <c r="O8" s="54">
        <v>12459.82</v>
      </c>
      <c r="P8" s="54">
        <v>12461.141519566572</v>
      </c>
      <c r="Q8" s="54">
        <f t="shared" si="3"/>
        <v>-1.3215195665725332</v>
      </c>
      <c r="R8" s="54">
        <f t="shared" si="4"/>
        <v>-15.858234798870399</v>
      </c>
      <c r="S8" s="81" t="s">
        <v>448</v>
      </c>
      <c r="T8" s="54"/>
    </row>
    <row r="9" spans="1:20" ht="21.65" customHeight="1">
      <c r="B9" s="67" t="s">
        <v>39</v>
      </c>
      <c r="C9" s="52" t="s">
        <v>6</v>
      </c>
      <c r="D9" s="52" t="s">
        <v>164</v>
      </c>
      <c r="E9" s="53">
        <v>45805</v>
      </c>
      <c r="F9" s="53">
        <v>45717</v>
      </c>
      <c r="G9" s="52" t="s">
        <v>447</v>
      </c>
      <c r="H9" s="56">
        <v>5521.76</v>
      </c>
      <c r="I9" s="56">
        <v>6254.8923681827418</v>
      </c>
      <c r="J9" s="54">
        <f t="shared" si="0"/>
        <v>733.13236818274163</v>
      </c>
      <c r="K9" s="55">
        <f t="shared" si="1"/>
        <v>0.13277150187308787</v>
      </c>
      <c r="L9" s="54">
        <v>0</v>
      </c>
      <c r="M9" s="54">
        <v>0</v>
      </c>
      <c r="N9" s="54">
        <f t="shared" si="2"/>
        <v>0</v>
      </c>
      <c r="O9" s="54">
        <v>6259.9</v>
      </c>
      <c r="P9" s="54">
        <v>6254.8923681827418</v>
      </c>
      <c r="Q9" s="54">
        <f t="shared" si="3"/>
        <v>5.0076318172577885</v>
      </c>
      <c r="R9" s="54">
        <f t="shared" si="4"/>
        <v>60.091581807093462</v>
      </c>
      <c r="S9" s="81" t="s">
        <v>448</v>
      </c>
      <c r="T9" s="54"/>
    </row>
    <row r="10" spans="1:20" ht="21.65" customHeight="1">
      <c r="B10" s="67" t="s">
        <v>40</v>
      </c>
      <c r="C10" s="52" t="s">
        <v>6</v>
      </c>
      <c r="D10" s="52" t="s">
        <v>31</v>
      </c>
      <c r="E10" s="53">
        <v>45849</v>
      </c>
      <c r="F10" s="53">
        <v>45717</v>
      </c>
      <c r="G10" s="52" t="s">
        <v>447</v>
      </c>
      <c r="H10" s="56">
        <v>138986.87043479815</v>
      </c>
      <c r="I10" s="56">
        <v>149200.67571439603</v>
      </c>
      <c r="J10" s="54">
        <f t="shared" si="0"/>
        <v>10213.805279597873</v>
      </c>
      <c r="K10" s="55">
        <f t="shared" si="1"/>
        <v>7.3487554958577159E-2</v>
      </c>
      <c r="L10" s="54">
        <v>54473.64</v>
      </c>
      <c r="M10" s="54">
        <v>51069.026238228107</v>
      </c>
      <c r="N10" s="54">
        <f t="shared" si="2"/>
        <v>3404.6137617718923</v>
      </c>
      <c r="O10" s="54">
        <v>149226.50779283329</v>
      </c>
      <c r="P10" s="54">
        <v>149200.67571439603</v>
      </c>
      <c r="Q10" s="54">
        <f t="shared" si="3"/>
        <v>25.83207843726268</v>
      </c>
      <c r="R10" s="54">
        <f t="shared" si="4"/>
        <v>309.98494124715216</v>
      </c>
      <c r="S10" s="81"/>
      <c r="T10" s="54"/>
    </row>
    <row r="11" spans="1:20" ht="21.65" customHeight="1">
      <c r="B11" s="67" t="s">
        <v>37</v>
      </c>
      <c r="C11" s="52" t="s">
        <v>6</v>
      </c>
      <c r="D11" s="52" t="s">
        <v>28</v>
      </c>
      <c r="E11" s="53">
        <v>45863</v>
      </c>
      <c r="F11" s="53">
        <v>45717</v>
      </c>
      <c r="G11" s="52" t="s">
        <v>447</v>
      </c>
      <c r="H11" s="56">
        <v>77251.408817750009</v>
      </c>
      <c r="I11" s="54">
        <v>81671.16</v>
      </c>
      <c r="J11" s="54">
        <f t="shared" si="0"/>
        <v>4419.7511822499946</v>
      </c>
      <c r="K11" s="55">
        <f t="shared" si="1"/>
        <v>5.7212564144648599E-2</v>
      </c>
      <c r="L11" s="54">
        <v>22098.76</v>
      </c>
      <c r="M11" s="54">
        <v>22098.76</v>
      </c>
      <c r="N11" s="54">
        <f t="shared" si="2"/>
        <v>0</v>
      </c>
      <c r="O11" s="54">
        <v>81671.16</v>
      </c>
      <c r="P11" s="54">
        <v>81671.16</v>
      </c>
      <c r="Q11" s="54">
        <f t="shared" si="3"/>
        <v>0</v>
      </c>
      <c r="R11" s="54">
        <f t="shared" si="4"/>
        <v>0</v>
      </c>
      <c r="S11" s="81"/>
      <c r="T11" s="54"/>
    </row>
    <row r="12" spans="1:20" ht="21.65" hidden="1" customHeight="1">
      <c r="B12" s="67" t="s">
        <v>40</v>
      </c>
      <c r="C12" s="52" t="s">
        <v>11</v>
      </c>
      <c r="D12" s="52" t="s">
        <v>32</v>
      </c>
      <c r="E12" s="53">
        <v>45689</v>
      </c>
      <c r="F12" s="53">
        <v>45658</v>
      </c>
      <c r="G12" s="52" t="s">
        <v>447</v>
      </c>
      <c r="H12" s="56">
        <v>119669.68</v>
      </c>
      <c r="I12" s="56">
        <v>125752.91066769751</v>
      </c>
      <c r="J12" s="54">
        <f t="shared" si="0"/>
        <v>6083.2306676975131</v>
      </c>
      <c r="K12" s="55">
        <f t="shared" si="1"/>
        <v>5.0833516624240273E-2</v>
      </c>
      <c r="L12" s="54">
        <v>6940.8</v>
      </c>
      <c r="M12" s="54">
        <v>6083.2306676975131</v>
      </c>
      <c r="N12" s="54">
        <f t="shared" si="2"/>
        <v>857.56933230248706</v>
      </c>
      <c r="O12" s="54">
        <v>126610.84</v>
      </c>
      <c r="P12" s="54">
        <f>I12</f>
        <v>125752.91066769751</v>
      </c>
      <c r="Q12" s="54">
        <f t="shared" si="3"/>
        <v>857.92933230249037</v>
      </c>
      <c r="R12" s="54">
        <f t="shared" si="4"/>
        <v>10295.151987629884</v>
      </c>
      <c r="S12" s="81" t="s">
        <v>449</v>
      </c>
      <c r="T12" s="54"/>
    </row>
    <row r="13" spans="1:20" ht="21.65" hidden="1" customHeight="1">
      <c r="B13" s="67" t="s">
        <v>56</v>
      </c>
      <c r="C13" s="52" t="s">
        <v>11</v>
      </c>
      <c r="D13" s="52" t="s">
        <v>30</v>
      </c>
      <c r="E13" s="53">
        <v>45806</v>
      </c>
      <c r="F13" s="53">
        <v>45717</v>
      </c>
      <c r="G13" s="52" t="s">
        <v>447</v>
      </c>
      <c r="H13" s="56">
        <v>257308.28061597658</v>
      </c>
      <c r="I13" s="56">
        <v>304741.5880962782</v>
      </c>
      <c r="J13" s="146">
        <f t="shared" si="0"/>
        <v>47433.307480301621</v>
      </c>
      <c r="K13" s="55">
        <f t="shared" si="1"/>
        <v>0.18434427126383135</v>
      </c>
      <c r="L13" s="54">
        <v>93822.46</v>
      </c>
      <c r="M13" s="54">
        <v>93822.46</v>
      </c>
      <c r="N13" s="54">
        <f t="shared" si="2"/>
        <v>0</v>
      </c>
      <c r="O13" s="54">
        <v>304822.83</v>
      </c>
      <c r="P13" s="54">
        <v>304741.5880962782</v>
      </c>
      <c r="Q13" s="54">
        <f t="shared" si="3"/>
        <v>81.241903721820563</v>
      </c>
      <c r="R13" s="54">
        <f t="shared" si="4"/>
        <v>974.90284466184676</v>
      </c>
      <c r="S13" s="81" t="s">
        <v>448</v>
      </c>
      <c r="T13" s="54"/>
    </row>
    <row r="14" spans="1:20" ht="21.65" hidden="1" customHeight="1">
      <c r="B14" s="67" t="s">
        <v>56</v>
      </c>
      <c r="C14" s="52" t="s">
        <v>11</v>
      </c>
      <c r="D14" s="52" t="s">
        <v>35</v>
      </c>
      <c r="E14" s="53">
        <v>45806</v>
      </c>
      <c r="F14" s="53">
        <v>45717</v>
      </c>
      <c r="G14" s="52" t="s">
        <v>447</v>
      </c>
      <c r="H14" s="56">
        <v>32285.474905129413</v>
      </c>
      <c r="I14" s="56">
        <v>34666.010151130125</v>
      </c>
      <c r="J14" s="146">
        <f t="shared" si="0"/>
        <v>2380.5352460007125</v>
      </c>
      <c r="K14" s="55">
        <f t="shared" si="1"/>
        <v>7.3733939271325405E-2</v>
      </c>
      <c r="L14" s="54">
        <v>4761.07</v>
      </c>
      <c r="M14" s="54">
        <v>4761.07</v>
      </c>
      <c r="N14" s="54">
        <f t="shared" si="2"/>
        <v>0</v>
      </c>
      <c r="O14" s="54">
        <v>34672.01</v>
      </c>
      <c r="P14" s="54">
        <v>34666.010151130125</v>
      </c>
      <c r="Q14" s="54">
        <f t="shared" si="3"/>
        <v>5.9998488698765868</v>
      </c>
      <c r="R14" s="54">
        <f t="shared" si="4"/>
        <v>71.998186438519042</v>
      </c>
      <c r="S14" s="81" t="s">
        <v>448</v>
      </c>
      <c r="T14" s="54"/>
    </row>
    <row r="15" spans="1:20" ht="21.65" hidden="1" customHeight="1">
      <c r="B15" s="67" t="s">
        <v>40</v>
      </c>
      <c r="C15" s="52" t="s">
        <v>11</v>
      </c>
      <c r="D15" s="52" t="s">
        <v>31</v>
      </c>
      <c r="E15" s="53">
        <v>45840</v>
      </c>
      <c r="F15" s="53">
        <v>45717</v>
      </c>
      <c r="G15" s="52" t="s">
        <v>447</v>
      </c>
      <c r="H15" s="56">
        <v>113217.49</v>
      </c>
      <c r="I15" s="56">
        <v>121624.34723530685</v>
      </c>
      <c r="J15" s="54">
        <f t="shared" si="0"/>
        <v>8406.8572353068448</v>
      </c>
      <c r="K15" s="55">
        <f t="shared" si="1"/>
        <v>7.425405063569987E-2</v>
      </c>
      <c r="L15" s="54">
        <f>3*8491.31</f>
        <v>25473.93</v>
      </c>
      <c r="M15" s="54">
        <v>25187.059534</v>
      </c>
      <c r="N15" s="54">
        <f t="shared" si="2"/>
        <v>286.87046600000031</v>
      </c>
      <c r="O15" s="54">
        <v>27438.271612041444</v>
      </c>
      <c r="P15" s="54">
        <v>121624.347235307</v>
      </c>
      <c r="Q15" s="54">
        <f t="shared" si="3"/>
        <v>-94186.075623265555</v>
      </c>
      <c r="R15" s="54">
        <f t="shared" si="4"/>
        <v>-1130232.9074791865</v>
      </c>
      <c r="S15" s="81"/>
      <c r="T15" s="54"/>
    </row>
    <row r="16" spans="1:20" ht="21.65" hidden="1" customHeight="1">
      <c r="B16" s="67" t="s">
        <v>37</v>
      </c>
      <c r="C16" s="52" t="s">
        <v>11</v>
      </c>
      <c r="D16" s="52" t="s">
        <v>28</v>
      </c>
      <c r="E16" s="53">
        <v>45904</v>
      </c>
      <c r="F16" s="53">
        <v>45717</v>
      </c>
      <c r="G16" s="52" t="s">
        <v>447</v>
      </c>
      <c r="H16" s="56">
        <v>102093.61</v>
      </c>
      <c r="I16" s="56">
        <v>108075.2394945534</v>
      </c>
      <c r="J16" s="54">
        <f t="shared" si="0"/>
        <v>5981.6294945534028</v>
      </c>
      <c r="K16" s="55">
        <f t="shared" si="1"/>
        <v>5.8589656047556775E-2</v>
      </c>
      <c r="L16" s="54">
        <v>29838.943128733314</v>
      </c>
      <c r="M16" s="54">
        <v>29838.943128733314</v>
      </c>
      <c r="N16" s="54">
        <f t="shared" si="2"/>
        <v>0</v>
      </c>
      <c r="O16" s="56">
        <v>108075.2394945534</v>
      </c>
      <c r="P16" s="56">
        <v>108075.2394945534</v>
      </c>
      <c r="Q16" s="54">
        <f t="shared" si="3"/>
        <v>0</v>
      </c>
      <c r="R16" s="54">
        <f t="shared" si="4"/>
        <v>0</v>
      </c>
      <c r="S16" s="81"/>
      <c r="T16" s="54"/>
    </row>
    <row r="17" spans="2:20" ht="21.65" hidden="1" customHeight="1">
      <c r="B17" s="67" t="s">
        <v>40</v>
      </c>
      <c r="C17" s="52" t="s">
        <v>12</v>
      </c>
      <c r="D17" s="52" t="s">
        <v>32</v>
      </c>
      <c r="E17" s="53">
        <v>45658</v>
      </c>
      <c r="F17" s="53">
        <v>45658</v>
      </c>
      <c r="G17" s="52" t="s">
        <v>447</v>
      </c>
      <c r="H17" s="56">
        <v>89516.65</v>
      </c>
      <c r="I17" s="56">
        <v>93557.128160152613</v>
      </c>
      <c r="J17" s="54">
        <f t="shared" si="0"/>
        <v>4040.4781601526192</v>
      </c>
      <c r="K17" s="55">
        <f t="shared" si="1"/>
        <v>4.5136610453503562E-2</v>
      </c>
      <c r="L17" s="54">
        <f>M17</f>
        <v>12121.434480457858</v>
      </c>
      <c r="M17" s="54">
        <f>J17*3</f>
        <v>12121.434480457858</v>
      </c>
      <c r="N17" s="54">
        <f t="shared" si="2"/>
        <v>0</v>
      </c>
      <c r="O17" s="54">
        <v>96467.18</v>
      </c>
      <c r="P17" s="54">
        <f>I17</f>
        <v>93557.128160152613</v>
      </c>
      <c r="Q17" s="54">
        <f t="shared" si="3"/>
        <v>2910.0518398473796</v>
      </c>
      <c r="R17" s="54">
        <f t="shared" si="4"/>
        <v>34920.622078168555</v>
      </c>
      <c r="S17" s="81" t="s">
        <v>449</v>
      </c>
      <c r="T17" s="54"/>
    </row>
    <row r="18" spans="2:20" ht="21.65" hidden="1" customHeight="1">
      <c r="B18" s="74" t="s">
        <v>56</v>
      </c>
      <c r="C18" s="75" t="s">
        <v>12</v>
      </c>
      <c r="D18" s="75" t="s">
        <v>30</v>
      </c>
      <c r="E18" s="53">
        <v>45846</v>
      </c>
      <c r="F18" s="76">
        <v>45748</v>
      </c>
      <c r="G18" s="75" t="s">
        <v>447</v>
      </c>
      <c r="H18" s="83">
        <v>166100.88</v>
      </c>
      <c r="I18" s="83">
        <v>176776.13229000001</v>
      </c>
      <c r="J18" s="84">
        <f t="shared" si="0"/>
        <v>10675.252290000004</v>
      </c>
      <c r="K18" s="78">
        <f t="shared" si="1"/>
        <v>6.4269691346608177E-2</v>
      </c>
      <c r="L18" s="84">
        <f>21996.3*2</f>
        <v>43992.6</v>
      </c>
      <c r="M18" s="84">
        <v>21202.662012999994</v>
      </c>
      <c r="N18" s="84">
        <f t="shared" si="2"/>
        <v>22789.937987000005</v>
      </c>
      <c r="O18" s="84">
        <v>188097.18</v>
      </c>
      <c r="P18" s="84">
        <v>176776.13229000001</v>
      </c>
      <c r="Q18" s="84">
        <f t="shared" si="3"/>
        <v>11321.047709999984</v>
      </c>
      <c r="R18" s="84">
        <f t="shared" si="4"/>
        <v>135852.57251999981</v>
      </c>
      <c r="S18" s="81" t="s">
        <v>450</v>
      </c>
      <c r="T18" s="54"/>
    </row>
    <row r="19" spans="2:20" ht="21.65" hidden="1" customHeight="1">
      <c r="B19" s="74" t="s">
        <v>56</v>
      </c>
      <c r="C19" s="74" t="s">
        <v>12</v>
      </c>
      <c r="D19" s="75" t="s">
        <v>35</v>
      </c>
      <c r="E19" s="53">
        <v>45846</v>
      </c>
      <c r="F19" s="76">
        <v>45748</v>
      </c>
      <c r="G19" s="75" t="s">
        <v>447</v>
      </c>
      <c r="H19" s="83">
        <v>10811.867598000001</v>
      </c>
      <c r="I19" s="83">
        <v>11571.458334999999</v>
      </c>
      <c r="J19" s="84">
        <f t="shared" si="0"/>
        <v>759.59073699999863</v>
      </c>
      <c r="K19" s="78">
        <f t="shared" si="1"/>
        <v>7.0255275521549032E-2</v>
      </c>
      <c r="L19" s="84">
        <f>1095.082402*2</f>
        <v>2190.164804</v>
      </c>
      <c r="M19" s="84">
        <v>1505.7637564344805</v>
      </c>
      <c r="N19" s="84">
        <f t="shared" si="2"/>
        <v>684.40104756551955</v>
      </c>
      <c r="O19" s="84">
        <v>11906.95</v>
      </c>
      <c r="P19" s="84">
        <v>11571.458334999999</v>
      </c>
      <c r="Q19" s="84">
        <f t="shared" si="3"/>
        <v>335.49166500000138</v>
      </c>
      <c r="R19" s="84">
        <f t="shared" si="4"/>
        <v>4025.8999800000165</v>
      </c>
      <c r="S19" s="85" t="s">
        <v>450</v>
      </c>
      <c r="T19" s="54" t="s">
        <v>451</v>
      </c>
    </row>
    <row r="20" spans="2:20" ht="21.65" hidden="1" customHeight="1">
      <c r="B20" s="74" t="s">
        <v>40</v>
      </c>
      <c r="C20" s="75" t="s">
        <v>12</v>
      </c>
      <c r="D20" s="75" t="s">
        <v>25</v>
      </c>
      <c r="E20" s="53">
        <v>45856</v>
      </c>
      <c r="F20" s="76">
        <v>45717</v>
      </c>
      <c r="G20" s="75" t="s">
        <v>447</v>
      </c>
      <c r="H20" s="83">
        <v>81239.447934159994</v>
      </c>
      <c r="I20" s="83">
        <f>Reajuste[[#This Row],[Valor 2025
Revisão Atlas]]</f>
        <v>84667.172278900005</v>
      </c>
      <c r="J20" s="84">
        <f t="shared" si="0"/>
        <v>3427.7243447400106</v>
      </c>
      <c r="K20" s="78">
        <f t="shared" si="1"/>
        <v>4.2192856203527973E-2</v>
      </c>
      <c r="L20" s="84">
        <v>0</v>
      </c>
      <c r="M20" s="84">
        <v>0</v>
      </c>
      <c r="N20" s="84">
        <f t="shared" si="2"/>
        <v>0</v>
      </c>
      <c r="O20" s="84">
        <v>85158.15</v>
      </c>
      <c r="P20" s="84">
        <v>84667.172278900005</v>
      </c>
      <c r="Q20" s="84">
        <f t="shared" si="3"/>
        <v>490.97772109998914</v>
      </c>
      <c r="R20" s="84">
        <f t="shared" si="4"/>
        <v>5891.7326531998697</v>
      </c>
      <c r="S20" s="85" t="s">
        <v>452</v>
      </c>
      <c r="T20" s="54" t="s">
        <v>453</v>
      </c>
    </row>
    <row r="21" spans="2:20" ht="21.65" hidden="1" customHeight="1">
      <c r="B21" s="74" t="s">
        <v>40</v>
      </c>
      <c r="C21" s="75" t="s">
        <v>12</v>
      </c>
      <c r="D21" s="75" t="s">
        <v>25</v>
      </c>
      <c r="E21" s="53">
        <v>45856</v>
      </c>
      <c r="F21" s="76">
        <v>45778</v>
      </c>
      <c r="G21" s="75" t="s">
        <v>447</v>
      </c>
      <c r="H21" s="83">
        <v>84667.172278900005</v>
      </c>
      <c r="I21" s="83">
        <v>85244.740489620002</v>
      </c>
      <c r="J21" s="84">
        <f t="shared" si="0"/>
        <v>577.5682107199973</v>
      </c>
      <c r="K21" s="78">
        <f t="shared" si="1"/>
        <v>6.8216310427546148E-3</v>
      </c>
      <c r="L21" s="84"/>
      <c r="M21" s="84"/>
      <c r="N21" s="84">
        <f t="shared" si="2"/>
        <v>0</v>
      </c>
      <c r="O21" s="84">
        <v>85739.87</v>
      </c>
      <c r="P21" s="84">
        <f>Reajuste[[#This Row],[Valor 2025]]</f>
        <v>85244.740489620002</v>
      </c>
      <c r="Q21" s="84">
        <f t="shared" si="3"/>
        <v>495.12951037999301</v>
      </c>
      <c r="R21" s="84">
        <f t="shared" si="4"/>
        <v>5941.5541245599161</v>
      </c>
      <c r="S21" s="85" t="s">
        <v>452</v>
      </c>
      <c r="T21" s="54" t="s">
        <v>453</v>
      </c>
    </row>
    <row r="22" spans="2:20" ht="21.65" hidden="1" customHeight="1">
      <c r="B22" s="74" t="s">
        <v>40</v>
      </c>
      <c r="C22" s="75" t="s">
        <v>12</v>
      </c>
      <c r="D22" s="75" t="s">
        <v>26</v>
      </c>
      <c r="E22" s="53">
        <v>45856</v>
      </c>
      <c r="F22" s="76">
        <v>45717</v>
      </c>
      <c r="G22" s="75" t="s">
        <v>447</v>
      </c>
      <c r="H22" s="83">
        <v>16575.667078220002</v>
      </c>
      <c r="I22" s="83">
        <f>Reajuste[[#This Row],[Valor 2025
Revisão Atlas]]</f>
        <v>17228.048202760001</v>
      </c>
      <c r="J22" s="84">
        <f t="shared" si="0"/>
        <v>652.38112453999929</v>
      </c>
      <c r="K22" s="78">
        <f t="shared" si="1"/>
        <v>3.935775986941794E-2</v>
      </c>
      <c r="L22" s="84">
        <v>0</v>
      </c>
      <c r="M22" s="84">
        <v>0</v>
      </c>
      <c r="N22" s="84">
        <f t="shared" si="2"/>
        <v>0</v>
      </c>
      <c r="O22" s="84">
        <v>17227.96</v>
      </c>
      <c r="P22" s="84">
        <v>17228.048202760001</v>
      </c>
      <c r="Q22" s="84">
        <f t="shared" si="3"/>
        <v>-8.8202760001877323E-2</v>
      </c>
      <c r="R22" s="84">
        <f t="shared" si="4"/>
        <v>-1.0584331200225279</v>
      </c>
      <c r="S22" s="85" t="s">
        <v>452</v>
      </c>
      <c r="T22" s="54" t="s">
        <v>454</v>
      </c>
    </row>
    <row r="23" spans="2:20" ht="21.65" hidden="1" customHeight="1">
      <c r="B23" s="74" t="s">
        <v>40</v>
      </c>
      <c r="C23" s="75" t="s">
        <v>12</v>
      </c>
      <c r="D23" s="75" t="s">
        <v>26</v>
      </c>
      <c r="E23" s="53">
        <v>45856</v>
      </c>
      <c r="F23" s="76">
        <v>45778</v>
      </c>
      <c r="G23" s="75" t="s">
        <v>447</v>
      </c>
      <c r="H23" s="83">
        <v>17228.048202760001</v>
      </c>
      <c r="I23" s="83">
        <v>17342.183145759998</v>
      </c>
      <c r="J23" s="84">
        <f t="shared" si="0"/>
        <v>114.13494299999729</v>
      </c>
      <c r="K23" s="78">
        <f t="shared" si="1"/>
        <v>6.6249491327585461E-3</v>
      </c>
      <c r="L23" s="54"/>
      <c r="M23" s="84"/>
      <c r="N23" s="84">
        <f t="shared" si="2"/>
        <v>0</v>
      </c>
      <c r="O23" s="84">
        <v>17341.7</v>
      </c>
      <c r="P23" s="84">
        <f>Reajuste[[#This Row],[Valor 2025]]</f>
        <v>17342.183145759998</v>
      </c>
      <c r="Q23" s="84">
        <f t="shared" si="3"/>
        <v>-0.48314575999756926</v>
      </c>
      <c r="R23" s="84">
        <f t="shared" si="4"/>
        <v>-5.7977491199708311</v>
      </c>
      <c r="S23" s="85" t="s">
        <v>452</v>
      </c>
      <c r="T23" s="54" t="s">
        <v>454</v>
      </c>
    </row>
    <row r="24" spans="2:20" ht="21.65" hidden="1" customHeight="1">
      <c r="B24" s="74" t="s">
        <v>40</v>
      </c>
      <c r="C24" s="75" t="s">
        <v>12</v>
      </c>
      <c r="D24" s="75" t="s">
        <v>31</v>
      </c>
      <c r="E24" s="76">
        <v>45869</v>
      </c>
      <c r="F24" s="76">
        <v>45748</v>
      </c>
      <c r="G24" s="75" t="s">
        <v>447</v>
      </c>
      <c r="H24" s="83">
        <v>87671.885980289648</v>
      </c>
      <c r="I24" s="83">
        <v>93812.544086458671</v>
      </c>
      <c r="J24" s="84">
        <f t="shared" si="0"/>
        <v>6140.6581061690231</v>
      </c>
      <c r="K24" s="78">
        <f t="shared" si="1"/>
        <v>7.0041359752994969E-2</v>
      </c>
      <c r="L24" s="84">
        <f>25442+275.7</f>
        <v>25717.7</v>
      </c>
      <c r="M24" s="84">
        <v>24838.33</v>
      </c>
      <c r="N24" s="84">
        <f t="shared" si="2"/>
        <v>879.36999999999898</v>
      </c>
      <c r="O24" s="84">
        <v>94032.43</v>
      </c>
      <c r="P24" s="84">
        <v>93812.544086458671</v>
      </c>
      <c r="Q24" s="84">
        <f t="shared" si="3"/>
        <v>219.88591354132222</v>
      </c>
      <c r="R24" s="84">
        <f t="shared" si="4"/>
        <v>2638.6309624958667</v>
      </c>
      <c r="S24" s="85"/>
      <c r="T24" s="54"/>
    </row>
    <row r="25" spans="2:20" ht="21.65" hidden="1" customHeight="1">
      <c r="B25" s="67" t="s">
        <v>65</v>
      </c>
      <c r="C25" s="52" t="s">
        <v>13</v>
      </c>
      <c r="D25" s="52" t="s">
        <v>28</v>
      </c>
      <c r="E25" s="53">
        <v>45717</v>
      </c>
      <c r="F25" s="53">
        <v>45658</v>
      </c>
      <c r="G25" s="52" t="s">
        <v>447</v>
      </c>
      <c r="H25" s="56">
        <v>71950.429999999993</v>
      </c>
      <c r="I25" s="56">
        <v>75172.25</v>
      </c>
      <c r="J25" s="54">
        <f t="shared" si="0"/>
        <v>3221.820000000007</v>
      </c>
      <c r="K25" s="55">
        <f t="shared" si="1"/>
        <v>4.477832863542313E-2</v>
      </c>
      <c r="L25" s="54">
        <v>6443.640000000014</v>
      </c>
      <c r="M25" s="54">
        <v>6443.640000000014</v>
      </c>
      <c r="N25" s="54">
        <f t="shared" si="2"/>
        <v>0</v>
      </c>
      <c r="O25" s="54">
        <v>75172.25</v>
      </c>
      <c r="P25" s="54">
        <v>75172.25</v>
      </c>
      <c r="Q25" s="54">
        <f t="shared" si="3"/>
        <v>0</v>
      </c>
      <c r="R25" s="54">
        <f t="shared" si="4"/>
        <v>0</v>
      </c>
      <c r="S25" s="81" t="s">
        <v>455</v>
      </c>
      <c r="T25" s="54"/>
    </row>
    <row r="26" spans="2:20" ht="21.65" hidden="1" customHeight="1">
      <c r="B26" s="67" t="s">
        <v>55</v>
      </c>
      <c r="C26" s="52" t="s">
        <v>13</v>
      </c>
      <c r="D26" s="52" t="s">
        <v>30</v>
      </c>
      <c r="E26" s="53">
        <v>45689</v>
      </c>
      <c r="F26" s="53">
        <v>45658</v>
      </c>
      <c r="G26" s="52" t="s">
        <v>447</v>
      </c>
      <c r="H26" s="57">
        <v>138103.66</v>
      </c>
      <c r="I26" s="57">
        <v>146128.90091849453</v>
      </c>
      <c r="J26" s="54">
        <f t="shared" si="0"/>
        <v>8025.2409184945282</v>
      </c>
      <c r="K26" s="55">
        <f t="shared" si="1"/>
        <v>5.8110269622792962E-2</v>
      </c>
      <c r="L26" s="54">
        <v>8483.1699999999837</v>
      </c>
      <c r="M26" s="54">
        <v>7712.1</v>
      </c>
      <c r="N26" s="54">
        <f t="shared" si="2"/>
        <v>771.06999999998334</v>
      </c>
      <c r="O26" s="57">
        <v>146586.82647068871</v>
      </c>
      <c r="P26" s="57">
        <v>146128.90091849453</v>
      </c>
      <c r="Q26" s="54">
        <f t="shared" si="3"/>
        <v>457.92555219418136</v>
      </c>
      <c r="R26" s="54">
        <f t="shared" si="4"/>
        <v>5495.1066263301764</v>
      </c>
      <c r="S26" s="81" t="s">
        <v>456</v>
      </c>
      <c r="T26" s="54"/>
    </row>
    <row r="27" spans="2:20" ht="21.65" hidden="1" customHeight="1">
      <c r="B27" s="74" t="s">
        <v>41</v>
      </c>
      <c r="C27" s="75" t="s">
        <v>13</v>
      </c>
      <c r="D27" s="75" t="s">
        <v>25</v>
      </c>
      <c r="E27" s="76">
        <v>45748</v>
      </c>
      <c r="F27" s="76">
        <v>45658</v>
      </c>
      <c r="G27" s="75" t="s">
        <v>447</v>
      </c>
      <c r="H27" s="83">
        <v>76239.990000000005</v>
      </c>
      <c r="I27" s="83">
        <v>83951.56866847942</v>
      </c>
      <c r="J27" s="84">
        <f t="shared" si="0"/>
        <v>7711.5786684794148</v>
      </c>
      <c r="K27" s="78">
        <f t="shared" si="1"/>
        <v>0.1011487366207605</v>
      </c>
      <c r="L27" s="84">
        <v>22508.38</v>
      </c>
      <c r="M27" s="84">
        <v>22508.38</v>
      </c>
      <c r="N27" s="84">
        <f t="shared" si="2"/>
        <v>0</v>
      </c>
      <c r="O27" s="83">
        <v>81394.735158262411</v>
      </c>
      <c r="P27" s="84">
        <f>$I$10</f>
        <v>149200.67571439603</v>
      </c>
      <c r="Q27" s="84">
        <f t="shared" si="3"/>
        <v>-67805.940556133617</v>
      </c>
      <c r="R27" s="84">
        <f t="shared" si="4"/>
        <v>-813671.28667360335</v>
      </c>
      <c r="S27" s="85" t="s">
        <v>457</v>
      </c>
      <c r="T27" s="54" t="s">
        <v>458</v>
      </c>
    </row>
    <row r="28" spans="2:20" ht="21.65" hidden="1" customHeight="1">
      <c r="B28" s="74" t="s">
        <v>41</v>
      </c>
      <c r="C28" s="75" t="s">
        <v>13</v>
      </c>
      <c r="D28" s="75" t="s">
        <v>26</v>
      </c>
      <c r="E28" s="76">
        <v>45748</v>
      </c>
      <c r="F28" s="76">
        <v>45658</v>
      </c>
      <c r="G28" s="75" t="s">
        <v>447</v>
      </c>
      <c r="H28" s="83">
        <v>19081.831616718882</v>
      </c>
      <c r="I28" s="83">
        <v>20366.435842043415</v>
      </c>
      <c r="J28" s="84">
        <f t="shared" si="0"/>
        <v>1284.6042253245323</v>
      </c>
      <c r="K28" s="78">
        <f t="shared" si="1"/>
        <v>6.7320802904423688E-2</v>
      </c>
      <c r="L28" s="84">
        <v>3943.58</v>
      </c>
      <c r="M28" s="84">
        <v>3943.58</v>
      </c>
      <c r="N28" s="84">
        <f t="shared" si="2"/>
        <v>0</v>
      </c>
      <c r="O28" s="84">
        <v>20366.435842043415</v>
      </c>
      <c r="P28" s="84">
        <v>20366.435842043415</v>
      </c>
      <c r="Q28" s="84">
        <f t="shared" si="3"/>
        <v>0</v>
      </c>
      <c r="R28" s="84">
        <f t="shared" si="4"/>
        <v>0</v>
      </c>
      <c r="S28" s="85" t="s">
        <v>457</v>
      </c>
      <c r="T28" s="54"/>
    </row>
    <row r="29" spans="2:20" ht="21.65" hidden="1" customHeight="1">
      <c r="B29" s="74" t="s">
        <v>39</v>
      </c>
      <c r="C29" s="75" t="s">
        <v>13</v>
      </c>
      <c r="D29" s="75" t="s">
        <v>31</v>
      </c>
      <c r="E29" s="76">
        <v>45689</v>
      </c>
      <c r="F29" s="76">
        <v>45658</v>
      </c>
      <c r="G29" s="75" t="s">
        <v>447</v>
      </c>
      <c r="H29" s="83">
        <v>69224.479999999996</v>
      </c>
      <c r="I29" s="83">
        <v>73566.796547701961</v>
      </c>
      <c r="J29" s="84">
        <f t="shared" si="0"/>
        <v>4342.3165477019647</v>
      </c>
      <c r="K29" s="78">
        <f t="shared" si="1"/>
        <v>6.2728048628201541E-2</v>
      </c>
      <c r="L29" s="84">
        <v>0</v>
      </c>
      <c r="M29" s="84">
        <v>0</v>
      </c>
      <c r="N29" s="84">
        <f t="shared" si="2"/>
        <v>0</v>
      </c>
      <c r="O29" s="84">
        <v>73525.436671273579</v>
      </c>
      <c r="P29" s="83">
        <f>I29</f>
        <v>73566.796547701961</v>
      </c>
      <c r="Q29" s="84">
        <f t="shared" si="3"/>
        <v>-41.35987642838154</v>
      </c>
      <c r="R29" s="84">
        <f t="shared" si="4"/>
        <v>-496.31851714057848</v>
      </c>
      <c r="S29" s="85" t="s">
        <v>456</v>
      </c>
      <c r="T29" s="54" t="s">
        <v>459</v>
      </c>
    </row>
    <row r="30" spans="2:20" ht="21.65" hidden="1" customHeight="1">
      <c r="B30" s="74" t="s">
        <v>39</v>
      </c>
      <c r="C30" s="75" t="s">
        <v>13</v>
      </c>
      <c r="D30" s="75" t="s">
        <v>32</v>
      </c>
      <c r="E30" s="76">
        <v>45689</v>
      </c>
      <c r="F30" s="76">
        <v>45658</v>
      </c>
      <c r="G30" s="75" t="s">
        <v>447</v>
      </c>
      <c r="H30" s="83">
        <v>30435.25</v>
      </c>
      <c r="I30" s="83">
        <v>31842.633089965886</v>
      </c>
      <c r="J30" s="84">
        <f t="shared" si="0"/>
        <v>1407.383089965886</v>
      </c>
      <c r="K30" s="78">
        <f t="shared" si="1"/>
        <v>4.6241877098623672E-2</v>
      </c>
      <c r="L30" s="84">
        <v>0</v>
      </c>
      <c r="M30" s="84">
        <v>0</v>
      </c>
      <c r="N30" s="84">
        <f t="shared" si="2"/>
        <v>0</v>
      </c>
      <c r="O30" s="84">
        <v>31875.65</v>
      </c>
      <c r="P30" s="84">
        <f>I30</f>
        <v>31842.633089965886</v>
      </c>
      <c r="Q30" s="84">
        <f t="shared" si="3"/>
        <v>33.016910034115426</v>
      </c>
      <c r="R30" s="84">
        <f t="shared" si="4"/>
        <v>396.20292040938511</v>
      </c>
      <c r="S30" s="85" t="s">
        <v>460</v>
      </c>
      <c r="T30" s="54"/>
    </row>
    <row r="31" spans="2:20" ht="21.65" hidden="1" customHeight="1">
      <c r="B31" s="67" t="s">
        <v>39</v>
      </c>
      <c r="C31" s="52" t="s">
        <v>14</v>
      </c>
      <c r="D31" s="52" t="s">
        <v>31</v>
      </c>
      <c r="E31" s="76">
        <v>45811</v>
      </c>
      <c r="F31" s="53">
        <v>45717</v>
      </c>
      <c r="G31" s="75" t="s">
        <v>447</v>
      </c>
      <c r="H31" s="56">
        <v>134428.35</v>
      </c>
      <c r="I31" s="56">
        <v>144420.75</v>
      </c>
      <c r="J31" s="54">
        <f t="shared" si="0"/>
        <v>9992.3999999999942</v>
      </c>
      <c r="K31" s="55">
        <f t="shared" si="1"/>
        <v>7.4332534766661892E-2</v>
      </c>
      <c r="L31" s="54">
        <v>19675.009999999998</v>
      </c>
      <c r="M31" s="54">
        <v>19675.009999999998</v>
      </c>
      <c r="N31" s="54">
        <f t="shared" si="2"/>
        <v>0</v>
      </c>
      <c r="O31" s="54">
        <v>144420.75</v>
      </c>
      <c r="P31" s="54">
        <v>144420.75</v>
      </c>
      <c r="Q31" s="54">
        <f t="shared" si="3"/>
        <v>0</v>
      </c>
      <c r="R31" s="54">
        <f t="shared" si="4"/>
        <v>0</v>
      </c>
      <c r="S31" s="85" t="s">
        <v>448</v>
      </c>
      <c r="T31" s="54"/>
    </row>
    <row r="32" spans="2:20" ht="21.65" hidden="1" customHeight="1">
      <c r="B32" s="67" t="s">
        <v>39</v>
      </c>
      <c r="C32" s="75" t="s">
        <v>14</v>
      </c>
      <c r="D32" s="52" t="s">
        <v>32</v>
      </c>
      <c r="E32" s="76">
        <v>45689</v>
      </c>
      <c r="F32" s="53">
        <v>45658</v>
      </c>
      <c r="G32" s="75" t="s">
        <v>447</v>
      </c>
      <c r="H32" s="56">
        <v>517579.85</v>
      </c>
      <c r="I32" s="56">
        <v>542723.8600000001</v>
      </c>
      <c r="J32" s="54">
        <f t="shared" si="0"/>
        <v>25144.010000000126</v>
      </c>
      <c r="K32" s="55">
        <f t="shared" si="1"/>
        <v>4.8579963072364826E-2</v>
      </c>
      <c r="L32" s="54">
        <v>25421.97</v>
      </c>
      <c r="M32" s="54">
        <v>25144.010000000126</v>
      </c>
      <c r="N32" s="54">
        <f t="shared" si="2"/>
        <v>277.95999999987544</v>
      </c>
      <c r="O32" s="54">
        <v>543001.81999999995</v>
      </c>
      <c r="P32" s="54">
        <f>I32</f>
        <v>542723.8600000001</v>
      </c>
      <c r="Q32" s="54">
        <f t="shared" si="3"/>
        <v>277.95999999984633</v>
      </c>
      <c r="R32" s="54">
        <f t="shared" si="4"/>
        <v>3335.519999998156</v>
      </c>
      <c r="S32" s="85" t="s">
        <v>449</v>
      </c>
      <c r="T32" s="54"/>
    </row>
    <row r="33" spans="2:20" ht="21.65" hidden="1" customHeight="1">
      <c r="B33" s="67" t="s">
        <v>39</v>
      </c>
      <c r="C33" s="75" t="s">
        <v>14</v>
      </c>
      <c r="D33" s="75" t="s">
        <v>30</v>
      </c>
      <c r="E33" s="76">
        <v>45809</v>
      </c>
      <c r="F33" s="53">
        <v>45717</v>
      </c>
      <c r="G33" s="75" t="s">
        <v>447</v>
      </c>
      <c r="H33" s="83">
        <v>581991.57206876087</v>
      </c>
      <c r="I33" s="83">
        <v>655171.7528492352</v>
      </c>
      <c r="J33" s="84">
        <f t="shared" si="0"/>
        <v>73180.180780474329</v>
      </c>
      <c r="K33" s="78">
        <f t="shared" si="1"/>
        <v>0.12574096308705354</v>
      </c>
      <c r="L33" s="84">
        <f>(Reajuste[[#This Row],[Valor 2025
Fornecedor]]-Reajuste[[#This Row],[Valor 2024]])*2</f>
        <v>147435.99586247816</v>
      </c>
      <c r="M33" s="84">
        <v>146360.35999999999</v>
      </c>
      <c r="N33" s="84">
        <f t="shared" si="2"/>
        <v>1075.6358624781715</v>
      </c>
      <c r="O33" s="84">
        <v>655709.56999999995</v>
      </c>
      <c r="P33" s="84">
        <v>655171.7528492352</v>
      </c>
      <c r="Q33" s="84">
        <f t="shared" si="3"/>
        <v>537.81715076474939</v>
      </c>
      <c r="R33" s="84">
        <f t="shared" si="4"/>
        <v>6453.8058091769926</v>
      </c>
      <c r="S33" s="85"/>
      <c r="T33" s="54"/>
    </row>
    <row r="34" spans="2:20" ht="32.15" hidden="1" customHeight="1">
      <c r="B34" s="67" t="s">
        <v>39</v>
      </c>
      <c r="C34" s="52" t="s">
        <v>14</v>
      </c>
      <c r="D34" s="52" t="s">
        <v>165</v>
      </c>
      <c r="E34" s="53">
        <v>45809</v>
      </c>
      <c r="F34" s="53">
        <v>45717</v>
      </c>
      <c r="G34" s="52" t="s">
        <v>447</v>
      </c>
      <c r="H34" s="56">
        <v>56404.82726944</v>
      </c>
      <c r="I34" s="56">
        <v>60371.345216639995</v>
      </c>
      <c r="J34" s="54">
        <f t="shared" ref="J34:J66" si="5">IFERROR(IF(H34&gt;0,I34-H34,""),"")</f>
        <v>3966.5179471999945</v>
      </c>
      <c r="K34" s="55">
        <f t="shared" ref="K34:K66" si="6">IFERROR(IF(J34&gt;0,J34/H34,""),"")</f>
        <v>7.0322313518528301E-2</v>
      </c>
      <c r="L34" s="54">
        <f>(Reajuste[[#This Row],[Valor 2025
Fornecedor]]-Reajuste[[#This Row],[Valor 2024]])*2</f>
        <v>8253.8454611199995</v>
      </c>
      <c r="M34" s="54">
        <v>7933.04</v>
      </c>
      <c r="N34" s="54">
        <f t="shared" ref="N34:N66" si="7">L34-M34</f>
        <v>320.80546111999956</v>
      </c>
      <c r="O34" s="54">
        <v>60531.75</v>
      </c>
      <c r="P34" s="54">
        <v>60371.345216639995</v>
      </c>
      <c r="Q34" s="54">
        <f t="shared" ref="Q34:Q66" si="8">O34-P34</f>
        <v>160.40478336000524</v>
      </c>
      <c r="R34" s="54">
        <f t="shared" ref="R34:R66" si="9">Q34*12</f>
        <v>1924.8574003200629</v>
      </c>
      <c r="S34" s="81"/>
      <c r="T34" s="54"/>
    </row>
    <row r="35" spans="2:20" hidden="1">
      <c r="B35" s="74" t="s">
        <v>39</v>
      </c>
      <c r="C35" s="75" t="s">
        <v>14</v>
      </c>
      <c r="D35" s="75" t="s">
        <v>35</v>
      </c>
      <c r="E35" s="76">
        <v>45809</v>
      </c>
      <c r="F35" s="53">
        <v>45717</v>
      </c>
      <c r="G35" s="52" t="s">
        <v>447</v>
      </c>
      <c r="H35" s="83">
        <v>45900.419648349191</v>
      </c>
      <c r="I35" s="83">
        <v>48586.990001000479</v>
      </c>
      <c r="J35" s="84">
        <f t="shared" si="5"/>
        <v>2686.570352651288</v>
      </c>
      <c r="K35" s="78">
        <f t="shared" si="6"/>
        <v>5.8530409378248695E-2</v>
      </c>
      <c r="L35" s="84">
        <f>(Reajuste[[#This Row],[Valor 2025
Fornecedor]]-Reajuste[[#This Row],[Valor 2024]])*2</f>
        <v>5464.2607033016247</v>
      </c>
      <c r="M35" s="84">
        <v>5331.02</v>
      </c>
      <c r="N35" s="84">
        <f t="shared" si="7"/>
        <v>133.24070330162431</v>
      </c>
      <c r="O35" s="84">
        <v>48632.55</v>
      </c>
      <c r="P35" s="84">
        <f>Reajuste[[#This Row],[Valor 2025]]</f>
        <v>48586.990001000479</v>
      </c>
      <c r="Q35" s="84">
        <f t="shared" si="8"/>
        <v>45.559998999524396</v>
      </c>
      <c r="R35" s="84">
        <f t="shared" si="9"/>
        <v>546.71998799429275</v>
      </c>
      <c r="S35" s="81"/>
      <c r="T35" s="84"/>
    </row>
    <row r="36" spans="2:20" hidden="1">
      <c r="B36" s="67" t="s">
        <v>40</v>
      </c>
      <c r="C36" s="52" t="s">
        <v>14</v>
      </c>
      <c r="D36" s="52" t="s">
        <v>25</v>
      </c>
      <c r="E36" s="76">
        <v>45861</v>
      </c>
      <c r="F36" s="53">
        <v>45717</v>
      </c>
      <c r="G36" s="52" t="s">
        <v>447</v>
      </c>
      <c r="H36" s="56">
        <v>269836.67700719769</v>
      </c>
      <c r="I36" s="56">
        <v>282549.05228364945</v>
      </c>
      <c r="J36" s="54">
        <f t="shared" si="5"/>
        <v>12712.375276451756</v>
      </c>
      <c r="K36" s="55">
        <f t="shared" si="6"/>
        <v>4.7111369060154347E-2</v>
      </c>
      <c r="L36" s="54"/>
      <c r="M36" s="54"/>
      <c r="N36" s="54">
        <f t="shared" si="7"/>
        <v>0</v>
      </c>
      <c r="O36" s="54">
        <v>279904.55</v>
      </c>
      <c r="P36" s="54"/>
      <c r="Q36" s="54">
        <f t="shared" si="8"/>
        <v>279904.55</v>
      </c>
      <c r="R36" s="54">
        <f t="shared" si="9"/>
        <v>3358854.5999999996</v>
      </c>
      <c r="S36" s="81" t="s">
        <v>461</v>
      </c>
      <c r="T36" s="54"/>
    </row>
    <row r="37" spans="2:20" hidden="1">
      <c r="B37" s="74" t="s">
        <v>40</v>
      </c>
      <c r="C37" s="75" t="s">
        <v>14</v>
      </c>
      <c r="D37" s="75" t="s">
        <v>25</v>
      </c>
      <c r="E37" s="53">
        <v>45861</v>
      </c>
      <c r="F37" s="76">
        <v>45778</v>
      </c>
      <c r="G37" s="75" t="s">
        <v>447</v>
      </c>
      <c r="H37" s="83">
        <v>282549.05228364945</v>
      </c>
      <c r="I37" s="83">
        <v>283846.3513151001</v>
      </c>
      <c r="J37" s="84">
        <f t="shared" si="5"/>
        <v>1297.299031450646</v>
      </c>
      <c r="K37" s="78">
        <f t="shared" si="6"/>
        <v>4.5914117246738965E-3</v>
      </c>
      <c r="L37" s="84"/>
      <c r="M37" s="84"/>
      <c r="N37" s="84">
        <f t="shared" si="7"/>
        <v>0</v>
      </c>
      <c r="O37" s="84">
        <v>282863.46999999997</v>
      </c>
      <c r="P37" s="84"/>
      <c r="Q37" s="84">
        <f t="shared" si="8"/>
        <v>282863.46999999997</v>
      </c>
      <c r="R37" s="84">
        <f t="shared" si="9"/>
        <v>3394361.6399999997</v>
      </c>
      <c r="S37" s="85" t="s">
        <v>461</v>
      </c>
      <c r="T37" s="84"/>
    </row>
    <row r="38" spans="2:20" hidden="1">
      <c r="B38" s="74" t="s">
        <v>40</v>
      </c>
      <c r="C38" s="75" t="s">
        <v>14</v>
      </c>
      <c r="D38" s="75" t="s">
        <v>26</v>
      </c>
      <c r="E38" s="53">
        <v>45861</v>
      </c>
      <c r="F38" s="76">
        <v>45717</v>
      </c>
      <c r="G38" s="75" t="s">
        <v>447</v>
      </c>
      <c r="H38" s="83">
        <v>63442.61</v>
      </c>
      <c r="I38" s="83">
        <v>66155.761634615381</v>
      </c>
      <c r="J38" s="84">
        <f t="shared" si="5"/>
        <v>2713.1516346153803</v>
      </c>
      <c r="K38" s="78">
        <f t="shared" si="6"/>
        <v>4.2765447931845495E-2</v>
      </c>
      <c r="L38" s="84"/>
      <c r="M38" s="84"/>
      <c r="N38" s="84">
        <f t="shared" si="7"/>
        <v>0</v>
      </c>
      <c r="O38" s="84">
        <v>66168.193757581568</v>
      </c>
      <c r="P38" s="84"/>
      <c r="Q38" s="84">
        <f t="shared" si="8"/>
        <v>66168.193757581568</v>
      </c>
      <c r="R38" s="84">
        <f t="shared" si="9"/>
        <v>794018.32509097876</v>
      </c>
      <c r="S38" s="85"/>
      <c r="T38" s="84"/>
    </row>
    <row r="39" spans="2:20" hidden="1">
      <c r="B39" s="74" t="s">
        <v>40</v>
      </c>
      <c r="C39" s="75" t="s">
        <v>14</v>
      </c>
      <c r="D39" s="75" t="s">
        <v>26</v>
      </c>
      <c r="E39" s="53">
        <v>45861</v>
      </c>
      <c r="F39" s="76">
        <v>45778</v>
      </c>
      <c r="G39" s="75" t="s">
        <v>447</v>
      </c>
      <c r="H39" s="83">
        <v>66131.776496255698</v>
      </c>
      <c r="I39" s="83">
        <v>66451.163650709059</v>
      </c>
      <c r="J39" s="84">
        <f t="shared" si="5"/>
        <v>319.38715445336129</v>
      </c>
      <c r="K39" s="78">
        <f t="shared" si="6"/>
        <v>4.8295565517046807E-3</v>
      </c>
      <c r="L39" s="84"/>
      <c r="M39" s="84"/>
      <c r="N39" s="84">
        <f t="shared" si="7"/>
        <v>0</v>
      </c>
      <c r="O39" s="84">
        <v>66594.960000000006</v>
      </c>
      <c r="P39" s="84"/>
      <c r="Q39" s="84">
        <f t="shared" si="8"/>
        <v>66594.960000000006</v>
      </c>
      <c r="R39" s="84">
        <f t="shared" si="9"/>
        <v>799139.52</v>
      </c>
      <c r="S39" s="85"/>
      <c r="T39" s="84"/>
    </row>
    <row r="40" spans="2:20" hidden="1">
      <c r="B40" s="67" t="s">
        <v>40</v>
      </c>
      <c r="C40" s="52" t="s">
        <v>14</v>
      </c>
      <c r="D40" s="52" t="s">
        <v>163</v>
      </c>
      <c r="E40" s="76">
        <v>45861</v>
      </c>
      <c r="F40" s="76">
        <v>45717</v>
      </c>
      <c r="G40" s="75" t="s">
        <v>447</v>
      </c>
      <c r="H40" s="56">
        <v>15261.21</v>
      </c>
      <c r="I40" s="56">
        <v>15971.229234781118</v>
      </c>
      <c r="J40" s="54">
        <f t="shared" si="5"/>
        <v>710.01923478111894</v>
      </c>
      <c r="K40" s="55">
        <f t="shared" si="6"/>
        <v>4.652443907010774E-2</v>
      </c>
      <c r="L40" s="54"/>
      <c r="M40" s="54"/>
      <c r="N40" s="54">
        <f t="shared" si="7"/>
        <v>0</v>
      </c>
      <c r="O40" s="54">
        <v>15974.86</v>
      </c>
      <c r="P40" s="54"/>
      <c r="Q40" s="54">
        <f t="shared" si="8"/>
        <v>15974.86</v>
      </c>
      <c r="R40" s="54">
        <f t="shared" si="9"/>
        <v>191698.32</v>
      </c>
      <c r="S40" s="81"/>
      <c r="T40" s="54"/>
    </row>
    <row r="41" spans="2:20" hidden="1">
      <c r="B41" s="74" t="s">
        <v>40</v>
      </c>
      <c r="C41" s="75" t="s">
        <v>14</v>
      </c>
      <c r="D41" s="75" t="s">
        <v>163</v>
      </c>
      <c r="E41" s="76">
        <v>45861</v>
      </c>
      <c r="F41" s="76">
        <v>45778</v>
      </c>
      <c r="G41" s="75" t="s">
        <v>447</v>
      </c>
      <c r="H41" s="83">
        <v>15971.229234781118</v>
      </c>
      <c r="I41" s="83">
        <v>16054.735101484783</v>
      </c>
      <c r="J41" s="84">
        <f t="shared" si="5"/>
        <v>83.505866703664651</v>
      </c>
      <c r="K41" s="78">
        <f t="shared" si="6"/>
        <v>5.2285184487748087E-3</v>
      </c>
      <c r="L41" s="84"/>
      <c r="M41" s="84"/>
      <c r="N41" s="84">
        <f t="shared" si="7"/>
        <v>0</v>
      </c>
      <c r="O41" s="84">
        <v>16086.52</v>
      </c>
      <c r="P41" s="84"/>
      <c r="Q41" s="84">
        <f t="shared" si="8"/>
        <v>16086.52</v>
      </c>
      <c r="R41" s="54">
        <f t="shared" si="9"/>
        <v>193038.24</v>
      </c>
      <c r="S41" s="85"/>
      <c r="T41" s="84"/>
    </row>
    <row r="42" spans="2:20" hidden="1">
      <c r="B42" s="74" t="s">
        <v>49</v>
      </c>
      <c r="C42" s="75" t="s">
        <v>14</v>
      </c>
      <c r="D42" s="75" t="s">
        <v>28</v>
      </c>
      <c r="E42" s="53">
        <v>45880</v>
      </c>
      <c r="F42" s="76">
        <v>45717</v>
      </c>
      <c r="G42" s="75" t="s">
        <v>447</v>
      </c>
      <c r="H42" s="83">
        <v>291620.12</v>
      </c>
      <c r="I42" s="83">
        <v>305662.61000000004</v>
      </c>
      <c r="J42" s="84">
        <f t="shared" si="5"/>
        <v>14042.490000000049</v>
      </c>
      <c r="K42" s="78">
        <f t="shared" si="6"/>
        <v>4.8153364726686382E-2</v>
      </c>
      <c r="L42" s="54">
        <v>56169.96</v>
      </c>
      <c r="M42" s="54">
        <v>56169.96</v>
      </c>
      <c r="N42" s="84">
        <f t="shared" si="7"/>
        <v>0</v>
      </c>
      <c r="O42" s="84">
        <v>305662.61000000004</v>
      </c>
      <c r="P42" s="84">
        <v>305662.61000000004</v>
      </c>
      <c r="Q42" s="84">
        <f t="shared" si="8"/>
        <v>0</v>
      </c>
      <c r="R42" s="84">
        <f t="shared" si="9"/>
        <v>0</v>
      </c>
      <c r="S42" s="265" t="s">
        <v>462</v>
      </c>
      <c r="T42" s="84" t="s">
        <v>463</v>
      </c>
    </row>
    <row r="43" spans="2:20" hidden="1">
      <c r="B43" s="74" t="s">
        <v>49</v>
      </c>
      <c r="C43" s="75" t="s">
        <v>14</v>
      </c>
      <c r="D43" s="75" t="s">
        <v>28</v>
      </c>
      <c r="E43" s="53">
        <v>45880</v>
      </c>
      <c r="F43" s="76">
        <v>45839</v>
      </c>
      <c r="G43" s="75" t="s">
        <v>447</v>
      </c>
      <c r="H43" s="83">
        <v>305662.61000000004</v>
      </c>
      <c r="I43" s="83">
        <v>306385.39</v>
      </c>
      <c r="J43" s="84">
        <f t="shared" si="5"/>
        <v>722.77999999996973</v>
      </c>
      <c r="K43" s="78">
        <f t="shared" si="6"/>
        <v>2.3646333452428795E-3</v>
      </c>
      <c r="L43" s="54">
        <v>0</v>
      </c>
      <c r="M43" s="54">
        <v>0</v>
      </c>
      <c r="N43" s="84">
        <f t="shared" si="7"/>
        <v>0</v>
      </c>
      <c r="O43" s="84">
        <v>306542.65000000002</v>
      </c>
      <c r="P43" s="84">
        <v>306361.58999999997</v>
      </c>
      <c r="Q43" s="84">
        <f t="shared" si="8"/>
        <v>181.06000000005588</v>
      </c>
      <c r="R43" s="84">
        <f t="shared" si="9"/>
        <v>2172.7200000006706</v>
      </c>
      <c r="S43" s="265" t="s">
        <v>462</v>
      </c>
      <c r="T43" s="84" t="s">
        <v>464</v>
      </c>
    </row>
    <row r="44" spans="2:20" hidden="1">
      <c r="B44" s="74" t="s">
        <v>73</v>
      </c>
      <c r="C44" s="75" t="s">
        <v>15</v>
      </c>
      <c r="D44" s="75" t="s">
        <v>32</v>
      </c>
      <c r="E44" s="76">
        <v>45658</v>
      </c>
      <c r="F44" s="76">
        <v>45658</v>
      </c>
      <c r="G44" s="75" t="s">
        <v>447</v>
      </c>
      <c r="H44" s="83">
        <v>21656.540372453906</v>
      </c>
      <c r="I44" s="83">
        <v>22724.586043735679</v>
      </c>
      <c r="J44" s="84">
        <f t="shared" si="5"/>
        <v>1068.0456712817722</v>
      </c>
      <c r="K44" s="78">
        <f t="shared" si="6"/>
        <v>4.9317464974242872E-2</v>
      </c>
      <c r="L44" s="84">
        <v>0</v>
      </c>
      <c r="M44" s="84">
        <v>0</v>
      </c>
      <c r="N44" s="84">
        <f t="shared" si="7"/>
        <v>0</v>
      </c>
      <c r="O44" s="84">
        <v>22718.62</v>
      </c>
      <c r="P44" s="84">
        <f>I44</f>
        <v>22724.586043735679</v>
      </c>
      <c r="Q44" s="84">
        <f t="shared" si="8"/>
        <v>-5.9660437356797047</v>
      </c>
      <c r="R44" s="54">
        <f t="shared" si="9"/>
        <v>-71.592524828156456</v>
      </c>
      <c r="S44" s="85" t="s">
        <v>449</v>
      </c>
      <c r="T44" s="84"/>
    </row>
    <row r="45" spans="2:20" ht="25" hidden="1">
      <c r="B45" s="74" t="s">
        <v>73</v>
      </c>
      <c r="C45" s="75" t="s">
        <v>15</v>
      </c>
      <c r="D45" s="75" t="s">
        <v>30</v>
      </c>
      <c r="E45" s="76">
        <v>45793</v>
      </c>
      <c r="F45" s="76">
        <v>45717</v>
      </c>
      <c r="G45" s="75" t="s">
        <v>447</v>
      </c>
      <c r="H45" s="83">
        <v>47661.025410820002</v>
      </c>
      <c r="I45" s="83">
        <v>51135.896763160003</v>
      </c>
      <c r="J45" s="84">
        <f t="shared" si="5"/>
        <v>3474.8713523400002</v>
      </c>
      <c r="K45" s="78">
        <f t="shared" si="6"/>
        <v>7.2908027521185789E-2</v>
      </c>
      <c r="L45" s="84">
        <f>Reajuste[[#This Row],[Valor 2025
Fornecedor]]-Reajuste[[#This Row],[Valor 2024]]</f>
        <v>3462.0645891799941</v>
      </c>
      <c r="M45" s="84">
        <v>3422.75</v>
      </c>
      <c r="N45" s="84">
        <f t="shared" si="7"/>
        <v>39.314589179994073</v>
      </c>
      <c r="O45" s="84">
        <v>51123.09</v>
      </c>
      <c r="P45" s="84">
        <v>51135.896763160003</v>
      </c>
      <c r="Q45" s="84">
        <f t="shared" si="8"/>
        <v>-12.806763160006085</v>
      </c>
      <c r="R45" s="54">
        <f t="shared" si="9"/>
        <v>-153.68115792007302</v>
      </c>
      <c r="S45" s="85" t="s">
        <v>448</v>
      </c>
      <c r="T45" s="84"/>
    </row>
    <row r="46" spans="2:20" ht="25" hidden="1">
      <c r="B46" s="74" t="s">
        <v>73</v>
      </c>
      <c r="C46" s="75" t="s">
        <v>15</v>
      </c>
      <c r="D46" s="75" t="s">
        <v>31</v>
      </c>
      <c r="E46" s="76">
        <v>45793</v>
      </c>
      <c r="F46" s="76">
        <v>45717</v>
      </c>
      <c r="G46" s="75" t="s">
        <v>447</v>
      </c>
      <c r="H46" s="83">
        <v>24553.06</v>
      </c>
      <c r="I46" s="83">
        <v>26379.93158870536</v>
      </c>
      <c r="J46" s="84">
        <f t="shared" si="5"/>
        <v>1826.8715887053586</v>
      </c>
      <c r="K46" s="78">
        <f t="shared" si="6"/>
        <v>7.4405047220401796E-2</v>
      </c>
      <c r="L46" s="84">
        <f>Reajuste[[#This Row],[Valor 2025
Fornecedor]]-Reajuste[[#This Row],[Valor 2024]]</f>
        <v>2876.5999999999985</v>
      </c>
      <c r="M46" s="84">
        <v>1820.78</v>
      </c>
      <c r="N46" s="84">
        <f t="shared" si="7"/>
        <v>1055.8199999999986</v>
      </c>
      <c r="O46" s="84">
        <v>27429.66</v>
      </c>
      <c r="P46" s="84">
        <v>26379.93158870536</v>
      </c>
      <c r="Q46" s="84">
        <f t="shared" si="8"/>
        <v>1049.72841129464</v>
      </c>
      <c r="R46" s="54">
        <f t="shared" si="9"/>
        <v>12596.740935535679</v>
      </c>
      <c r="S46" s="85" t="s">
        <v>448</v>
      </c>
      <c r="T46" s="84"/>
    </row>
    <row r="47" spans="2:20" hidden="1">
      <c r="B47" s="74" t="s">
        <v>40</v>
      </c>
      <c r="C47" s="75" t="s">
        <v>15</v>
      </c>
      <c r="D47" s="75" t="s">
        <v>25</v>
      </c>
      <c r="E47" s="76">
        <v>45825</v>
      </c>
      <c r="F47" s="76">
        <v>45717</v>
      </c>
      <c r="G47" s="75" t="s">
        <v>447</v>
      </c>
      <c r="H47" s="151">
        <v>58582.594662871226</v>
      </c>
      <c r="I47" s="83">
        <v>61323.864284085103</v>
      </c>
      <c r="J47" s="84">
        <f t="shared" si="5"/>
        <v>2741.2696212138762</v>
      </c>
      <c r="K47" s="78">
        <f t="shared" si="6"/>
        <v>4.679324357326993E-2</v>
      </c>
      <c r="L47" s="84">
        <v>5482.5392424277525</v>
      </c>
      <c r="M47" s="84">
        <f>Reajuste[[#This Row],[Reajuste]]*2</f>
        <v>5482.5392424277525</v>
      </c>
      <c r="N47" s="84">
        <f t="shared" si="7"/>
        <v>0</v>
      </c>
      <c r="O47" s="84">
        <v>61658.568346897751</v>
      </c>
      <c r="P47" s="84">
        <v>61323.864284085103</v>
      </c>
      <c r="Q47" s="84">
        <f t="shared" si="8"/>
        <v>334.70406281264877</v>
      </c>
      <c r="R47" s="54">
        <f t="shared" si="9"/>
        <v>4016.4487537517853</v>
      </c>
      <c r="S47" s="81" t="s">
        <v>461</v>
      </c>
      <c r="T47" s="84"/>
    </row>
    <row r="48" spans="2:20" hidden="1">
      <c r="B48" s="74" t="s">
        <v>40</v>
      </c>
      <c r="C48" s="75" t="s">
        <v>15</v>
      </c>
      <c r="D48" s="75" t="s">
        <v>25</v>
      </c>
      <c r="E48" s="76">
        <v>45825</v>
      </c>
      <c r="F48" s="76">
        <v>45778</v>
      </c>
      <c r="G48" s="75" t="s">
        <v>447</v>
      </c>
      <c r="H48" s="83">
        <v>61323.864284085103</v>
      </c>
      <c r="I48" s="83">
        <v>61743.759351094537</v>
      </c>
      <c r="J48" s="84">
        <f t="shared" si="5"/>
        <v>419.89506700943457</v>
      </c>
      <c r="K48" s="78">
        <f t="shared" si="6"/>
        <v>6.8471723351329417E-3</v>
      </c>
      <c r="L48" s="84">
        <v>3161.1646882233108</v>
      </c>
      <c r="M48" s="84">
        <f>Reajuste[[#This Row],[Reajuste]]+J47</f>
        <v>3161.1646882233108</v>
      </c>
      <c r="N48" s="84">
        <f t="shared" si="7"/>
        <v>0</v>
      </c>
      <c r="O48" s="84">
        <v>62076.066915052623</v>
      </c>
      <c r="P48" s="84">
        <v>61743.759351094537</v>
      </c>
      <c r="Q48" s="84">
        <f t="shared" si="8"/>
        <v>332.30756395808567</v>
      </c>
      <c r="R48" s="54">
        <f t="shared" si="9"/>
        <v>3987.690767497028</v>
      </c>
      <c r="S48" s="85" t="s">
        <v>461</v>
      </c>
      <c r="T48" s="84"/>
    </row>
    <row r="49" spans="2:20" hidden="1">
      <c r="B49" s="74" t="s">
        <v>63</v>
      </c>
      <c r="C49" s="75" t="s">
        <v>15</v>
      </c>
      <c r="D49" s="75" t="s">
        <v>28</v>
      </c>
      <c r="E49" s="76">
        <v>45838</v>
      </c>
      <c r="F49" s="76">
        <v>45717</v>
      </c>
      <c r="G49" s="75" t="s">
        <v>447</v>
      </c>
      <c r="H49" s="83">
        <v>28844.171475600004</v>
      </c>
      <c r="I49" s="83">
        <v>30350.195893999997</v>
      </c>
      <c r="J49" s="84">
        <f t="shared" si="5"/>
        <v>1506.024418399993</v>
      </c>
      <c r="K49" s="78">
        <f t="shared" si="6"/>
        <v>5.2212434656824042E-2</v>
      </c>
      <c r="L49" s="84">
        <f>1930.67852439999*3</f>
        <v>5792.0355731999698</v>
      </c>
      <c r="M49" s="84">
        <v>4518.09</v>
      </c>
      <c r="N49" s="84">
        <f t="shared" si="7"/>
        <v>1273.9455731999697</v>
      </c>
      <c r="O49" s="84">
        <v>30774.85</v>
      </c>
      <c r="P49" s="84">
        <v>30350.195893999997</v>
      </c>
      <c r="Q49" s="84">
        <f t="shared" si="8"/>
        <v>424.65410600000178</v>
      </c>
      <c r="R49" s="84">
        <f t="shared" si="9"/>
        <v>5095.8492720000213</v>
      </c>
      <c r="S49" s="85" t="s">
        <v>465</v>
      </c>
      <c r="T49" s="84"/>
    </row>
    <row r="50" spans="2:20" hidden="1">
      <c r="B50" s="67" t="s">
        <v>40</v>
      </c>
      <c r="C50" s="52" t="s">
        <v>17</v>
      </c>
      <c r="D50" s="52" t="s">
        <v>32</v>
      </c>
      <c r="E50" s="76">
        <v>45748</v>
      </c>
      <c r="F50" s="76">
        <v>45658</v>
      </c>
      <c r="G50" s="52" t="s">
        <v>447</v>
      </c>
      <c r="H50" s="83">
        <v>68875.878348253726</v>
      </c>
      <c r="I50" s="56">
        <v>72328.600856634468</v>
      </c>
      <c r="J50" s="54">
        <f t="shared" si="5"/>
        <v>3452.7225083807425</v>
      </c>
      <c r="K50" s="78">
        <f t="shared" si="6"/>
        <v>5.0129633061416816E-2</v>
      </c>
      <c r="L50" s="54">
        <v>3869.9716517462803</v>
      </c>
      <c r="M50" s="54">
        <v>3452.7225083807425</v>
      </c>
      <c r="N50" s="54">
        <f t="shared" si="7"/>
        <v>417.24914336553775</v>
      </c>
      <c r="O50" s="54">
        <v>72745.850000000006</v>
      </c>
      <c r="P50" s="54">
        <f>I50</f>
        <v>72328.600856634468</v>
      </c>
      <c r="Q50" s="54">
        <f t="shared" si="8"/>
        <v>417.24914336553775</v>
      </c>
      <c r="R50" s="54">
        <f t="shared" si="9"/>
        <v>5006.989720386453</v>
      </c>
      <c r="S50" s="81" t="s">
        <v>449</v>
      </c>
      <c r="T50" s="54"/>
    </row>
    <row r="51" spans="2:20" ht="25" hidden="1">
      <c r="B51" s="67" t="s">
        <v>68</v>
      </c>
      <c r="C51" s="52" t="s">
        <v>17</v>
      </c>
      <c r="D51" s="52" t="s">
        <v>30</v>
      </c>
      <c r="E51" s="53"/>
      <c r="F51" s="53">
        <v>45717</v>
      </c>
      <c r="G51" s="52" t="s">
        <v>466</v>
      </c>
      <c r="H51" s="56">
        <v>145531.56</v>
      </c>
      <c r="I51" s="56">
        <v>160758.17563040933</v>
      </c>
      <c r="J51" s="54">
        <f>IFERROR(IF(H51&gt;0,I51-H51,""),"")</f>
        <v>15226.615630409331</v>
      </c>
      <c r="K51" s="55">
        <f>IFERROR(IF(J51&gt;0,J51/H51,""),"")</f>
        <v>0.10462758476861879</v>
      </c>
      <c r="L51" s="54"/>
      <c r="M51" s="54"/>
      <c r="N51" s="54">
        <f>L51-M51</f>
        <v>0</v>
      </c>
      <c r="O51" s="54"/>
      <c r="P51" s="54"/>
      <c r="Q51" s="54">
        <f>O51-P51</f>
        <v>0</v>
      </c>
      <c r="R51" s="54">
        <f>Q51*12</f>
        <v>0</v>
      </c>
      <c r="S51" s="81" t="s">
        <v>448</v>
      </c>
      <c r="T51" s="54" t="s">
        <v>467</v>
      </c>
    </row>
    <row r="52" spans="2:20" ht="25" hidden="1">
      <c r="B52" s="67" t="s">
        <v>73</v>
      </c>
      <c r="C52" s="75" t="s">
        <v>17</v>
      </c>
      <c r="D52" s="75" t="s">
        <v>160</v>
      </c>
      <c r="E52" s="76">
        <v>45797</v>
      </c>
      <c r="F52" s="76">
        <v>45717</v>
      </c>
      <c r="G52" s="75" t="s">
        <v>447</v>
      </c>
      <c r="H52" s="83">
        <v>17513</v>
      </c>
      <c r="I52" s="83">
        <v>18694.681799509999</v>
      </c>
      <c r="J52" s="84">
        <f>IFERROR(IF(H52&gt;0,I52-H52,""),"")</f>
        <v>1181.6817995099991</v>
      </c>
      <c r="K52" s="78">
        <f>IFERROR(IF(J52&gt;0,J52/H52,""),"")</f>
        <v>6.7474550306058312E-2</v>
      </c>
      <c r="L52" s="84"/>
      <c r="M52" s="84"/>
      <c r="N52" s="84">
        <f>L52-M52</f>
        <v>0</v>
      </c>
      <c r="O52" s="84"/>
      <c r="P52" s="84"/>
      <c r="Q52" s="84">
        <f>O52-P52</f>
        <v>0</v>
      </c>
      <c r="R52" s="84">
        <f>Q52*12</f>
        <v>0</v>
      </c>
      <c r="S52" s="85" t="s">
        <v>448</v>
      </c>
      <c r="T52" s="84"/>
    </row>
    <row r="53" spans="2:20" ht="25" hidden="1">
      <c r="B53" s="67" t="s">
        <v>68</v>
      </c>
      <c r="C53" s="52" t="s">
        <v>17</v>
      </c>
      <c r="D53" s="52" t="s">
        <v>30</v>
      </c>
      <c r="E53" s="53">
        <v>45945</v>
      </c>
      <c r="F53" s="53">
        <v>45717</v>
      </c>
      <c r="G53" s="52" t="s">
        <v>447</v>
      </c>
      <c r="H53" s="56">
        <v>145531.56</v>
      </c>
      <c r="I53" s="56">
        <v>154640.56706078988</v>
      </c>
      <c r="J53" s="54">
        <f>IFERROR(IF(H53&gt;0,I53-H53,""),"")</f>
        <v>9109.0070607898815</v>
      </c>
      <c r="K53" s="55">
        <f>IFERROR(IF(J53&gt;0,J53/H53,""),"")</f>
        <v>6.2591283023351652E-2</v>
      </c>
      <c r="L53" s="54"/>
      <c r="M53" s="54">
        <v>43224.033483744308</v>
      </c>
      <c r="N53" s="54">
        <f>L53-M53</f>
        <v>-43224.033483744308</v>
      </c>
      <c r="O53" s="54"/>
      <c r="P53" s="54"/>
      <c r="Q53" s="54">
        <f>O53-P53</f>
        <v>0</v>
      </c>
      <c r="R53" s="54">
        <f>Q53*12</f>
        <v>0</v>
      </c>
      <c r="S53" s="81" t="s">
        <v>448</v>
      </c>
      <c r="T53" s="54" t="s">
        <v>468</v>
      </c>
    </row>
    <row r="54" spans="2:20" ht="25" hidden="1">
      <c r="B54" s="67" t="s">
        <v>73</v>
      </c>
      <c r="C54" s="75" t="s">
        <v>17</v>
      </c>
      <c r="D54" s="75" t="s">
        <v>30</v>
      </c>
      <c r="E54" s="76">
        <v>45797</v>
      </c>
      <c r="F54" s="76">
        <v>45717</v>
      </c>
      <c r="G54" s="75" t="s">
        <v>447</v>
      </c>
      <c r="H54" s="83">
        <v>139314.10015761</v>
      </c>
      <c r="I54" s="83">
        <v>149586.41627068</v>
      </c>
      <c r="J54" s="84">
        <f>IFERROR(IF(H54&gt;0,I54-H54,""),"")</f>
        <v>10272.316113070003</v>
      </c>
      <c r="K54" s="78">
        <f>IFERROR(IF(J54&gt;0,J54/H54,""),"")</f>
        <v>7.373493495237482E-2</v>
      </c>
      <c r="L54" s="84">
        <v>11119.67</v>
      </c>
      <c r="M54" s="84">
        <f>9381.24+1738.43</f>
        <v>11119.67</v>
      </c>
      <c r="N54" s="84">
        <f>L54-M54</f>
        <v>0</v>
      </c>
      <c r="O54" s="84">
        <v>147580.84992318001</v>
      </c>
      <c r="P54" s="84">
        <v>148627.95070638999</v>
      </c>
      <c r="Q54" s="84">
        <f>O54-P54</f>
        <v>-1047.1007832099858</v>
      </c>
      <c r="R54" s="84">
        <f>Q54*12</f>
        <v>-12565.20939851983</v>
      </c>
      <c r="S54" s="85" t="s">
        <v>448</v>
      </c>
      <c r="T54" s="84"/>
    </row>
    <row r="55" spans="2:20" ht="25" hidden="1">
      <c r="B55" s="67" t="s">
        <v>73</v>
      </c>
      <c r="C55" s="75" t="s">
        <v>17</v>
      </c>
      <c r="D55" s="52" t="s">
        <v>33</v>
      </c>
      <c r="E55" s="53">
        <v>45797</v>
      </c>
      <c r="F55" s="76">
        <v>45717</v>
      </c>
      <c r="G55" s="52" t="s">
        <v>447</v>
      </c>
      <c r="H55" s="56">
        <v>15665.9</v>
      </c>
      <c r="I55" s="56">
        <v>16800.692672780115</v>
      </c>
      <c r="J55" s="54">
        <f t="shared" si="5"/>
        <v>1134.792672780115</v>
      </c>
      <c r="K55" s="55">
        <f t="shared" si="6"/>
        <v>7.24371196535223E-2</v>
      </c>
      <c r="L55" s="54">
        <v>2251.62</v>
      </c>
      <c r="M55" s="54">
        <f>1134.79+1116.83</f>
        <v>2251.62</v>
      </c>
      <c r="N55" s="54">
        <f t="shared" si="7"/>
        <v>0</v>
      </c>
      <c r="O55" s="54">
        <v>16785.86</v>
      </c>
      <c r="P55" s="56">
        <v>16800.692672780115</v>
      </c>
      <c r="Q55" s="54">
        <f t="shared" si="8"/>
        <v>-14.832672780114081</v>
      </c>
      <c r="R55" s="54">
        <f t="shared" si="9"/>
        <v>-177.99207336136897</v>
      </c>
      <c r="S55" s="81" t="s">
        <v>448</v>
      </c>
      <c r="T55" s="54"/>
    </row>
    <row r="56" spans="2:20" ht="25" hidden="1">
      <c r="B56" s="67" t="s">
        <v>40</v>
      </c>
      <c r="C56" s="75" t="s">
        <v>17</v>
      </c>
      <c r="D56" s="52" t="s">
        <v>31</v>
      </c>
      <c r="E56" s="53">
        <v>45832</v>
      </c>
      <c r="F56" s="76">
        <v>45717</v>
      </c>
      <c r="G56" s="52" t="s">
        <v>447</v>
      </c>
      <c r="H56" s="56">
        <v>67670.825967873127</v>
      </c>
      <c r="I56" s="83">
        <v>72690.395702477283</v>
      </c>
      <c r="J56" s="54">
        <f t="shared" si="5"/>
        <v>5019.5697346041561</v>
      </c>
      <c r="K56" s="55">
        <f t="shared" si="6"/>
        <v>7.4176274085781188E-2</v>
      </c>
      <c r="L56" s="54">
        <v>15455.232096380641</v>
      </c>
      <c r="M56" s="54">
        <v>15058.709801988764</v>
      </c>
      <c r="N56" s="54">
        <f t="shared" si="7"/>
        <v>396.52229439187795</v>
      </c>
      <c r="O56" s="54">
        <v>72822.570000000007</v>
      </c>
      <c r="P56" s="54">
        <v>72690.395702477283</v>
      </c>
      <c r="Q56" s="54">
        <f t="shared" si="8"/>
        <v>132.17429752272437</v>
      </c>
      <c r="R56" s="54">
        <f t="shared" si="9"/>
        <v>1586.0915702726925</v>
      </c>
      <c r="S56" s="81" t="s">
        <v>448</v>
      </c>
      <c r="T56" s="54"/>
    </row>
    <row r="57" spans="2:20" hidden="1">
      <c r="B57" s="74" t="s">
        <v>40</v>
      </c>
      <c r="C57" s="75" t="s">
        <v>17</v>
      </c>
      <c r="D57" s="75" t="s">
        <v>25</v>
      </c>
      <c r="E57" s="53">
        <v>45835</v>
      </c>
      <c r="F57" s="76">
        <v>45717</v>
      </c>
      <c r="G57" s="52" t="s">
        <v>447</v>
      </c>
      <c r="H57" s="83">
        <v>105713.49</v>
      </c>
      <c r="I57" s="83">
        <v>110264.62015498088</v>
      </c>
      <c r="J57" s="84">
        <f t="shared" si="5"/>
        <v>4551.1301549808704</v>
      </c>
      <c r="K57" s="78">
        <f t="shared" si="6"/>
        <v>4.3051555245984884E-2</v>
      </c>
      <c r="L57" s="84">
        <v>0</v>
      </c>
      <c r="M57" s="84">
        <v>0</v>
      </c>
      <c r="N57" s="84">
        <f t="shared" si="7"/>
        <v>0</v>
      </c>
      <c r="O57" s="84">
        <v>110309.06</v>
      </c>
      <c r="P57" s="84">
        <v>110264.62015498088</v>
      </c>
      <c r="Q57" s="84">
        <f t="shared" si="8"/>
        <v>44.439845019122004</v>
      </c>
      <c r="R57" s="84">
        <f t="shared" si="9"/>
        <v>533.27814022946404</v>
      </c>
      <c r="S57" s="85"/>
      <c r="T57" s="84" t="s">
        <v>469</v>
      </c>
    </row>
    <row r="58" spans="2:20" hidden="1">
      <c r="B58" s="74" t="s">
        <v>40</v>
      </c>
      <c r="C58" s="75" t="s">
        <v>17</v>
      </c>
      <c r="D58" s="75" t="s">
        <v>25</v>
      </c>
      <c r="E58" s="53">
        <v>45835</v>
      </c>
      <c r="F58" s="53">
        <v>45778</v>
      </c>
      <c r="G58" s="52" t="s">
        <v>447</v>
      </c>
      <c r="H58" s="56">
        <v>110264.62015498088</v>
      </c>
      <c r="I58" s="56">
        <v>110739.09627138088</v>
      </c>
      <c r="J58" s="54">
        <f t="shared" si="5"/>
        <v>474.47611640000832</v>
      </c>
      <c r="K58" s="55">
        <f t="shared" si="6"/>
        <v>4.3030676180003625E-3</v>
      </c>
      <c r="L58" s="84">
        <v>14130.87</v>
      </c>
      <c r="M58" s="84">
        <v>14123.52</v>
      </c>
      <c r="N58" s="54">
        <f t="shared" si="7"/>
        <v>7.3500000000003638</v>
      </c>
      <c r="O58" s="54">
        <v>110783.54</v>
      </c>
      <c r="P58" s="54">
        <v>110739.09627138088</v>
      </c>
      <c r="Q58" s="54">
        <f t="shared" si="8"/>
        <v>44.443728619109606</v>
      </c>
      <c r="R58" s="54">
        <f t="shared" si="9"/>
        <v>533.32474342931528</v>
      </c>
      <c r="S58" s="81"/>
      <c r="T58" s="54" t="s">
        <v>469</v>
      </c>
    </row>
    <row r="59" spans="2:20" hidden="1">
      <c r="B59" s="74" t="s">
        <v>40</v>
      </c>
      <c r="C59" s="75" t="s">
        <v>17</v>
      </c>
      <c r="D59" s="75" t="s">
        <v>25</v>
      </c>
      <c r="E59" s="53">
        <v>45835</v>
      </c>
      <c r="F59" s="53">
        <v>45778</v>
      </c>
      <c r="G59" s="52" t="s">
        <v>447</v>
      </c>
      <c r="H59" s="56">
        <v>135757.77027511018</v>
      </c>
      <c r="I59" s="56">
        <v>141717.71532566083</v>
      </c>
      <c r="J59" s="54">
        <f t="shared" si="5"/>
        <v>5959.9450505506538</v>
      </c>
      <c r="K59" s="55">
        <f t="shared" si="6"/>
        <v>4.3901318049589015E-2</v>
      </c>
      <c r="L59" s="54">
        <f>115012.29-110501.97</f>
        <v>4510.3199999999924</v>
      </c>
      <c r="M59" s="54">
        <v>0</v>
      </c>
      <c r="N59" s="54">
        <f t="shared" si="7"/>
        <v>4510.3199999999924</v>
      </c>
      <c r="O59" s="54">
        <v>142104.53</v>
      </c>
      <c r="P59" s="54">
        <v>141717.71532566083</v>
      </c>
      <c r="Q59" s="54">
        <f t="shared" si="8"/>
        <v>386.81467433916987</v>
      </c>
      <c r="R59" s="54">
        <f t="shared" si="9"/>
        <v>4641.7760920700384</v>
      </c>
      <c r="S59" s="81"/>
      <c r="T59" s="54" t="s">
        <v>470</v>
      </c>
    </row>
    <row r="60" spans="2:20" hidden="1">
      <c r="B60" s="74" t="s">
        <v>37</v>
      </c>
      <c r="C60" s="75" t="s">
        <v>17</v>
      </c>
      <c r="D60" s="75" t="s">
        <v>28</v>
      </c>
      <c r="E60" s="53">
        <v>45874</v>
      </c>
      <c r="F60" s="76">
        <v>45717</v>
      </c>
      <c r="G60" s="52" t="s">
        <v>447</v>
      </c>
      <c r="H60" s="83">
        <v>83756.576174024929</v>
      </c>
      <c r="I60" s="83">
        <v>88425.988001075166</v>
      </c>
      <c r="J60" s="84">
        <f t="shared" si="5"/>
        <v>4669.4118270502368</v>
      </c>
      <c r="K60" s="78">
        <f t="shared" si="6"/>
        <v>5.5749793512910352E-2</v>
      </c>
      <c r="L60" s="54">
        <v>29991.563661706154</v>
      </c>
      <c r="M60" s="54">
        <v>29991.563661706154</v>
      </c>
      <c r="N60" s="84">
        <f t="shared" si="7"/>
        <v>0</v>
      </c>
      <c r="O60" s="84">
        <v>101173.25</v>
      </c>
      <c r="P60" s="84">
        <v>88425.988001075166</v>
      </c>
      <c r="Q60" s="84">
        <f t="shared" si="8"/>
        <v>12747.261998924834</v>
      </c>
      <c r="R60" s="84">
        <f t="shared" si="9"/>
        <v>152967.14398709801</v>
      </c>
      <c r="S60" s="85"/>
      <c r="T60" s="84"/>
    </row>
    <row r="61" spans="2:20" ht="25" hidden="1">
      <c r="B61" s="74" t="s">
        <v>141</v>
      </c>
      <c r="C61" s="75" t="s">
        <v>18</v>
      </c>
      <c r="D61" s="75" t="s">
        <v>31</v>
      </c>
      <c r="E61" s="76">
        <v>45839</v>
      </c>
      <c r="F61" s="76">
        <v>45717</v>
      </c>
      <c r="G61" s="75" t="s">
        <v>447</v>
      </c>
      <c r="H61" s="83">
        <v>37998.980000000003</v>
      </c>
      <c r="I61" s="83">
        <v>40834.400000000001</v>
      </c>
      <c r="J61" s="84">
        <f t="shared" si="5"/>
        <v>2835.4199999999983</v>
      </c>
      <c r="K61" s="78">
        <f t="shared" si="6"/>
        <v>7.4618318702238798E-2</v>
      </c>
      <c r="L61" s="84"/>
      <c r="M61" s="84"/>
      <c r="N61" s="84">
        <f t="shared" si="7"/>
        <v>0</v>
      </c>
      <c r="O61" s="84">
        <v>40818.127468414881</v>
      </c>
      <c r="P61" s="84">
        <f>Reajuste[[#This Row],[Valor 2025]]</f>
        <v>40834.400000000001</v>
      </c>
      <c r="Q61" s="84">
        <f t="shared" si="8"/>
        <v>-16.272531585120305</v>
      </c>
      <c r="R61" s="84">
        <f t="shared" si="9"/>
        <v>-195.27037902144366</v>
      </c>
      <c r="S61" s="85" t="s">
        <v>448</v>
      </c>
      <c r="T61" s="84"/>
    </row>
    <row r="62" spans="2:20" hidden="1">
      <c r="B62" s="74" t="s">
        <v>152</v>
      </c>
      <c r="C62" s="75" t="s">
        <v>18</v>
      </c>
      <c r="D62" s="75" t="s">
        <v>30</v>
      </c>
      <c r="E62" s="76">
        <v>45870</v>
      </c>
      <c r="F62" s="76">
        <v>45717</v>
      </c>
      <c r="G62" s="75" t="s">
        <v>447</v>
      </c>
      <c r="H62" s="83">
        <v>66255.705900000001</v>
      </c>
      <c r="I62" s="83">
        <v>76294.767404000013</v>
      </c>
      <c r="J62" s="84">
        <f t="shared" si="5"/>
        <v>10039.061504000012</v>
      </c>
      <c r="K62" s="78">
        <f t="shared" si="6"/>
        <v>0.15151995390633988</v>
      </c>
      <c r="L62" s="84"/>
      <c r="M62" s="84"/>
      <c r="N62" s="84">
        <f t="shared" si="7"/>
        <v>0</v>
      </c>
      <c r="O62" s="84">
        <v>76269.226471999995</v>
      </c>
      <c r="P62" s="84">
        <v>76294.767404000013</v>
      </c>
      <c r="Q62" s="84">
        <f t="shared" si="8"/>
        <v>-25.540932000018074</v>
      </c>
      <c r="R62" s="84">
        <f t="shared" si="9"/>
        <v>-306.49118400021689</v>
      </c>
      <c r="S62" s="85"/>
      <c r="T62" s="84"/>
    </row>
    <row r="63" spans="2:20" ht="25" hidden="1">
      <c r="B63" s="74" t="s">
        <v>112</v>
      </c>
      <c r="C63" s="75" t="s">
        <v>18</v>
      </c>
      <c r="D63" s="75" t="s">
        <v>28</v>
      </c>
      <c r="E63" s="76">
        <v>45861</v>
      </c>
      <c r="F63" s="76">
        <v>45717</v>
      </c>
      <c r="G63" s="75" t="s">
        <v>447</v>
      </c>
      <c r="H63" s="83">
        <v>43470.37</v>
      </c>
      <c r="I63" s="83">
        <v>45903.045609852416</v>
      </c>
      <c r="J63" s="84">
        <f t="shared" si="5"/>
        <v>2432.6756098524129</v>
      </c>
      <c r="K63" s="78">
        <f t="shared" si="6"/>
        <v>5.5961695514724463E-2</v>
      </c>
      <c r="L63" s="84">
        <f>Reajuste[[#This Row],[Reajuste]]*4</f>
        <v>9730.7024394096516</v>
      </c>
      <c r="M63" s="84">
        <v>9730.7024394096516</v>
      </c>
      <c r="N63" s="84">
        <f t="shared" si="7"/>
        <v>0</v>
      </c>
      <c r="O63" s="84">
        <v>45949.389197847937</v>
      </c>
      <c r="P63" s="84">
        <v>45903.045609852416</v>
      </c>
      <c r="Q63" s="84">
        <f t="shared" si="8"/>
        <v>46.343587995521375</v>
      </c>
      <c r="R63" s="84">
        <f t="shared" si="9"/>
        <v>556.1230559462565</v>
      </c>
      <c r="S63" s="85" t="s">
        <v>471</v>
      </c>
      <c r="T63" s="84"/>
    </row>
    <row r="64" spans="2:20" hidden="1">
      <c r="B64" s="74" t="s">
        <v>40</v>
      </c>
      <c r="C64" s="75" t="s">
        <v>19</v>
      </c>
      <c r="D64" s="75" t="s">
        <v>32</v>
      </c>
      <c r="E64" s="76">
        <v>45748</v>
      </c>
      <c r="F64" s="76">
        <v>45658</v>
      </c>
      <c r="G64" s="75" t="s">
        <v>447</v>
      </c>
      <c r="H64" s="83">
        <v>122035</v>
      </c>
      <c r="I64" s="83">
        <v>127463.91386716676</v>
      </c>
      <c r="J64" s="84">
        <f t="shared" si="5"/>
        <v>5428.9138671667606</v>
      </c>
      <c r="K64" s="78">
        <f t="shared" si="6"/>
        <v>4.4486531463651911E-2</v>
      </c>
      <c r="L64" s="108">
        <f>12359.7444614492*3</f>
        <v>37079.233384347601</v>
      </c>
      <c r="M64" s="109">
        <v>21745.51</v>
      </c>
      <c r="N64" s="84">
        <f t="shared" si="7"/>
        <v>15333.723384347602</v>
      </c>
      <c r="O64" s="84">
        <v>139823.658328616</v>
      </c>
      <c r="P64" s="83">
        <v>127463.91386716676</v>
      </c>
      <c r="Q64" s="84">
        <f t="shared" si="8"/>
        <v>12359.744461449241</v>
      </c>
      <c r="R64" s="84">
        <f t="shared" si="9"/>
        <v>148316.9335373909</v>
      </c>
      <c r="S64" s="85" t="s">
        <v>449</v>
      </c>
      <c r="T64" s="84"/>
    </row>
    <row r="65" spans="2:20" hidden="1">
      <c r="B65" s="74" t="s">
        <v>40</v>
      </c>
      <c r="C65" s="75" t="s">
        <v>19</v>
      </c>
      <c r="D65" s="75" t="s">
        <v>25</v>
      </c>
      <c r="E65" s="76">
        <v>45824</v>
      </c>
      <c r="F65" s="76">
        <v>45717</v>
      </c>
      <c r="G65" s="75" t="s">
        <v>447</v>
      </c>
      <c r="H65" s="83">
        <v>124611.54837574999</v>
      </c>
      <c r="I65" s="83">
        <v>130484.43018369999</v>
      </c>
      <c r="J65" s="84">
        <f t="shared" si="5"/>
        <v>5872.8818079500052</v>
      </c>
      <c r="K65" s="78">
        <f t="shared" si="6"/>
        <v>4.7129514756056881E-2</v>
      </c>
      <c r="L65" s="84">
        <v>0</v>
      </c>
      <c r="M65" s="84">
        <v>0</v>
      </c>
      <c r="N65" s="84">
        <f t="shared" si="7"/>
        <v>0</v>
      </c>
      <c r="O65" s="84"/>
      <c r="P65" s="84"/>
      <c r="Q65" s="84">
        <f t="shared" si="8"/>
        <v>0</v>
      </c>
      <c r="R65" s="84">
        <f t="shared" si="9"/>
        <v>0</v>
      </c>
      <c r="S65" s="85"/>
      <c r="T65" s="84"/>
    </row>
    <row r="66" spans="2:20" hidden="1">
      <c r="B66" s="74" t="s">
        <v>40</v>
      </c>
      <c r="C66" s="75" t="s">
        <v>19</v>
      </c>
      <c r="D66" s="75" t="s">
        <v>25</v>
      </c>
      <c r="E66" s="76">
        <v>45824</v>
      </c>
      <c r="F66" s="76">
        <v>45778</v>
      </c>
      <c r="G66" s="75" t="s">
        <v>447</v>
      </c>
      <c r="H66" s="83">
        <v>130484.43018369999</v>
      </c>
      <c r="I66" s="83">
        <v>131052.79948289999</v>
      </c>
      <c r="J66" s="84">
        <f t="shared" si="5"/>
        <v>568.36929919999966</v>
      </c>
      <c r="K66" s="78">
        <f t="shared" si="6"/>
        <v>4.355839991022928E-3</v>
      </c>
      <c r="L66" s="84">
        <v>18187.009999999998</v>
      </c>
      <c r="M66" s="84">
        <v>18187.014960108776</v>
      </c>
      <c r="N66" s="84">
        <f t="shared" si="7"/>
        <v>-4.9601087775954511E-3</v>
      </c>
      <c r="O66" s="84"/>
      <c r="P66" s="84"/>
      <c r="Q66" s="84">
        <f t="shared" si="8"/>
        <v>0</v>
      </c>
      <c r="R66" s="84">
        <f t="shared" si="9"/>
        <v>0</v>
      </c>
      <c r="S66" s="85"/>
      <c r="T66" s="84"/>
    </row>
    <row r="67" spans="2:20" hidden="1">
      <c r="B67" s="74" t="s">
        <v>40</v>
      </c>
      <c r="C67" s="75" t="s">
        <v>19</v>
      </c>
      <c r="D67" s="75" t="s">
        <v>26</v>
      </c>
      <c r="E67" s="76">
        <v>45824</v>
      </c>
      <c r="F67" s="76">
        <v>45717</v>
      </c>
      <c r="G67" s="75" t="s">
        <v>447</v>
      </c>
      <c r="H67" s="83">
        <v>29757.23357965743</v>
      </c>
      <c r="I67" s="83">
        <v>31272.826082419939</v>
      </c>
      <c r="J67" s="84">
        <f t="shared" ref="J67:J91" si="10">IFERROR(IF(H67&gt;0,I67-H67,""),"")</f>
        <v>1515.592502762509</v>
      </c>
      <c r="K67" s="78">
        <f t="shared" ref="K67:K91" si="11">IFERROR(IF(J67&gt;0,J67/H67,""),"")</f>
        <v>5.0931901942611851E-2</v>
      </c>
      <c r="L67" s="84">
        <v>0</v>
      </c>
      <c r="M67" s="84">
        <v>0</v>
      </c>
      <c r="N67" s="84">
        <f t="shared" ref="N67:N91" si="12">L67-M67</f>
        <v>0</v>
      </c>
      <c r="O67" s="84"/>
      <c r="P67" s="84"/>
      <c r="Q67" s="84">
        <f t="shared" ref="Q67:Q91" si="13">O67-P67</f>
        <v>0</v>
      </c>
      <c r="R67" s="84">
        <f t="shared" ref="R67:R91" si="14">Q67*12</f>
        <v>0</v>
      </c>
      <c r="S67" s="85"/>
      <c r="T67" s="84"/>
    </row>
    <row r="68" spans="2:20" hidden="1">
      <c r="B68" s="74" t="s">
        <v>40</v>
      </c>
      <c r="C68" s="75" t="s">
        <v>19</v>
      </c>
      <c r="D68" s="75" t="s">
        <v>26</v>
      </c>
      <c r="E68" s="76">
        <v>45824</v>
      </c>
      <c r="F68" s="76">
        <v>45778</v>
      </c>
      <c r="G68" s="75" t="s">
        <v>447</v>
      </c>
      <c r="H68" s="83">
        <v>31272.826082419939</v>
      </c>
      <c r="I68" s="83">
        <v>31416.077186057617</v>
      </c>
      <c r="J68" s="84">
        <f t="shared" si="10"/>
        <v>143.25110363767817</v>
      </c>
      <c r="K68" s="78">
        <f t="shared" si="11"/>
        <v>4.5806894221883891E-3</v>
      </c>
      <c r="L68" s="84">
        <v>6784.66</v>
      </c>
      <c r="M68" s="84">
        <v>6325.6284962770951</v>
      </c>
      <c r="N68" s="84">
        <f t="shared" si="12"/>
        <v>459.03150372290474</v>
      </c>
      <c r="O68" s="84"/>
      <c r="P68" s="84"/>
      <c r="Q68" s="84">
        <f t="shared" si="13"/>
        <v>0</v>
      </c>
      <c r="R68" s="84">
        <f t="shared" si="14"/>
        <v>0</v>
      </c>
      <c r="S68" s="85"/>
      <c r="T68" s="84"/>
    </row>
    <row r="69" spans="2:20" hidden="1">
      <c r="B69" s="74" t="s">
        <v>40</v>
      </c>
      <c r="C69" s="75" t="s">
        <v>19</v>
      </c>
      <c r="D69" s="75" t="s">
        <v>161</v>
      </c>
      <c r="E69" s="76">
        <v>45824</v>
      </c>
      <c r="F69" s="76">
        <v>45717</v>
      </c>
      <c r="G69" s="75" t="s">
        <v>447</v>
      </c>
      <c r="H69" s="83">
        <v>12445.05</v>
      </c>
      <c r="I69" s="83">
        <v>13007.772135499999</v>
      </c>
      <c r="J69" s="84">
        <f t="shared" si="10"/>
        <v>562.72213550000015</v>
      </c>
      <c r="K69" s="78">
        <f t="shared" si="11"/>
        <v>4.5216542761981685E-2</v>
      </c>
      <c r="L69" s="84">
        <v>0</v>
      </c>
      <c r="M69" s="84">
        <v>0</v>
      </c>
      <c r="N69" s="84">
        <f t="shared" si="12"/>
        <v>0</v>
      </c>
      <c r="O69" s="84"/>
      <c r="P69" s="84"/>
      <c r="Q69" s="84">
        <f t="shared" si="13"/>
        <v>0</v>
      </c>
      <c r="R69" s="84">
        <f t="shared" si="14"/>
        <v>0</v>
      </c>
      <c r="S69" s="85"/>
      <c r="T69" s="84"/>
    </row>
    <row r="70" spans="2:20" hidden="1">
      <c r="B70" s="74" t="s">
        <v>40</v>
      </c>
      <c r="C70" s="75" t="s">
        <v>19</v>
      </c>
      <c r="D70" s="75" t="s">
        <v>161</v>
      </c>
      <c r="E70" s="76">
        <v>45824</v>
      </c>
      <c r="F70" s="76">
        <v>45717</v>
      </c>
      <c r="G70" s="75" t="s">
        <v>447</v>
      </c>
      <c r="H70" s="83">
        <v>13032.6190881</v>
      </c>
      <c r="I70" s="83">
        <v>13103.564369376998</v>
      </c>
      <c r="J70" s="84">
        <f t="shared" si="10"/>
        <v>70.945281276997775</v>
      </c>
      <c r="K70" s="78">
        <f t="shared" si="11"/>
        <v>5.4436702858735014E-3</v>
      </c>
      <c r="L70" s="84">
        <v>2442.46</v>
      </c>
      <c r="M70" s="84">
        <v>2442.46</v>
      </c>
      <c r="N70" s="84">
        <f t="shared" si="12"/>
        <v>0</v>
      </c>
      <c r="O70" s="84"/>
      <c r="P70" s="84"/>
      <c r="Q70" s="84">
        <f t="shared" si="13"/>
        <v>0</v>
      </c>
      <c r="R70" s="84">
        <f t="shared" si="14"/>
        <v>0</v>
      </c>
      <c r="S70" s="85"/>
      <c r="T70" s="84"/>
    </row>
    <row r="71" spans="2:20" hidden="1">
      <c r="B71" s="74" t="s">
        <v>63</v>
      </c>
      <c r="C71" s="75" t="s">
        <v>19</v>
      </c>
      <c r="D71" s="75" t="s">
        <v>28</v>
      </c>
      <c r="E71" s="76">
        <v>45838</v>
      </c>
      <c r="F71" s="76">
        <v>45717</v>
      </c>
      <c r="G71" s="75" t="s">
        <v>447</v>
      </c>
      <c r="H71" s="83">
        <v>111740.3</v>
      </c>
      <c r="I71" s="83">
        <v>118516.40880941587</v>
      </c>
      <c r="J71" s="84">
        <f t="shared" si="10"/>
        <v>6776.1088094158622</v>
      </c>
      <c r="K71" s="78">
        <f t="shared" si="11"/>
        <v>6.0641584185972847E-2</v>
      </c>
      <c r="L71" s="84"/>
      <c r="M71" s="84"/>
      <c r="N71" s="84">
        <f t="shared" si="12"/>
        <v>0</v>
      </c>
      <c r="O71" s="84">
        <v>120483.27</v>
      </c>
      <c r="P71" s="84">
        <v>118516.40880941587</v>
      </c>
      <c r="Q71" s="84">
        <f t="shared" si="13"/>
        <v>1966.861190584139</v>
      </c>
      <c r="R71" s="84">
        <f t="shared" si="14"/>
        <v>23602.334287009668</v>
      </c>
      <c r="S71" s="85"/>
      <c r="T71" s="84"/>
    </row>
    <row r="72" spans="2:20" hidden="1">
      <c r="B72" s="74" t="s">
        <v>40</v>
      </c>
      <c r="C72" s="75" t="s">
        <v>19</v>
      </c>
      <c r="D72" s="75" t="s">
        <v>31</v>
      </c>
      <c r="E72" s="76">
        <v>45846</v>
      </c>
      <c r="F72" s="76">
        <v>45748</v>
      </c>
      <c r="G72" s="75" t="s">
        <v>447</v>
      </c>
      <c r="H72" s="83">
        <v>129511.50000000001</v>
      </c>
      <c r="I72" s="83">
        <v>138505.63445524889</v>
      </c>
      <c r="J72" s="84">
        <f t="shared" si="10"/>
        <v>8994.1344552488736</v>
      </c>
      <c r="K72" s="78">
        <f t="shared" si="11"/>
        <v>6.9446608642853125E-2</v>
      </c>
      <c r="L72" s="84">
        <f>3*9499.90999999999</f>
        <v>28499.729999999974</v>
      </c>
      <c r="M72" s="84">
        <v>26982.34</v>
      </c>
      <c r="N72" s="84">
        <f t="shared" si="12"/>
        <v>1517.389999999974</v>
      </c>
      <c r="O72" s="84">
        <v>139011.41</v>
      </c>
      <c r="P72" s="84">
        <v>138505.63445524889</v>
      </c>
      <c r="Q72" s="84">
        <f t="shared" si="13"/>
        <v>505.77554475111538</v>
      </c>
      <c r="R72" s="84">
        <f t="shared" si="14"/>
        <v>6069.3065370133845</v>
      </c>
      <c r="S72" s="85"/>
      <c r="T72" s="84"/>
    </row>
    <row r="73" spans="2:20" hidden="1">
      <c r="B73" s="74" t="s">
        <v>39</v>
      </c>
      <c r="C73" s="75" t="s">
        <v>20</v>
      </c>
      <c r="D73" s="75" t="s">
        <v>32</v>
      </c>
      <c r="E73" s="76">
        <v>45658</v>
      </c>
      <c r="F73" s="76">
        <v>45658</v>
      </c>
      <c r="G73" s="75" t="s">
        <v>447</v>
      </c>
      <c r="H73" s="83">
        <v>116393.16992604088</v>
      </c>
      <c r="I73" s="83">
        <v>122584.65314060339</v>
      </c>
      <c r="J73" s="84">
        <f t="shared" si="10"/>
        <v>6191.4832145625114</v>
      </c>
      <c r="K73" s="78">
        <f t="shared" si="11"/>
        <v>5.3194557880816666E-2</v>
      </c>
      <c r="L73" s="84">
        <v>6191.4832145625114</v>
      </c>
      <c r="M73" s="84">
        <v>6191.4832145625114</v>
      </c>
      <c r="N73" s="84">
        <f t="shared" si="12"/>
        <v>0</v>
      </c>
      <c r="O73" s="84">
        <v>122147.25</v>
      </c>
      <c r="P73" s="84">
        <f>I73</f>
        <v>122584.65314060339</v>
      </c>
      <c r="Q73" s="84">
        <f t="shared" si="13"/>
        <v>-437.40314060339006</v>
      </c>
      <c r="R73" s="84">
        <f t="shared" si="14"/>
        <v>-5248.8376872406807</v>
      </c>
      <c r="S73" s="85" t="s">
        <v>449</v>
      </c>
      <c r="T73" s="84" t="s">
        <v>472</v>
      </c>
    </row>
    <row r="74" spans="2:20" ht="25" hidden="1">
      <c r="B74" s="74" t="s">
        <v>39</v>
      </c>
      <c r="C74" s="75" t="s">
        <v>20</v>
      </c>
      <c r="D74" s="75" t="s">
        <v>31</v>
      </c>
      <c r="E74" s="76">
        <v>45782</v>
      </c>
      <c r="F74" s="76">
        <v>45717</v>
      </c>
      <c r="G74" s="75" t="s">
        <v>447</v>
      </c>
      <c r="H74" s="83">
        <v>129054.49642615822</v>
      </c>
      <c r="I74" s="83">
        <v>138608.31038396779</v>
      </c>
      <c r="J74" s="84">
        <f t="shared" si="10"/>
        <v>9553.8139578095725</v>
      </c>
      <c r="K74" s="78">
        <f t="shared" si="11"/>
        <v>7.4029299422945935E-2</v>
      </c>
      <c r="L74" s="84">
        <f>(Reajuste[[#This Row],[Valor 2025
Fornecedor]]-Reajuste[[#This Row],[Valor 2024]])*2</f>
        <v>19116.247147683549</v>
      </c>
      <c r="M74" s="84">
        <v>19107.63</v>
      </c>
      <c r="N74" s="84">
        <f t="shared" si="12"/>
        <v>8.6171476835479552</v>
      </c>
      <c r="O74" s="84">
        <v>138612.62</v>
      </c>
      <c r="P74" s="84">
        <v>138608.31038396779</v>
      </c>
      <c r="Q74" s="84">
        <f t="shared" si="13"/>
        <v>4.3096160322020296</v>
      </c>
      <c r="R74" s="54">
        <f t="shared" si="14"/>
        <v>51.715392386424355</v>
      </c>
      <c r="S74" s="85" t="s">
        <v>448</v>
      </c>
      <c r="T74" s="84"/>
    </row>
    <row r="75" spans="2:20" ht="25" hidden="1">
      <c r="B75" s="74" t="s">
        <v>40</v>
      </c>
      <c r="C75" s="75" t="s">
        <v>20</v>
      </c>
      <c r="D75" s="75" t="s">
        <v>30</v>
      </c>
      <c r="E75" s="76">
        <v>45811</v>
      </c>
      <c r="F75" s="76">
        <v>45717</v>
      </c>
      <c r="G75" s="75" t="s">
        <v>447</v>
      </c>
      <c r="H75" s="83">
        <v>409317.3865767073</v>
      </c>
      <c r="I75" s="83">
        <v>441236.93741557532</v>
      </c>
      <c r="J75" s="84">
        <f t="shared" si="10"/>
        <v>31919.550838868017</v>
      </c>
      <c r="K75" s="78">
        <f t="shared" si="11"/>
        <v>7.7982396755301761E-2</v>
      </c>
      <c r="L75" s="84"/>
      <c r="M75" s="84"/>
      <c r="N75" s="84">
        <f t="shared" si="12"/>
        <v>0</v>
      </c>
      <c r="O75" s="84">
        <v>441093.78</v>
      </c>
      <c r="P75" s="83">
        <v>441236.93741557532</v>
      </c>
      <c r="Q75" s="84">
        <f t="shared" si="13"/>
        <v>-143.15741557528963</v>
      </c>
      <c r="R75" s="84">
        <f t="shared" si="14"/>
        <v>-1717.8889869034756</v>
      </c>
      <c r="S75" s="85" t="s">
        <v>448</v>
      </c>
      <c r="T75" s="84" t="s">
        <v>472</v>
      </c>
    </row>
    <row r="76" spans="2:20" ht="25" hidden="1">
      <c r="B76" s="74" t="s">
        <v>40</v>
      </c>
      <c r="C76" s="75" t="s">
        <v>20</v>
      </c>
      <c r="D76" s="75" t="s">
        <v>35</v>
      </c>
      <c r="E76" s="76">
        <v>45811</v>
      </c>
      <c r="F76" s="76">
        <v>45717</v>
      </c>
      <c r="G76" s="75" t="s">
        <v>447</v>
      </c>
      <c r="H76" s="83">
        <v>78582.964918590107</v>
      </c>
      <c r="I76" s="83">
        <v>84130.1395624219</v>
      </c>
      <c r="J76" s="84">
        <f t="shared" si="10"/>
        <v>5547.1746438317932</v>
      </c>
      <c r="K76" s="78">
        <f t="shared" si="11"/>
        <v>7.059004008793153E-2</v>
      </c>
      <c r="L76" s="84"/>
      <c r="M76" s="84"/>
      <c r="N76" s="84">
        <f t="shared" si="12"/>
        <v>0</v>
      </c>
      <c r="O76" s="84">
        <v>84104.77</v>
      </c>
      <c r="P76" s="84">
        <v>84130.1395624219</v>
      </c>
      <c r="Q76" s="84">
        <f t="shared" si="13"/>
        <v>-25.369562421896262</v>
      </c>
      <c r="R76" s="84">
        <f t="shared" si="14"/>
        <v>-304.43474906275515</v>
      </c>
      <c r="S76" s="85" t="s">
        <v>448</v>
      </c>
      <c r="T76" s="84" t="s">
        <v>472</v>
      </c>
    </row>
    <row r="77" spans="2:20" hidden="1">
      <c r="B77" s="74" t="s">
        <v>40</v>
      </c>
      <c r="C77" s="75" t="s">
        <v>20</v>
      </c>
      <c r="D77" s="75" t="s">
        <v>25</v>
      </c>
      <c r="E77" s="76">
        <v>45840</v>
      </c>
      <c r="F77" s="76">
        <v>45717</v>
      </c>
      <c r="G77" s="75" t="s">
        <v>447</v>
      </c>
      <c r="H77" s="83">
        <v>121602.34383389998</v>
      </c>
      <c r="I77" s="83">
        <v>126846.05985199999</v>
      </c>
      <c r="J77" s="84">
        <f t="shared" si="10"/>
        <v>5243.7160181000072</v>
      </c>
      <c r="K77" s="78">
        <f t="shared" si="11"/>
        <v>4.3121833451356367E-2</v>
      </c>
      <c r="L77" s="84"/>
      <c r="M77" s="84"/>
      <c r="N77" s="84">
        <f t="shared" si="12"/>
        <v>0</v>
      </c>
      <c r="O77" s="84">
        <v>127748.79</v>
      </c>
      <c r="P77" s="84">
        <v>126846.05985199999</v>
      </c>
      <c r="Q77" s="84">
        <f t="shared" si="13"/>
        <v>902.73014800000237</v>
      </c>
      <c r="R77" s="84">
        <f t="shared" si="14"/>
        <v>10832.761776000028</v>
      </c>
      <c r="S77" s="85"/>
      <c r="T77" s="84"/>
    </row>
    <row r="78" spans="2:20" hidden="1">
      <c r="B78" s="74" t="s">
        <v>40</v>
      </c>
      <c r="C78" s="75" t="s">
        <v>20</v>
      </c>
      <c r="D78" s="75" t="s">
        <v>25</v>
      </c>
      <c r="E78" s="76">
        <v>45840</v>
      </c>
      <c r="F78" s="76">
        <v>45778</v>
      </c>
      <c r="G78" s="75" t="s">
        <v>447</v>
      </c>
      <c r="H78" s="83">
        <v>126846.05985199999</v>
      </c>
      <c r="I78" s="83">
        <v>127346.83951569998</v>
      </c>
      <c r="J78" s="84">
        <f t="shared" si="10"/>
        <v>500.77966369998467</v>
      </c>
      <c r="K78" s="78">
        <f t="shared" si="11"/>
        <v>3.9479323542590027E-3</v>
      </c>
      <c r="L78" s="84"/>
      <c r="M78" s="84"/>
      <c r="N78" s="84">
        <f t="shared" si="12"/>
        <v>0</v>
      </c>
      <c r="O78" s="84">
        <v>128280.36</v>
      </c>
      <c r="P78" s="84">
        <v>127346.83951569998</v>
      </c>
      <c r="Q78" s="84">
        <f t="shared" si="13"/>
        <v>933.52048430002469</v>
      </c>
      <c r="R78" s="84">
        <f t="shared" si="14"/>
        <v>11202.245811600296</v>
      </c>
      <c r="S78" s="85"/>
      <c r="T78" s="84"/>
    </row>
    <row r="79" spans="2:20" hidden="1">
      <c r="B79" s="74" t="s">
        <v>37</v>
      </c>
      <c r="C79" s="75" t="s">
        <v>20</v>
      </c>
      <c r="D79" s="75" t="s">
        <v>28</v>
      </c>
      <c r="E79" s="76">
        <v>45904</v>
      </c>
      <c r="F79" s="76">
        <v>45717</v>
      </c>
      <c r="G79" s="75" t="s">
        <v>447</v>
      </c>
      <c r="H79" s="83">
        <v>72737.55</v>
      </c>
      <c r="I79" s="83">
        <v>76946.511608279514</v>
      </c>
      <c r="J79" s="84">
        <f t="shared" si="10"/>
        <v>4208.961608279511</v>
      </c>
      <c r="K79" s="78">
        <f t="shared" si="11"/>
        <v>5.7865045059663278E-2</v>
      </c>
      <c r="L79" s="84"/>
      <c r="M79" s="84"/>
      <c r="N79" s="84">
        <f t="shared" si="12"/>
        <v>0</v>
      </c>
      <c r="O79" s="84">
        <v>76946.511608279514</v>
      </c>
      <c r="P79" s="84">
        <v>76946.511608279514</v>
      </c>
      <c r="Q79" s="84">
        <f t="shared" si="13"/>
        <v>0</v>
      </c>
      <c r="R79" s="84">
        <f t="shared" si="14"/>
        <v>0</v>
      </c>
      <c r="S79" s="85"/>
      <c r="T79" s="84"/>
    </row>
    <row r="80" spans="2:20" hidden="1">
      <c r="B80" s="74" t="s">
        <v>38</v>
      </c>
      <c r="C80" s="75" t="s">
        <v>20</v>
      </c>
      <c r="D80" s="75" t="s">
        <v>29</v>
      </c>
      <c r="E80" s="76"/>
      <c r="F80" s="76">
        <v>45383</v>
      </c>
      <c r="G80" s="75" t="s">
        <v>447</v>
      </c>
      <c r="H80" s="83">
        <v>38870.649669843246</v>
      </c>
      <c r="I80" s="83">
        <v>40622.751531074253</v>
      </c>
      <c r="J80" s="84">
        <f t="shared" si="10"/>
        <v>1752.1018612310072</v>
      </c>
      <c r="K80" s="78">
        <f t="shared" si="11"/>
        <v>4.5075188506312223E-2</v>
      </c>
      <c r="L80" s="84"/>
      <c r="M80" s="84"/>
      <c r="N80" s="84">
        <f t="shared" si="12"/>
        <v>0</v>
      </c>
      <c r="O80" s="84"/>
      <c r="P80" s="84"/>
      <c r="Q80" s="84">
        <f t="shared" si="13"/>
        <v>0</v>
      </c>
      <c r="R80" s="84">
        <f t="shared" si="14"/>
        <v>0</v>
      </c>
      <c r="S80" s="85"/>
      <c r="T80" s="84"/>
    </row>
    <row r="81" spans="2:20" ht="25" hidden="1">
      <c r="B81" s="74" t="s">
        <v>38</v>
      </c>
      <c r="C81" s="75" t="s">
        <v>20</v>
      </c>
      <c r="D81" s="75" t="s">
        <v>158</v>
      </c>
      <c r="E81" s="76"/>
      <c r="F81" s="76">
        <v>45383</v>
      </c>
      <c r="G81" s="75" t="s">
        <v>447</v>
      </c>
      <c r="H81" s="83">
        <v>3607</v>
      </c>
      <c r="I81" s="83">
        <v>3849.0205154940363</v>
      </c>
      <c r="J81" s="84">
        <f t="shared" si="10"/>
        <v>242.02051549403632</v>
      </c>
      <c r="K81" s="78">
        <f t="shared" si="11"/>
        <v>6.709745369948332E-2</v>
      </c>
      <c r="L81" s="84"/>
      <c r="M81" s="84"/>
      <c r="N81" s="84">
        <f t="shared" si="12"/>
        <v>0</v>
      </c>
      <c r="O81" s="84"/>
      <c r="P81" s="84"/>
      <c r="Q81" s="84">
        <f t="shared" si="13"/>
        <v>0</v>
      </c>
      <c r="R81" s="84">
        <f t="shared" si="14"/>
        <v>0</v>
      </c>
      <c r="S81" s="85"/>
      <c r="T81" s="84"/>
    </row>
    <row r="82" spans="2:20" ht="25" hidden="1">
      <c r="B82" s="74" t="s">
        <v>40</v>
      </c>
      <c r="C82" s="75" t="s">
        <v>21</v>
      </c>
      <c r="D82" s="75" t="s">
        <v>30</v>
      </c>
      <c r="E82" s="76">
        <v>45778</v>
      </c>
      <c r="F82" s="76">
        <v>45658</v>
      </c>
      <c r="G82" s="75" t="s">
        <v>447</v>
      </c>
      <c r="H82" s="264">
        <v>339969.56547945098</v>
      </c>
      <c r="I82" s="83">
        <v>366645.56503316632</v>
      </c>
      <c r="J82" s="84">
        <f t="shared" si="10"/>
        <v>26675.999553715345</v>
      </c>
      <c r="K82" s="78">
        <f t="shared" si="11"/>
        <v>7.8465845953283542E-2</v>
      </c>
      <c r="L82" s="84">
        <v>96009.63</v>
      </c>
      <c r="M82" s="84">
        <v>75664.009999999995</v>
      </c>
      <c r="N82" s="84">
        <f t="shared" si="12"/>
        <v>20345.62000000001</v>
      </c>
      <c r="O82" s="264">
        <v>373818.59</v>
      </c>
      <c r="P82" s="264">
        <v>366645.56503316632</v>
      </c>
      <c r="Q82" s="84">
        <f t="shared" si="13"/>
        <v>7173.0249668337055</v>
      </c>
      <c r="R82" s="84">
        <f t="shared" si="14"/>
        <v>86076.299602004467</v>
      </c>
      <c r="S82" s="85" t="s">
        <v>473</v>
      </c>
      <c r="T82" s="84"/>
    </row>
    <row r="83" spans="2:20" ht="25" hidden="1">
      <c r="B83" s="74" t="s">
        <v>41</v>
      </c>
      <c r="C83" s="75" t="s">
        <v>21</v>
      </c>
      <c r="D83" s="75" t="s">
        <v>25</v>
      </c>
      <c r="E83" s="76">
        <v>45778</v>
      </c>
      <c r="F83" s="76">
        <v>45413</v>
      </c>
      <c r="G83" s="75" t="s">
        <v>447</v>
      </c>
      <c r="H83" s="83">
        <v>133864.34</v>
      </c>
      <c r="I83" s="83">
        <v>142606.62</v>
      </c>
      <c r="J83" s="84">
        <f t="shared" si="10"/>
        <v>8742.2799999999988</v>
      </c>
      <c r="K83" s="78">
        <f t="shared" si="11"/>
        <v>6.5307011561107312E-2</v>
      </c>
      <c r="L83" s="84">
        <v>0</v>
      </c>
      <c r="M83" s="84">
        <v>0</v>
      </c>
      <c r="N83" s="84">
        <f t="shared" si="12"/>
        <v>0</v>
      </c>
      <c r="O83" s="84">
        <v>143857.29</v>
      </c>
      <c r="P83" s="83">
        <v>142606.62</v>
      </c>
      <c r="Q83" s="84">
        <f t="shared" si="13"/>
        <v>1250.6700000000128</v>
      </c>
      <c r="R83" s="84">
        <f t="shared" si="14"/>
        <v>15008.040000000154</v>
      </c>
      <c r="S83" s="85" t="s">
        <v>474</v>
      </c>
      <c r="T83" s="84" t="s">
        <v>475</v>
      </c>
    </row>
    <row r="84" spans="2:20" ht="25" hidden="1">
      <c r="B84" s="74" t="s">
        <v>41</v>
      </c>
      <c r="C84" s="75" t="s">
        <v>21</v>
      </c>
      <c r="D84" s="75" t="s">
        <v>25</v>
      </c>
      <c r="E84" s="76">
        <v>45778</v>
      </c>
      <c r="F84" s="76">
        <v>45597</v>
      </c>
      <c r="G84" s="75" t="s">
        <v>447</v>
      </c>
      <c r="H84" s="83">
        <v>142606.62</v>
      </c>
      <c r="I84" s="83">
        <v>145811.76999999999</v>
      </c>
      <c r="J84" s="84">
        <f t="shared" si="10"/>
        <v>3205.1499999999942</v>
      </c>
      <c r="K84" s="78">
        <f t="shared" si="11"/>
        <v>2.2475464322764219E-2</v>
      </c>
      <c r="L84" s="84">
        <v>133062.91</v>
      </c>
      <c r="M84" s="84">
        <v>133062.91</v>
      </c>
      <c r="N84" s="84">
        <f t="shared" si="12"/>
        <v>0</v>
      </c>
      <c r="O84" s="84">
        <v>147086.04</v>
      </c>
      <c r="P84" s="83">
        <v>145811.76999999999</v>
      </c>
      <c r="Q84" s="84">
        <f t="shared" si="13"/>
        <v>1274.2700000000186</v>
      </c>
      <c r="R84" s="84">
        <f t="shared" si="14"/>
        <v>15291.240000000224</v>
      </c>
      <c r="S84" s="85" t="s">
        <v>474</v>
      </c>
      <c r="T84" s="84" t="s">
        <v>475</v>
      </c>
    </row>
    <row r="85" spans="2:20" ht="25" hidden="1">
      <c r="B85" s="74" t="s">
        <v>41</v>
      </c>
      <c r="C85" s="75" t="s">
        <v>21</v>
      </c>
      <c r="D85" s="75" t="s">
        <v>26</v>
      </c>
      <c r="E85" s="76">
        <v>45778</v>
      </c>
      <c r="F85" s="76">
        <v>45413</v>
      </c>
      <c r="G85" s="75" t="s">
        <v>447</v>
      </c>
      <c r="H85" s="83">
        <v>15538.04</v>
      </c>
      <c r="I85" s="83">
        <v>16523.150000000001</v>
      </c>
      <c r="J85" s="84">
        <f t="shared" si="10"/>
        <v>985.11000000000058</v>
      </c>
      <c r="K85" s="78">
        <f t="shared" si="11"/>
        <v>6.3399888274196778E-2</v>
      </c>
      <c r="L85" s="84">
        <v>0</v>
      </c>
      <c r="M85" s="84">
        <v>0</v>
      </c>
      <c r="N85" s="84">
        <f t="shared" si="12"/>
        <v>0</v>
      </c>
      <c r="O85" s="84">
        <v>16737.04</v>
      </c>
      <c r="P85" s="83">
        <v>16523.150000000001</v>
      </c>
      <c r="Q85" s="84">
        <f t="shared" si="13"/>
        <v>213.88999999999942</v>
      </c>
      <c r="R85" s="84">
        <f t="shared" si="14"/>
        <v>2566.679999999993</v>
      </c>
      <c r="S85" s="85" t="s">
        <v>474</v>
      </c>
      <c r="T85" s="84" t="s">
        <v>475</v>
      </c>
    </row>
    <row r="86" spans="2:20" ht="25" hidden="1">
      <c r="B86" s="74" t="s">
        <v>41</v>
      </c>
      <c r="C86" s="75" t="s">
        <v>21</v>
      </c>
      <c r="D86" s="75" t="s">
        <v>26</v>
      </c>
      <c r="E86" s="76">
        <v>45778</v>
      </c>
      <c r="F86" s="76">
        <v>45597</v>
      </c>
      <c r="G86" s="75" t="s">
        <v>447</v>
      </c>
      <c r="H86" s="83">
        <v>16523.150000000001</v>
      </c>
      <c r="I86" s="83">
        <v>17006.37</v>
      </c>
      <c r="J86" s="84">
        <f t="shared" si="10"/>
        <v>483.21999999999753</v>
      </c>
      <c r="K86" s="78">
        <f t="shared" si="11"/>
        <v>2.924502894423869E-2</v>
      </c>
      <c r="L86" s="84">
        <v>0</v>
      </c>
      <c r="M86" s="84">
        <v>0</v>
      </c>
      <c r="N86" s="84">
        <f t="shared" si="12"/>
        <v>0</v>
      </c>
      <c r="O86" s="84">
        <v>17220.54</v>
      </c>
      <c r="P86" s="83">
        <v>17006.37</v>
      </c>
      <c r="Q86" s="84">
        <f t="shared" si="13"/>
        <v>214.17000000000189</v>
      </c>
      <c r="R86" s="84">
        <f t="shared" si="14"/>
        <v>2570.0400000000227</v>
      </c>
      <c r="S86" s="266" t="s">
        <v>474</v>
      </c>
      <c r="T86" s="84" t="s">
        <v>475</v>
      </c>
    </row>
    <row r="87" spans="2:20" hidden="1">
      <c r="B87" s="74" t="s">
        <v>95</v>
      </c>
      <c r="C87" s="75" t="s">
        <v>21</v>
      </c>
      <c r="D87" s="75" t="s">
        <v>28</v>
      </c>
      <c r="E87" s="76">
        <v>45819</v>
      </c>
      <c r="F87" s="76">
        <v>45717</v>
      </c>
      <c r="G87" s="52" t="s">
        <v>447</v>
      </c>
      <c r="H87" s="83">
        <v>149682.04</v>
      </c>
      <c r="I87" s="56">
        <v>158469.45000000001</v>
      </c>
      <c r="J87" s="54">
        <f t="shared" si="10"/>
        <v>8787.4100000000035</v>
      </c>
      <c r="K87" s="55">
        <f t="shared" si="11"/>
        <v>5.8707176893099552E-2</v>
      </c>
      <c r="L87" s="54">
        <f>8940.46999999997*7</f>
        <v>62583.28999999979</v>
      </c>
      <c r="M87" s="54">
        <v>61511.87</v>
      </c>
      <c r="N87" s="54">
        <f t="shared" si="12"/>
        <v>1071.4199999997873</v>
      </c>
      <c r="O87" s="54">
        <v>158622.50999999998</v>
      </c>
      <c r="P87" s="54">
        <v>158133.88</v>
      </c>
      <c r="Q87" s="54">
        <f t="shared" si="13"/>
        <v>488.62999999997555</v>
      </c>
      <c r="R87" s="54">
        <f t="shared" si="14"/>
        <v>5863.5599999997066</v>
      </c>
      <c r="S87" s="266" t="s">
        <v>476</v>
      </c>
      <c r="T87" s="54"/>
    </row>
    <row r="88" spans="2:20" ht="25" hidden="1">
      <c r="B88" s="74" t="s">
        <v>40</v>
      </c>
      <c r="C88" s="75" t="s">
        <v>21</v>
      </c>
      <c r="D88" s="75" t="s">
        <v>31</v>
      </c>
      <c r="E88" s="76">
        <v>45748</v>
      </c>
      <c r="F88" s="76">
        <v>45658</v>
      </c>
      <c r="G88" s="75" t="s">
        <v>447</v>
      </c>
      <c r="H88" s="83">
        <v>102779.25</v>
      </c>
      <c r="I88" s="83">
        <v>112345.64809023999</v>
      </c>
      <c r="J88" s="84">
        <f t="shared" si="10"/>
        <v>9566.3980902399926</v>
      </c>
      <c r="K88" s="78">
        <f t="shared" si="11"/>
        <v>9.3077134637974027E-2</v>
      </c>
      <c r="L88" s="84">
        <v>14122.89</v>
      </c>
      <c r="M88" s="84">
        <v>13696.668861369875</v>
      </c>
      <c r="N88" s="84">
        <f t="shared" si="12"/>
        <v>426.22113863012419</v>
      </c>
      <c r="O88" s="84">
        <v>113304.89619432001</v>
      </c>
      <c r="P88" s="84">
        <v>112345.64809023999</v>
      </c>
      <c r="Q88" s="84">
        <f t="shared" si="13"/>
        <v>959.2481040800194</v>
      </c>
      <c r="R88" s="84">
        <f t="shared" si="14"/>
        <v>11510.977248960233</v>
      </c>
      <c r="S88" s="85" t="s">
        <v>473</v>
      </c>
      <c r="T88" s="84"/>
    </row>
    <row r="89" spans="2:20" ht="25" hidden="1">
      <c r="B89" s="74" t="s">
        <v>40</v>
      </c>
      <c r="C89" s="75" t="s">
        <v>21</v>
      </c>
      <c r="D89" s="75" t="s">
        <v>32</v>
      </c>
      <c r="E89" s="76">
        <v>45748</v>
      </c>
      <c r="F89" s="76">
        <v>45658</v>
      </c>
      <c r="G89" s="75" t="s">
        <v>447</v>
      </c>
      <c r="H89" s="83">
        <v>126653.9</v>
      </c>
      <c r="I89" s="83">
        <v>134113.77099344</v>
      </c>
      <c r="J89" s="84">
        <f t="shared" si="10"/>
        <v>7459.8709934400104</v>
      </c>
      <c r="K89" s="78">
        <f t="shared" si="11"/>
        <v>5.8899654834474194E-2</v>
      </c>
      <c r="L89" s="84">
        <v>18620.967809419803</v>
      </c>
      <c r="M89" s="84">
        <v>18620.967809419803</v>
      </c>
      <c r="N89" s="84">
        <f t="shared" si="12"/>
        <v>0</v>
      </c>
      <c r="O89" s="84">
        <v>135493.85302944001</v>
      </c>
      <c r="P89" s="84">
        <v>134113.77099344</v>
      </c>
      <c r="Q89" s="84">
        <f t="shared" si="13"/>
        <v>1380.0820360000071</v>
      </c>
      <c r="R89" s="84">
        <f t="shared" si="14"/>
        <v>16560.984432000085</v>
      </c>
      <c r="S89" s="85" t="s">
        <v>477</v>
      </c>
      <c r="T89" s="84"/>
    </row>
    <row r="90" spans="2:20" hidden="1">
      <c r="B90" s="74" t="s">
        <v>41</v>
      </c>
      <c r="C90" s="75" t="s">
        <v>21</v>
      </c>
      <c r="D90" s="75" t="s">
        <v>25</v>
      </c>
      <c r="E90" s="76">
        <v>45922</v>
      </c>
      <c r="F90" s="76">
        <v>45778</v>
      </c>
      <c r="G90" s="75" t="s">
        <v>447</v>
      </c>
      <c r="H90" s="83">
        <v>171190.3</v>
      </c>
      <c r="I90" s="83">
        <v>189181.28389419883</v>
      </c>
      <c r="J90" s="84">
        <f t="shared" si="10"/>
        <v>17990.983894198842</v>
      </c>
      <c r="K90" s="78">
        <f t="shared" si="11"/>
        <v>0.10509347722504629</v>
      </c>
      <c r="L90" s="84">
        <f>20632.79*4</f>
        <v>82531.16</v>
      </c>
      <c r="M90" s="84">
        <v>69938.880000000005</v>
      </c>
      <c r="N90" s="84">
        <f t="shared" si="12"/>
        <v>12592.279999999999</v>
      </c>
      <c r="O90" s="84">
        <v>192041.75</v>
      </c>
      <c r="P90" s="84">
        <v>189181.28389419883</v>
      </c>
      <c r="Q90" s="84">
        <f t="shared" si="13"/>
        <v>2860.4661058011698</v>
      </c>
      <c r="R90" s="84">
        <f t="shared" si="14"/>
        <v>34325.593269614037</v>
      </c>
      <c r="S90" s="85"/>
      <c r="T90" s="84"/>
    </row>
    <row r="91" spans="2:20" hidden="1">
      <c r="B91" s="74" t="s">
        <v>41</v>
      </c>
      <c r="C91" s="75" t="s">
        <v>21</v>
      </c>
      <c r="D91" s="75" t="s">
        <v>26</v>
      </c>
      <c r="E91" s="76">
        <v>45922</v>
      </c>
      <c r="F91" s="76">
        <v>45778</v>
      </c>
      <c r="G91" s="75" t="s">
        <v>447</v>
      </c>
      <c r="H91" s="83">
        <v>23179.89</v>
      </c>
      <c r="I91" s="83">
        <v>25771.06060299306</v>
      </c>
      <c r="J91" s="84">
        <f t="shared" si="10"/>
        <v>2591.170602993061</v>
      </c>
      <c r="K91" s="78">
        <f t="shared" si="11"/>
        <v>0.11178528470122426</v>
      </c>
      <c r="L91" s="84">
        <f>3185.71*4</f>
        <v>12742.84</v>
      </c>
      <c r="M91" s="84">
        <v>10332.290000000001</v>
      </c>
      <c r="N91" s="84">
        <f t="shared" si="12"/>
        <v>2410.5499999999993</v>
      </c>
      <c r="O91" s="84">
        <v>26365.599999999999</v>
      </c>
      <c r="P91" s="84">
        <v>25771.06060299306</v>
      </c>
      <c r="Q91" s="84">
        <f t="shared" si="13"/>
        <v>594.53939700693809</v>
      </c>
      <c r="R91" s="84">
        <f t="shared" si="14"/>
        <v>7134.4727640832571</v>
      </c>
      <c r="S91" s="85"/>
      <c r="T91" s="84"/>
    </row>
    <row r="92" spans="2:20" hidden="1">
      <c r="B92" s="74" t="s">
        <v>37</v>
      </c>
      <c r="C92" s="75" t="s">
        <v>12</v>
      </c>
      <c r="D92" s="75" t="s">
        <v>28</v>
      </c>
      <c r="E92" s="76"/>
      <c r="F92" s="76">
        <v>45717</v>
      </c>
      <c r="G92" s="75" t="s">
        <v>466</v>
      </c>
      <c r="H92" s="83">
        <v>48754.668783000001</v>
      </c>
      <c r="I92" s="83">
        <v>51619.308315999995</v>
      </c>
      <c r="J92" s="84">
        <f>IFERROR(IF(H92&gt;0,I92-H92,""),"")</f>
        <v>2864.6395329999941</v>
      </c>
      <c r="K92" s="78">
        <f>IFERROR(IF(J92&gt;0,J92/H92,""),"")</f>
        <v>5.8756209497598917E-2</v>
      </c>
      <c r="L92" s="84"/>
      <c r="M92" s="84"/>
      <c r="N92" s="84">
        <f>L92-M92</f>
        <v>0</v>
      </c>
      <c r="O92" s="84">
        <v>52393.597940739986</v>
      </c>
      <c r="P92" s="84">
        <v>51619.308315999995</v>
      </c>
      <c r="Q92" s="84">
        <f>O92-P92</f>
        <v>774.28962473999127</v>
      </c>
      <c r="R92" s="84">
        <f>Q92*12</f>
        <v>9291.4754968798952</v>
      </c>
      <c r="S92" s="85"/>
      <c r="T92" s="84"/>
    </row>
    <row r="93" spans="2:20">
      <c r="J93" s="245"/>
    </row>
  </sheetData>
  <conditionalFormatting sqref="G1:G1048576 Z37 AS37 BL37 CE37 CX37 DQ37 EJ37 FC37 FV37 GO37 HH37 IA37 IT37 JM37 KF37 KY37 LR37 MK37 ND37 NW37 OP37 PI37 QB37 QU37 RN37 SG37 SZ37 TS37 UL37 VE37 VX37 WQ37 XJ37 YC37 YV37 ZO37 AAH37 ABA37 ABT37 ACM37 ADF37 ADY37 AER37 AFK37 AGD37 AGW37 AHP37 AII37 AJB37 AJU37 AKN37 ALG37 ALZ37 AMS37 ANL37 AOE37 AOX37 APQ37 AQJ37 ARC37 ARV37 ASO37 ATH37 AUA37 AUT37 AVM37 AWF37 AWY37 AXR37 AYK37 AZD37 AZW37 BAP37 BBI37 BCB37 BCU37 BDN37 BEG37 BEZ37 BFS37 BGL37 BHE37 BHX37 BIQ37 BJJ37 BKC37 BKV37 BLO37 BMH37 BNA37 BNT37 BOM37 BPF37 BPY37 BQR37 BRK37 BSD37 BSW37 BTP37 BUI37 BVB37 BVU37 BWN37 BXG37 BXZ37 BYS37 BZL37 CAE37 CAX37 CBQ37 CCJ37 CDC37 CDV37 CEO37 CFH37 CGA37 CGT37 CHM37 CIF37 CIY37 CJR37 CKK37 CLD37 CLW37 CMP37 CNI37 COB37 COU37 CPN37 CQG37 CQZ37 CRS37 CSL37 CTE37 CTX37 CUQ37 CVJ37 CWC37 CWV37 CXO37 CYH37 CZA37 CZT37 DAM37 DBF37 DBY37 DCR37 DDK37 DED37 DEW37 DFP37 DGI37 DHB37 DHU37 DIN37 DJG37 DJZ37 DKS37 DLL37 DME37 DMX37 DNQ37 DOJ37 DPC37 DPV37 DQO37 DRH37 DSA37 DST37 DTM37 DUF37 DUY37 DVR37 DWK37 DXD37 DXW37 DYP37 DZI37 EAB37 EAU37 EBN37 ECG37 ECZ37 EDS37 EEL37 EFE37 EFX37 EGQ37 EHJ37 EIC37 EIV37 EJO37 EKH37 ELA37 ELT37 EMM37 ENF37 ENY37 EOR37 EPK37 EQD37 EQW37 ERP37 ESI37 ETB37 ETU37 EUN37 EVG37 EVZ37 EWS37 EXL37 EYE37 EYX37 EZQ37 FAJ37 FBC37 FBV37 FCO37 FDH37 FEA37 FET37 FFM37 FGF37 FGY37 FHR37 FIK37 FJD37 FJW37 FKP37 FLI37 FMB37 FMU37 FNN37 FOG37 FOZ37 FPS37 FQL37 FRE37 FRX37 FSQ37 FTJ37 FUC37 FUV37 FVO37 FWH37 FXA37 FXT37 FYM37 FZF37 FZY37 GAR37 GBK37 GCD37 GCW37 GDP37 GEI37 GFB37 GFU37 GGN37 GHG37 GHZ37 GIS37 GJL37 GKE37 GKX37 GLQ37 GMJ37 GNC37 GNV37 GOO37 GPH37 GQA37 GQT37 GRM37 GSF37 GSY37 GTR37 GUK37 GVD37 GVW37 GWP37 GXI37 GYB37 GYU37 GZN37 HAG37 HAZ37 HBS37 HCL37 HDE37 HDX37 HEQ37 HFJ37 HGC37 HGV37 HHO37 HIH37 HJA37 HJT37 HKM37 HLF37 HLY37 HMR37 HNK37 HOD37 HOW37 HPP37 HQI37 HRB37 HRU37 HSN37 HTG37 HTZ37 HUS37 HVL37 HWE37 HWX37 HXQ37 HYJ37 HZC37 HZV37 IAO37 IBH37 ICA37 ICT37 IDM37 IEF37 IEY37 IFR37 IGK37 IHD37 IHW37 IIP37 IJI37 IKB37 IKU37 ILN37 IMG37 IMZ37 INS37 IOL37 IPE37 IPX37 IQQ37 IRJ37 ISC37 ISV37 ITO37 IUH37 IVA37 IVT37 IWM37 IXF37 IXY37 IYR37 IZK37 JAD37 JAW37 JBP37 JCI37 JDB37 JDU37 JEN37 JFG37 JFZ37 JGS37 JHL37 JIE37 JIX37 JJQ37 JKJ37 JLC37 JLV37 JMO37 JNH37 JOA37 JOT37 JPM37 JQF37 JQY37 JRR37 JSK37 JTD37 JTW37 JUP37 JVI37 JWB37 JWU37 JXN37 JYG37 JYZ37 JZS37 KAL37 KBE37 KBX37 KCQ37 KDJ37 KEC37 KEV37 KFO37 KGH37 KHA37 KHT37 KIM37 KJF37 KJY37 KKR37 KLK37 KMD37 KMW37 KNP37 KOI37 KPB37 KPU37 KQN37 KRG37 KRZ37 KSS37 KTL37 KUE37 KUX37 KVQ37 KWJ37 KXC37 KXV37 KYO37 KZH37 LAA37 LAT37 LBM37 LCF37 LCY37 LDR37 LEK37 LFD37 LFW37 LGP37 LHI37 LIB37 LIU37 LJN37 LKG37 LKZ37 LLS37 LML37 LNE37 LNX37 LOQ37 LPJ37 LQC37 LQV37 LRO37 LSH37 LTA37 LTT37 LUM37 LVF37 LVY37 LWR37 LXK37 LYD37 LYW37 LZP37 MAI37 MBB37 MBU37 MCN37 MDG37 MDZ37 MES37 MFL37 MGE37 MGX37 MHQ37 MIJ37 MJC37 MJV37 MKO37 MLH37 MMA37 MMT37 MNM37 MOF37 MOY37 MPR37 MQK37 MRD37 MRW37 MSP37 MTI37 MUB37 MUU37 MVN37 MWG37 MWZ37 MXS37 MYL37 MZE37 MZX37 NAQ37 NBJ37 NCC37 NCV37 NDO37 NEH37 NFA37 NFT37 NGM37 NHF37 NHY37 NIR37 NJK37 NKD37 NKW37 NLP37 NMI37 NNB37 NNU37 NON37 NPG37 NPZ37 NQS37 NRL37 NSE37 NSX37 NTQ37 NUJ37 NVC37 NVV37 NWO37 NXH37 NYA37 NYT37 NZM37 OAF37 OAY37 OBR37 OCK37 ODD37 ODW37 OEP37 OFI37 OGB37 OGU37 OHN37 OIG37 OIZ37 OJS37 OKL37 OLE37 OLX37 OMQ37 ONJ37 OOC37 OOV37 OPO37 OQH37 ORA37 ORT37 OSM37 OTF37 OTY37 OUR37 OVK37 OWD37 OWW37 OXP37 OYI37 OZB37 OZU37 PAN37 PBG37 PBZ37 PCS37 PDL37 PEE37 PEX37 PFQ37 PGJ37 PHC37 PHV37 PIO37 PJH37 PKA37 PKT37 PLM37 PMF37 PMY37 PNR37 POK37 PPD37 PPW37 PQP37 PRI37 PSB37 PSU37 PTN37 PUG37 PUZ37 PVS37 PWL37 PXE37 PXX37 PYQ37 PZJ37 QAC37 QAV37 QBO37 QCH37 QDA37 QDT37 QEM37 QFF37 QFY37 QGR37 QHK37 QID37 QIW37 QJP37 QKI37 QLB37 QLU37 QMN37 QNG37 QNZ37 QOS37 QPL37 QQE37 QQX37 QRQ37 QSJ37 QTC37 QTV37 QUO37 QVH37 QWA37 QWT37 QXM37 QYF37 QYY37 QZR37 RAK37 RBD37 RBW37 RCP37 RDI37 REB37 REU37 RFN37 RGG37 RGZ37 RHS37 RIL37 RJE37 RJX37 RKQ37 RLJ37 RMC37 RMV37 RNO37 ROH37 RPA37 RPT37 RQM37 RRF37 RRY37 RSR37 RTK37 RUD37 RUW37 RVP37 RWI37 RXB37 RXU37 RYN37 RZG37 RZZ37 SAS37 SBL37 SCE37 SCX37 SDQ37 SEJ37 SFC37 SFV37 SGO37 SHH37 SIA37 SIT37 SJM37 SKF37 SKY37 SLR37 SMK37 SND37 SNW37 SOP37 SPI37 SQB37 SQU37 SRN37 SSG37 SSZ37 STS37 SUL37 SVE37 SVX37 SWQ37 SXJ37 SYC37 SYV37 SZO37 TAH37 TBA37 TBT37 TCM37 TDF37 TDY37 TER37 TFK37 TGD37 TGW37 THP37 TII37 TJB37 TJU37 TKN37 TLG37 TLZ37 TMS37 TNL37 TOE37 TOX37 TPQ37 TQJ37 TRC37 TRV37 TSO37 TTH37 TUA37 TUT37 TVM37 TWF37 TWY37 TXR37 TYK37 TZD37 TZW37 UAP37 UBI37 UCB37 UCU37 UDN37 UEG37 UEZ37 UFS37 UGL37 UHE37 UHX37 UIQ37 UJJ37 UKC37 UKV37 ULO37 UMH37 UNA37 UNT37 UOM37 UPF37 UPY37 UQR37 URK37 USD37 USW37 UTP37 UUI37 UVB37 UVU37 UWN37 UXG37 UXZ37 UYS37 UZL37 VAE37 VAX37 VBQ37 VCJ37 VDC37 VDV37 VEO37 VFH37 VGA37 VGT37 VHM37 VIF37 VIY37 VJR37 VKK37 VLD37 VLW37 VMP37 VNI37 VOB37 VOU37 VPN37 VQG37 VQZ37 VRS37 VSL37 VTE37 VTX37 VUQ37 VVJ37 VWC37 VWV37 VXO37 VYH37 VZA37 VZT37 WAM37 WBF37 WBY37 WCR37 WDK37 WED37 WEW37 WFP37 WGI37 WHB37 WHU37 WIN37 WJG37 WJZ37 WKS37 WLL37 WME37 WMX37 WNQ37 WOJ37 WPC37 WPV37 WQO37 WRH37 WSA37 WST37 WTM37 WUF37 WUY37 WVR37 WWK37 WXD37 WXW37 WYP37 WZI37 XAB37 XAU37 XBN37 XCG37 XCZ37 XDS37 XEL37">
    <cfRule type="cellIs" dxfId="4" priority="1" operator="equal">
      <formula>"Em revisão"</formula>
    </cfRule>
    <cfRule type="cellIs" dxfId="3" priority="2" operator="equal">
      <formula>"OK"</formula>
    </cfRule>
  </conditionalFormatting>
  <dataValidations count="2">
    <dataValidation type="list" allowBlank="1" showInputMessage="1" showErrorMessage="1" sqref="B1:C1 B93:D1048576" xr:uid="{F94C64C1-4A23-4079-8CF1-5D625C4A7BDF}">
      <formula1>#REF!</formula1>
    </dataValidation>
    <dataValidation type="list" allowBlank="1" showInputMessage="1" showErrorMessage="1" sqref="G2:G1048576" xr:uid="{A2F6422D-55E6-4A93-8DCB-01D5F2B53D94}">
      <formula1>"OK, Em revisão"</formula1>
    </dataValidation>
  </dataValidations>
  <pageMargins left="0.7" right="0.7" top="0.75" bottom="0.75" header="0.3" footer="0.3"/>
  <pageSetup paperSize="9" scale="10" orientation="landscape" r:id="rId1"/>
  <ignoredErrors>
    <ignoredError sqref="B1:C1" listDataValidation="1"/>
  </ignoredErrors>
  <drawing r:id="rId2"/>
  <legacyDrawing r:id="rId3"/>
  <tableParts count="1">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61217F4C-C77B-45A5-9B95-83566B9B4C8C}">
          <x14:formula1>
            <xm:f>Unidade!$A$2:$A$12</xm:f>
          </x14:formula1>
          <xm:sqref>C2:C92</xm:sqref>
        </x14:dataValidation>
        <x14:dataValidation type="list" allowBlank="1" showInputMessage="1" showErrorMessage="1" xr:uid="{7CACED82-27B0-4652-AF98-CE97409B8CEC}">
          <x14:formula1>
            <xm:f>'Categoria'!$A$2:$A$19</xm:f>
          </x14:formula1>
          <xm:sqref>D2:D92</xm:sqref>
        </x14:dataValidation>
        <x14:dataValidation type="list" allowBlank="1" showInputMessage="1" showErrorMessage="1" xr:uid="{4AA83C23-FAA1-4317-B295-ECB497FE15E6}">
          <x14:formula1>
            <xm:f>Fornecedor!$A$2:$A$91</xm:f>
          </x14:formula1>
          <xm:sqref>B2:B92</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8C90-C6A1-459A-A1BB-D634D5F3E7F3}">
  <sheetPr>
    <tabColor theme="4" tint="-0.249977111117893"/>
  </sheetPr>
  <dimension ref="A1:M166"/>
  <sheetViews>
    <sheetView showGridLines="0" zoomScale="80" zoomScaleNormal="80" workbookViewId="0">
      <pane xSplit="1" topLeftCell="C1" activePane="topRight" state="frozen"/>
      <selection activeCell="K92" sqref="K92"/>
      <selection pane="topRight" activeCell="D169" sqref="D169"/>
    </sheetView>
  </sheetViews>
  <sheetFormatPr defaultRowHeight="14.5"/>
  <cols>
    <col min="1" max="1" width="27.453125" style="143" customWidth="1"/>
    <col min="2" max="3" width="13.36328125" customWidth="1"/>
    <col min="4" max="4" width="24" customWidth="1"/>
    <col min="5" max="5" width="19" customWidth="1"/>
    <col min="6" max="6" width="13.36328125" style="105" customWidth="1"/>
    <col min="7" max="7" width="15" style="105" customWidth="1"/>
    <col min="8" max="8" width="14" style="105" customWidth="1"/>
    <col min="9" max="9" width="13" style="105" customWidth="1"/>
    <col min="10" max="10" width="16.453125" customWidth="1"/>
    <col min="11" max="11" width="16.36328125" customWidth="1"/>
    <col min="12" max="12" width="15.54296875" customWidth="1"/>
    <col min="13" max="13" width="17.54296875" customWidth="1"/>
    <col min="14" max="14" width="12.54296875" bestFit="1" customWidth="1"/>
  </cols>
  <sheetData>
    <row r="1" spans="2:13" ht="34.4" customHeight="1">
      <c r="B1" s="69" t="s">
        <v>478</v>
      </c>
      <c r="C1" s="69" t="s">
        <v>27</v>
      </c>
      <c r="D1" s="70" t="s">
        <v>0</v>
      </c>
      <c r="E1" s="71" t="s">
        <v>22</v>
      </c>
      <c r="F1" s="101" t="s">
        <v>479</v>
      </c>
      <c r="G1" s="101" t="s">
        <v>480</v>
      </c>
      <c r="H1" s="101" t="s">
        <v>279</v>
      </c>
      <c r="I1" s="101" t="s">
        <v>481</v>
      </c>
      <c r="J1" s="71" t="s">
        <v>482</v>
      </c>
      <c r="K1" s="71" t="s">
        <v>438</v>
      </c>
      <c r="L1" s="71" t="s">
        <v>483</v>
      </c>
      <c r="M1" s="73" t="s">
        <v>484</v>
      </c>
    </row>
    <row r="2" spans="2:13" ht="19.5" hidden="1" customHeight="1">
      <c r="B2" s="103">
        <v>45778</v>
      </c>
      <c r="C2" s="67" t="s">
        <v>40</v>
      </c>
      <c r="D2" s="52" t="s">
        <v>6</v>
      </c>
      <c r="E2" s="52" t="s">
        <v>32</v>
      </c>
      <c r="F2" s="102">
        <v>45658</v>
      </c>
      <c r="G2" s="102">
        <v>45658</v>
      </c>
      <c r="H2" s="103">
        <v>45664</v>
      </c>
      <c r="I2" s="102" t="s">
        <v>485</v>
      </c>
      <c r="J2" s="65">
        <v>128079.26</v>
      </c>
      <c r="K2" s="55">
        <v>4.3657310550598634E-2</v>
      </c>
      <c r="L2" s="65">
        <f>J2*(1+K2)</f>
        <v>133670.85602891087</v>
      </c>
      <c r="M2" s="68">
        <f>L2-J2</f>
        <v>5591.5960289108771</v>
      </c>
    </row>
    <row r="3" spans="2:13" ht="19.5" hidden="1" customHeight="1">
      <c r="B3" s="103">
        <v>45778</v>
      </c>
      <c r="C3" s="67" t="s">
        <v>40</v>
      </c>
      <c r="D3" s="52" t="s">
        <v>6</v>
      </c>
      <c r="E3" s="52" t="s">
        <v>32</v>
      </c>
      <c r="F3" s="102">
        <v>45658</v>
      </c>
      <c r="G3" s="102">
        <v>45689</v>
      </c>
      <c r="H3" s="103">
        <v>45702</v>
      </c>
      <c r="I3" s="102" t="s">
        <v>485</v>
      </c>
      <c r="J3" s="65">
        <v>128079.26</v>
      </c>
      <c r="K3" s="55">
        <v>4.3657310550598634E-2</v>
      </c>
      <c r="L3" s="65">
        <f>J3*(1+K3)</f>
        <v>133670.85602891087</v>
      </c>
      <c r="M3" s="68">
        <f>L3-J3</f>
        <v>5591.5960289108771</v>
      </c>
    </row>
    <row r="4" spans="2:13" ht="19.5" hidden="1" customHeight="1">
      <c r="B4" s="103">
        <v>45748</v>
      </c>
      <c r="C4" s="67" t="s">
        <v>41</v>
      </c>
      <c r="D4" s="52" t="s">
        <v>13</v>
      </c>
      <c r="E4" s="52" t="s">
        <v>25</v>
      </c>
      <c r="F4" s="102">
        <v>45661</v>
      </c>
      <c r="G4" s="102">
        <v>45658</v>
      </c>
      <c r="H4" s="102"/>
      <c r="I4" s="102" t="s">
        <v>485</v>
      </c>
      <c r="J4" s="65">
        <v>74867.75</v>
      </c>
      <c r="K4" s="55">
        <v>0.1011487366207605</v>
      </c>
      <c r="L4" s="65">
        <f t="shared" ref="L4:L24" si="0">J4*(1+K4)</f>
        <v>82440.528326138941</v>
      </c>
      <c r="M4" s="68">
        <f t="shared" ref="M4:M24" si="1">L4-J4</f>
        <v>7572.7783261389413</v>
      </c>
    </row>
    <row r="5" spans="2:13" ht="19.5" hidden="1" customHeight="1">
      <c r="B5" s="103">
        <v>45748</v>
      </c>
      <c r="C5" s="67" t="s">
        <v>41</v>
      </c>
      <c r="D5" s="52" t="s">
        <v>13</v>
      </c>
      <c r="E5" s="52" t="s">
        <v>25</v>
      </c>
      <c r="F5" s="102">
        <v>45662</v>
      </c>
      <c r="G5" s="102">
        <v>45689</v>
      </c>
      <c r="H5" s="102"/>
      <c r="I5" s="102" t="s">
        <v>485</v>
      </c>
      <c r="J5" s="65">
        <v>74270.59</v>
      </c>
      <c r="K5" s="55">
        <v>0.1011487366207605</v>
      </c>
      <c r="L5" s="65">
        <f t="shared" si="0"/>
        <v>81782.966346578483</v>
      </c>
      <c r="M5" s="68">
        <f t="shared" si="1"/>
        <v>7512.3763465784868</v>
      </c>
    </row>
    <row r="6" spans="2:13" ht="19.5" hidden="1" customHeight="1">
      <c r="B6" s="103">
        <v>45748</v>
      </c>
      <c r="C6" s="67" t="s">
        <v>41</v>
      </c>
      <c r="D6" s="52" t="s">
        <v>13</v>
      </c>
      <c r="E6" s="52" t="s">
        <v>25</v>
      </c>
      <c r="F6" s="102">
        <v>45663</v>
      </c>
      <c r="G6" s="102">
        <v>45717</v>
      </c>
      <c r="H6" s="102"/>
      <c r="I6" s="102" t="s">
        <v>485</v>
      </c>
      <c r="J6" s="65">
        <v>73389.25</v>
      </c>
      <c r="K6" s="55">
        <v>0.1011487366207605</v>
      </c>
      <c r="L6" s="65">
        <f t="shared" si="0"/>
        <v>80812.479919045145</v>
      </c>
      <c r="M6" s="68">
        <f t="shared" si="1"/>
        <v>7423.2299190451449</v>
      </c>
    </row>
    <row r="7" spans="2:13" ht="19.5" hidden="1" customHeight="1">
      <c r="B7" s="103">
        <v>45835</v>
      </c>
      <c r="C7" s="67" t="s">
        <v>41</v>
      </c>
      <c r="D7" s="52" t="s">
        <v>13</v>
      </c>
      <c r="E7" s="52" t="s">
        <v>25</v>
      </c>
      <c r="F7" s="102">
        <v>45663</v>
      </c>
      <c r="G7" s="103">
        <v>45748</v>
      </c>
      <c r="H7" s="103">
        <v>45761</v>
      </c>
      <c r="I7" s="102" t="s">
        <v>485</v>
      </c>
      <c r="J7" s="65">
        <v>73389.25</v>
      </c>
      <c r="K7" s="55">
        <v>0.1011487366207605</v>
      </c>
      <c r="L7" s="65">
        <f t="shared" si="0"/>
        <v>80812.479919045145</v>
      </c>
      <c r="M7" s="68">
        <f t="shared" si="1"/>
        <v>7423.2299190451449</v>
      </c>
    </row>
    <row r="8" spans="2:13" ht="19.5" hidden="1" customHeight="1">
      <c r="B8" s="103">
        <v>45835</v>
      </c>
      <c r="C8" s="67" t="s">
        <v>41</v>
      </c>
      <c r="D8" s="52" t="s">
        <v>13</v>
      </c>
      <c r="E8" s="52" t="s">
        <v>25</v>
      </c>
      <c r="F8" s="102">
        <v>45663</v>
      </c>
      <c r="G8" s="103">
        <v>45778</v>
      </c>
      <c r="H8" s="103">
        <v>45793</v>
      </c>
      <c r="I8" s="102" t="s">
        <v>485</v>
      </c>
      <c r="J8" s="65">
        <v>71122.87</v>
      </c>
      <c r="K8" s="55">
        <v>0.1011487366207605</v>
      </c>
      <c r="L8" s="65">
        <f t="shared" si="0"/>
        <v>78316.858445342572</v>
      </c>
      <c r="M8" s="68">
        <f t="shared" si="1"/>
        <v>7193.9884453425766</v>
      </c>
    </row>
    <row r="9" spans="2:13" ht="19.5" hidden="1" customHeight="1">
      <c r="B9" s="103">
        <v>45748</v>
      </c>
      <c r="C9" s="67" t="s">
        <v>41</v>
      </c>
      <c r="D9" s="52" t="s">
        <v>13</v>
      </c>
      <c r="E9" s="52" t="s">
        <v>26</v>
      </c>
      <c r="F9" s="102">
        <v>45658</v>
      </c>
      <c r="G9" s="103">
        <v>45658</v>
      </c>
      <c r="H9" s="103"/>
      <c r="I9" s="102" t="s">
        <v>485</v>
      </c>
      <c r="J9" s="65">
        <v>21190.95</v>
      </c>
      <c r="K9" s="55">
        <v>6.7320802904423688E-2</v>
      </c>
      <c r="L9" s="65">
        <f t="shared" si="0"/>
        <v>22617.541768307496</v>
      </c>
      <c r="M9" s="68">
        <f t="shared" si="1"/>
        <v>1426.5917683074949</v>
      </c>
    </row>
    <row r="10" spans="2:13" ht="19.5" hidden="1" customHeight="1">
      <c r="B10" s="103">
        <v>45748</v>
      </c>
      <c r="C10" s="67" t="s">
        <v>40</v>
      </c>
      <c r="D10" s="52" t="s">
        <v>17</v>
      </c>
      <c r="E10" s="52" t="s">
        <v>32</v>
      </c>
      <c r="F10" s="102">
        <v>45663</v>
      </c>
      <c r="G10" s="102">
        <v>45658</v>
      </c>
      <c r="H10" s="102"/>
      <c r="I10" s="102" t="s">
        <v>485</v>
      </c>
      <c r="J10" s="65">
        <v>68875.88</v>
      </c>
      <c r="K10" s="55">
        <v>5.0129633061416816E-2</v>
      </c>
      <c r="L10" s="65">
        <f t="shared" si="0"/>
        <v>72328.602591182178</v>
      </c>
      <c r="M10" s="68">
        <f t="shared" si="1"/>
        <v>3452.7225911821733</v>
      </c>
    </row>
    <row r="11" spans="2:13" ht="19.5" hidden="1" customHeight="1">
      <c r="B11" s="103">
        <v>45748</v>
      </c>
      <c r="C11" s="67" t="s">
        <v>40</v>
      </c>
      <c r="D11" s="52" t="s">
        <v>17</v>
      </c>
      <c r="E11" s="52" t="s">
        <v>32</v>
      </c>
      <c r="F11" s="102">
        <v>45663</v>
      </c>
      <c r="G11" s="102">
        <v>45690</v>
      </c>
      <c r="H11" s="103"/>
      <c r="I11" s="102" t="s">
        <v>485</v>
      </c>
      <c r="J11" s="77">
        <v>72328.600856634468</v>
      </c>
      <c r="K11" s="55">
        <v>5.0129633061416816E-2</v>
      </c>
      <c r="L11" s="65">
        <f t="shared" si="0"/>
        <v>75954.407077423224</v>
      </c>
      <c r="M11" s="68">
        <f t="shared" si="1"/>
        <v>3625.806220788756</v>
      </c>
    </row>
    <row r="12" spans="2:13" ht="19.5" hidden="1" customHeight="1">
      <c r="B12" s="103">
        <v>45748</v>
      </c>
      <c r="C12" s="67" t="s">
        <v>40</v>
      </c>
      <c r="D12" s="52" t="s">
        <v>17</v>
      </c>
      <c r="E12" s="75" t="s">
        <v>32</v>
      </c>
      <c r="F12" s="102">
        <v>45663</v>
      </c>
      <c r="G12" s="102">
        <v>45717</v>
      </c>
      <c r="H12" s="103"/>
      <c r="I12" s="102" t="s">
        <v>485</v>
      </c>
      <c r="J12" s="77">
        <v>72328.600856634468</v>
      </c>
      <c r="K12" s="78">
        <v>5.0129633061416816E-2</v>
      </c>
      <c r="L12" s="77">
        <f t="shared" si="0"/>
        <v>75954.407077423224</v>
      </c>
      <c r="M12" s="79">
        <f t="shared" si="1"/>
        <v>3625.806220788756</v>
      </c>
    </row>
    <row r="13" spans="2:13" ht="19.5" hidden="1" customHeight="1">
      <c r="B13" s="103">
        <v>45748</v>
      </c>
      <c r="C13" s="67" t="s">
        <v>40</v>
      </c>
      <c r="D13" s="52" t="s">
        <v>19</v>
      </c>
      <c r="E13" s="75" t="s">
        <v>32</v>
      </c>
      <c r="F13" s="102">
        <v>45663</v>
      </c>
      <c r="G13" s="102">
        <v>45658</v>
      </c>
      <c r="H13" s="103"/>
      <c r="I13" s="102" t="s">
        <v>485</v>
      </c>
      <c r="J13" s="77">
        <v>122706</v>
      </c>
      <c r="K13" s="78">
        <v>4.4486531463651911E-2</v>
      </c>
      <c r="L13" s="77">
        <f t="shared" si="0"/>
        <v>128164.76432977889</v>
      </c>
      <c r="M13" s="79">
        <f t="shared" si="1"/>
        <v>5458.7643297788891</v>
      </c>
    </row>
    <row r="14" spans="2:13" ht="19.5" hidden="1" customHeight="1">
      <c r="B14" s="106">
        <v>45748</v>
      </c>
      <c r="C14" s="67" t="s">
        <v>40</v>
      </c>
      <c r="D14" s="52" t="s">
        <v>19</v>
      </c>
      <c r="E14" s="75" t="s">
        <v>32</v>
      </c>
      <c r="F14" s="102">
        <v>45663</v>
      </c>
      <c r="G14" s="102">
        <v>45690</v>
      </c>
      <c r="H14" s="103"/>
      <c r="I14" s="102" t="s">
        <v>485</v>
      </c>
      <c r="J14" s="77">
        <v>122035.01</v>
      </c>
      <c r="K14" s="78">
        <v>4.4486531463651911E-2</v>
      </c>
      <c r="L14" s="77">
        <f t="shared" si="0"/>
        <v>127463.92431203208</v>
      </c>
      <c r="M14" s="79">
        <f t="shared" si="1"/>
        <v>5428.9143120320805</v>
      </c>
    </row>
    <row r="15" spans="2:13" ht="19.5" hidden="1" customHeight="1">
      <c r="B15" s="103">
        <v>45748</v>
      </c>
      <c r="C15" s="74" t="s">
        <v>40</v>
      </c>
      <c r="D15" s="75" t="s">
        <v>19</v>
      </c>
      <c r="E15" s="75" t="s">
        <v>32</v>
      </c>
      <c r="F15" s="103">
        <v>45663</v>
      </c>
      <c r="G15" s="103">
        <v>45717</v>
      </c>
      <c r="H15" s="103"/>
      <c r="I15" s="102" t="s">
        <v>485</v>
      </c>
      <c r="J15" s="77">
        <v>122035.01</v>
      </c>
      <c r="K15" s="78">
        <v>4.4486531463651911E-2</v>
      </c>
      <c r="L15" s="77">
        <f t="shared" si="0"/>
        <v>127463.92431203208</v>
      </c>
      <c r="M15" s="79">
        <f t="shared" si="1"/>
        <v>5428.9143120320805</v>
      </c>
    </row>
    <row r="16" spans="2:13" ht="19.5" hidden="1" customHeight="1">
      <c r="B16" s="106">
        <v>45748</v>
      </c>
      <c r="C16" s="74" t="s">
        <v>40</v>
      </c>
      <c r="D16" s="75" t="s">
        <v>19</v>
      </c>
      <c r="E16" s="75" t="s">
        <v>32</v>
      </c>
      <c r="F16" s="103">
        <v>45663</v>
      </c>
      <c r="G16" s="103">
        <v>45748</v>
      </c>
      <c r="H16" s="103"/>
      <c r="I16" s="102" t="s">
        <v>485</v>
      </c>
      <c r="J16" s="77">
        <v>122035.01</v>
      </c>
      <c r="K16" s="78">
        <v>4.4486531463651911E-2</v>
      </c>
      <c r="L16" s="77">
        <f t="shared" si="0"/>
        <v>127463.92431203208</v>
      </c>
      <c r="M16" s="79">
        <f t="shared" si="1"/>
        <v>5428.9143120320805</v>
      </c>
    </row>
    <row r="17" spans="2:13" ht="19.5" hidden="1" customHeight="1">
      <c r="B17" s="107">
        <v>45778</v>
      </c>
      <c r="C17" s="67" t="s">
        <v>39</v>
      </c>
      <c r="D17" s="75" t="s">
        <v>20</v>
      </c>
      <c r="E17" s="75" t="s">
        <v>31</v>
      </c>
      <c r="F17" s="103">
        <v>45717</v>
      </c>
      <c r="G17" s="103">
        <v>45717</v>
      </c>
      <c r="H17" s="103"/>
      <c r="I17" s="102" t="s">
        <v>485</v>
      </c>
      <c r="J17" s="77">
        <v>129054.5</v>
      </c>
      <c r="K17" s="78">
        <v>7.4029299422945935E-2</v>
      </c>
      <c r="L17" s="77">
        <f t="shared" si="0"/>
        <v>138608.31422237857</v>
      </c>
      <c r="M17" s="79">
        <f t="shared" si="1"/>
        <v>9553.814222378569</v>
      </c>
    </row>
    <row r="18" spans="2:13" ht="19.5" hidden="1" customHeight="1">
      <c r="B18" s="107">
        <v>45778</v>
      </c>
      <c r="C18" s="67" t="s">
        <v>39</v>
      </c>
      <c r="D18" s="75" t="s">
        <v>20</v>
      </c>
      <c r="E18" s="75" t="s">
        <v>31</v>
      </c>
      <c r="F18" s="103">
        <v>45717</v>
      </c>
      <c r="G18" s="103">
        <v>45748</v>
      </c>
      <c r="H18" s="103"/>
      <c r="I18" s="102" t="s">
        <v>485</v>
      </c>
      <c r="J18" s="77">
        <v>129054.5</v>
      </c>
      <c r="K18" s="78">
        <v>7.4029299422945935E-2</v>
      </c>
      <c r="L18" s="77">
        <f t="shared" si="0"/>
        <v>138608.31422237857</v>
      </c>
      <c r="M18" s="79">
        <f t="shared" si="1"/>
        <v>9553.814222378569</v>
      </c>
    </row>
    <row r="19" spans="2:13" ht="19.5" hidden="1" customHeight="1">
      <c r="B19" s="107">
        <v>45778</v>
      </c>
      <c r="C19" s="67" t="s">
        <v>40</v>
      </c>
      <c r="D19" s="75" t="s">
        <v>21</v>
      </c>
      <c r="E19" s="75" t="s">
        <v>30</v>
      </c>
      <c r="F19" s="103">
        <v>45658</v>
      </c>
      <c r="G19" s="103">
        <v>45658</v>
      </c>
      <c r="H19" s="103">
        <v>45723</v>
      </c>
      <c r="I19" s="102" t="s">
        <v>485</v>
      </c>
      <c r="J19" s="77">
        <v>315143.39</v>
      </c>
      <c r="K19" s="78">
        <v>7.8465845953283542E-2</v>
      </c>
      <c r="L19" s="77">
        <f t="shared" si="0"/>
        <v>339871.38269293553</v>
      </c>
      <c r="M19" s="79">
        <f t="shared" si="1"/>
        <v>24727.992692935513</v>
      </c>
    </row>
    <row r="20" spans="2:13" ht="19.5" hidden="1" customHeight="1">
      <c r="B20" s="107">
        <v>45779</v>
      </c>
      <c r="C20" s="67" t="s">
        <v>40</v>
      </c>
      <c r="D20" s="75" t="s">
        <v>21</v>
      </c>
      <c r="E20" s="75" t="s">
        <v>30</v>
      </c>
      <c r="F20" s="103">
        <v>45659</v>
      </c>
      <c r="G20" s="103">
        <v>45689</v>
      </c>
      <c r="H20" s="103">
        <v>45749</v>
      </c>
      <c r="I20" s="102" t="s">
        <v>485</v>
      </c>
      <c r="J20" s="77">
        <v>304147.65999999997</v>
      </c>
      <c r="K20" s="78">
        <v>7.8465845953283542E-2</v>
      </c>
      <c r="L20" s="77">
        <f t="shared" si="0"/>
        <v>328012.8634366116</v>
      </c>
      <c r="M20" s="79">
        <f t="shared" si="1"/>
        <v>23865.203436611628</v>
      </c>
    </row>
    <row r="21" spans="2:13" ht="19.5" hidden="1" customHeight="1">
      <c r="B21" s="107">
        <v>45780</v>
      </c>
      <c r="C21" s="67" t="s">
        <v>40</v>
      </c>
      <c r="D21" s="75" t="s">
        <v>21</v>
      </c>
      <c r="E21" s="75" t="s">
        <v>30</v>
      </c>
      <c r="F21" s="103">
        <v>45660</v>
      </c>
      <c r="G21" s="103">
        <v>45689</v>
      </c>
      <c r="H21" s="103">
        <v>45749</v>
      </c>
      <c r="I21" s="103" t="s">
        <v>486</v>
      </c>
      <c r="J21" s="77">
        <v>2997.62</v>
      </c>
      <c r="K21" s="78">
        <v>7.8465845953283542E-2</v>
      </c>
      <c r="L21" s="77">
        <f t="shared" si="0"/>
        <v>3232.8307891464815</v>
      </c>
      <c r="M21" s="79">
        <f t="shared" si="1"/>
        <v>235.2107891464816</v>
      </c>
    </row>
    <row r="22" spans="2:13" ht="19.5" hidden="1" customHeight="1">
      <c r="B22" s="107">
        <v>45781</v>
      </c>
      <c r="C22" s="67" t="s">
        <v>40</v>
      </c>
      <c r="D22" s="75" t="s">
        <v>21</v>
      </c>
      <c r="E22" s="75" t="s">
        <v>30</v>
      </c>
      <c r="F22" s="103">
        <v>45661</v>
      </c>
      <c r="G22" s="103">
        <v>45717</v>
      </c>
      <c r="H22" s="103">
        <v>45764</v>
      </c>
      <c r="I22" s="102" t="s">
        <v>487</v>
      </c>
      <c r="J22" s="77">
        <v>342003.58</v>
      </c>
      <c r="K22" s="78">
        <v>7.8465845953283542E-2</v>
      </c>
      <c r="L22" s="77">
        <f t="shared" si="0"/>
        <v>368839.18022375146</v>
      </c>
      <c r="M22" s="79">
        <f t="shared" si="1"/>
        <v>26835.600223751448</v>
      </c>
    </row>
    <row r="23" spans="2:13" ht="19.5" hidden="1" customHeight="1">
      <c r="B23" s="107">
        <v>45784</v>
      </c>
      <c r="C23" s="74" t="s">
        <v>73</v>
      </c>
      <c r="D23" s="75" t="s">
        <v>17</v>
      </c>
      <c r="E23" s="75" t="s">
        <v>33</v>
      </c>
      <c r="F23" s="103">
        <v>45719</v>
      </c>
      <c r="G23" s="103">
        <v>45717</v>
      </c>
      <c r="H23" s="103">
        <v>45761</v>
      </c>
      <c r="I23" s="102" t="s">
        <v>485</v>
      </c>
      <c r="J23" s="77">
        <v>15665.9</v>
      </c>
      <c r="K23" s="78">
        <v>7.24371196535223E-2</v>
      </c>
      <c r="L23" s="77">
        <f t="shared" si="0"/>
        <v>16800.692672780115</v>
      </c>
      <c r="M23" s="79">
        <f t="shared" si="1"/>
        <v>1134.792672780115</v>
      </c>
    </row>
    <row r="24" spans="2:13" ht="19.5" hidden="1" customHeight="1">
      <c r="B24" s="107">
        <v>45784</v>
      </c>
      <c r="C24" s="74" t="s">
        <v>73</v>
      </c>
      <c r="D24" s="75" t="s">
        <v>17</v>
      </c>
      <c r="E24" s="75" t="s">
        <v>30</v>
      </c>
      <c r="F24" s="103">
        <v>45717</v>
      </c>
      <c r="G24" s="103">
        <v>45718</v>
      </c>
      <c r="H24" s="103">
        <v>45765</v>
      </c>
      <c r="I24" s="102" t="s">
        <v>485</v>
      </c>
      <c r="J24" s="77">
        <f>127229.29</f>
        <v>127229.29</v>
      </c>
      <c r="K24" s="78">
        <v>7.373493495237482E-2</v>
      </c>
      <c r="L24" s="77">
        <f t="shared" si="0"/>
        <v>136610.53342218683</v>
      </c>
      <c r="M24" s="79">
        <f t="shared" si="1"/>
        <v>9381.2434221868316</v>
      </c>
    </row>
    <row r="25" spans="2:13" ht="19.5" hidden="1" customHeight="1">
      <c r="B25" s="106">
        <v>45931</v>
      </c>
      <c r="C25" s="52" t="s">
        <v>68</v>
      </c>
      <c r="D25" s="75" t="s">
        <v>17</v>
      </c>
      <c r="E25" s="75" t="s">
        <v>30</v>
      </c>
      <c r="F25" s="103">
        <v>45717</v>
      </c>
      <c r="G25" s="102">
        <v>45778</v>
      </c>
      <c r="H25" s="103">
        <v>45809</v>
      </c>
      <c r="I25" s="103" t="s">
        <v>485</v>
      </c>
      <c r="J25" s="65">
        <v>117427.02</v>
      </c>
      <c r="K25" s="55">
        <v>6.2591283023351652E-2</v>
      </c>
      <c r="L25" s="65">
        <f t="shared" ref="L25:L56" si="2">J25*(1+K25)</f>
        <v>124776.92784340879</v>
      </c>
      <c r="M25" s="79">
        <f t="shared" ref="M25:M56" si="3">L25-J25</f>
        <v>7349.907843408786</v>
      </c>
    </row>
    <row r="26" spans="2:13" ht="19.5" hidden="1" customHeight="1">
      <c r="B26" s="107">
        <v>45783</v>
      </c>
      <c r="C26" s="74" t="s">
        <v>73</v>
      </c>
      <c r="D26" s="75" t="s">
        <v>17</v>
      </c>
      <c r="E26" s="75" t="s">
        <v>30</v>
      </c>
      <c r="F26" s="103">
        <v>45718</v>
      </c>
      <c r="G26" s="103">
        <v>45748</v>
      </c>
      <c r="H26" s="103">
        <v>45790</v>
      </c>
      <c r="I26" s="103" t="s">
        <v>485</v>
      </c>
      <c r="J26" s="77">
        <v>23576.76</v>
      </c>
      <c r="K26" s="78">
        <v>7.373493495237482E-2</v>
      </c>
      <c r="L26" s="77">
        <f t="shared" si="2"/>
        <v>25315.190864987751</v>
      </c>
      <c r="M26" s="79">
        <f t="shared" si="3"/>
        <v>1738.430864987753</v>
      </c>
    </row>
    <row r="27" spans="2:13" ht="19.5" hidden="1" customHeight="1">
      <c r="B27" s="107">
        <v>45785</v>
      </c>
      <c r="C27" s="74" t="s">
        <v>73</v>
      </c>
      <c r="D27" s="75" t="s">
        <v>17</v>
      </c>
      <c r="E27" s="75" t="s">
        <v>33</v>
      </c>
      <c r="F27" s="103">
        <v>45720</v>
      </c>
      <c r="G27" s="103">
        <v>45761</v>
      </c>
      <c r="H27" s="103">
        <v>45791</v>
      </c>
      <c r="I27" s="103" t="s">
        <v>485</v>
      </c>
      <c r="J27" s="77">
        <v>15417.86</v>
      </c>
      <c r="K27" s="78">
        <v>7.24371196535223E-2</v>
      </c>
      <c r="L27" s="77">
        <f t="shared" si="2"/>
        <v>16534.685369621257</v>
      </c>
      <c r="M27" s="79">
        <f t="shared" si="3"/>
        <v>1116.825369621256</v>
      </c>
    </row>
    <row r="28" spans="2:13" ht="19.5" hidden="1" customHeight="1">
      <c r="B28" s="107">
        <v>45786</v>
      </c>
      <c r="C28" s="74" t="s">
        <v>73</v>
      </c>
      <c r="D28" s="75" t="s">
        <v>15</v>
      </c>
      <c r="E28" s="75" t="s">
        <v>31</v>
      </c>
      <c r="F28" s="103">
        <v>45720</v>
      </c>
      <c r="G28" s="103">
        <v>45717</v>
      </c>
      <c r="H28" s="103">
        <v>45761</v>
      </c>
      <c r="I28" s="103" t="s">
        <v>485</v>
      </c>
      <c r="J28" s="77">
        <v>24471.22</v>
      </c>
      <c r="K28" s="78">
        <v>7.4405047220401796E-2</v>
      </c>
      <c r="L28" s="77">
        <f t="shared" si="2"/>
        <v>26292.002279640845</v>
      </c>
      <c r="M28" s="79">
        <f t="shared" si="3"/>
        <v>1820.7822796408436</v>
      </c>
    </row>
    <row r="29" spans="2:13" ht="19.5" hidden="1" customHeight="1">
      <c r="B29" s="107">
        <v>45787</v>
      </c>
      <c r="C29" s="74" t="s">
        <v>73</v>
      </c>
      <c r="D29" s="75" t="s">
        <v>15</v>
      </c>
      <c r="E29" s="75" t="s">
        <v>30</v>
      </c>
      <c r="F29" s="103">
        <v>45720</v>
      </c>
      <c r="G29" s="103">
        <v>45718</v>
      </c>
      <c r="H29" s="103">
        <v>45761</v>
      </c>
      <c r="I29" s="103" t="s">
        <v>485</v>
      </c>
      <c r="J29" s="77">
        <v>46946.1</v>
      </c>
      <c r="K29" s="78">
        <v>7.2908027521185789E-2</v>
      </c>
      <c r="L29" s="77">
        <f t="shared" si="2"/>
        <v>50368.847550812337</v>
      </c>
      <c r="M29" s="79">
        <f t="shared" si="3"/>
        <v>3422.7475508123389</v>
      </c>
    </row>
    <row r="30" spans="2:13" ht="19.5" hidden="1" customHeight="1">
      <c r="B30" s="107">
        <v>45787</v>
      </c>
      <c r="C30" s="74" t="s">
        <v>56</v>
      </c>
      <c r="D30" s="75" t="s">
        <v>11</v>
      </c>
      <c r="E30" s="75" t="s">
        <v>30</v>
      </c>
      <c r="F30" s="103">
        <v>45721</v>
      </c>
      <c r="G30" s="103">
        <v>45717</v>
      </c>
      <c r="H30" s="103">
        <v>45761</v>
      </c>
      <c r="I30" s="103" t="s">
        <v>485</v>
      </c>
      <c r="J30" s="77">
        <v>257308.28</v>
      </c>
      <c r="K30" s="78">
        <v>0.18434427126383135</v>
      </c>
      <c r="L30" s="77">
        <f t="shared" si="2"/>
        <v>304741.58736674982</v>
      </c>
      <c r="M30" s="79">
        <f t="shared" si="3"/>
        <v>47433.307366749825</v>
      </c>
    </row>
    <row r="31" spans="2:13" ht="19.5" hidden="1" customHeight="1">
      <c r="B31" s="107">
        <v>45788</v>
      </c>
      <c r="C31" s="74" t="s">
        <v>56</v>
      </c>
      <c r="D31" s="75" t="s">
        <v>11</v>
      </c>
      <c r="E31" s="75" t="s">
        <v>30</v>
      </c>
      <c r="F31" s="103">
        <v>45722</v>
      </c>
      <c r="G31" s="103">
        <v>45761</v>
      </c>
      <c r="H31" s="103">
        <v>45784</v>
      </c>
      <c r="I31" s="103" t="s">
        <v>485</v>
      </c>
      <c r="J31" s="77">
        <v>251644.1</v>
      </c>
      <c r="K31" s="78">
        <v>0.18434427126383135</v>
      </c>
      <c r="L31" s="77">
        <f t="shared" si="2"/>
        <v>298033.24823234271</v>
      </c>
      <c r="M31" s="79">
        <f t="shared" si="3"/>
        <v>46389.148232342704</v>
      </c>
    </row>
    <row r="32" spans="2:13" ht="19.5" hidden="1" customHeight="1">
      <c r="B32" s="107">
        <v>45789</v>
      </c>
      <c r="C32" s="74" t="s">
        <v>56</v>
      </c>
      <c r="D32" s="75" t="s">
        <v>11</v>
      </c>
      <c r="E32" s="152" t="s">
        <v>35</v>
      </c>
      <c r="F32" s="103">
        <v>45723</v>
      </c>
      <c r="G32" s="103">
        <v>45717</v>
      </c>
      <c r="H32" s="103">
        <v>45761</v>
      </c>
      <c r="I32" s="103" t="s">
        <v>485</v>
      </c>
      <c r="J32" s="77">
        <v>32285.47</v>
      </c>
      <c r="K32" s="78">
        <v>7.3733939271325405E-2</v>
      </c>
      <c r="L32" s="77">
        <f t="shared" si="2"/>
        <v>34666.004884326197</v>
      </c>
      <c r="M32" s="79">
        <f t="shared" si="3"/>
        <v>2380.5348843261963</v>
      </c>
    </row>
    <row r="33" spans="2:13" ht="19.5" hidden="1" customHeight="1">
      <c r="B33" s="107">
        <v>45790</v>
      </c>
      <c r="C33" s="74" t="s">
        <v>56</v>
      </c>
      <c r="D33" s="75" t="s">
        <v>11</v>
      </c>
      <c r="E33" s="75" t="s">
        <v>35</v>
      </c>
      <c r="F33" s="103">
        <v>45724</v>
      </c>
      <c r="G33" s="103">
        <v>45761</v>
      </c>
      <c r="H33" s="103">
        <v>45784</v>
      </c>
      <c r="I33" s="103" t="s">
        <v>485</v>
      </c>
      <c r="J33" s="77">
        <v>32285.47</v>
      </c>
      <c r="K33" s="78">
        <v>7.3733939271325405E-2</v>
      </c>
      <c r="L33" s="77">
        <f t="shared" si="2"/>
        <v>34666.004884326197</v>
      </c>
      <c r="M33" s="79">
        <f t="shared" si="3"/>
        <v>2380.5348843261963</v>
      </c>
    </row>
    <row r="34" spans="2:13" ht="19.5" hidden="1" customHeight="1">
      <c r="B34" s="107">
        <v>45811</v>
      </c>
      <c r="C34" s="74" t="s">
        <v>39</v>
      </c>
      <c r="D34" s="75" t="s">
        <v>6</v>
      </c>
      <c r="E34" s="75" t="s">
        <v>30</v>
      </c>
      <c r="F34" s="103">
        <v>45724</v>
      </c>
      <c r="G34" s="103">
        <v>45717</v>
      </c>
      <c r="H34" s="103">
        <v>45723</v>
      </c>
      <c r="I34" s="103" t="s">
        <v>485</v>
      </c>
      <c r="J34" s="77">
        <v>294678.21999999997</v>
      </c>
      <c r="K34" s="78">
        <v>0.14227437794301875</v>
      </c>
      <c r="L34" s="77">
        <f t="shared" si="2"/>
        <v>336603.38044385595</v>
      </c>
      <c r="M34" s="79">
        <f t="shared" si="3"/>
        <v>41925.160443855973</v>
      </c>
    </row>
    <row r="35" spans="2:13" ht="19.5" hidden="1" customHeight="1">
      <c r="B35" s="107">
        <v>45811</v>
      </c>
      <c r="C35" s="74" t="s">
        <v>39</v>
      </c>
      <c r="D35" s="75" t="s">
        <v>6</v>
      </c>
      <c r="E35" s="75" t="s">
        <v>30</v>
      </c>
      <c r="F35" s="103">
        <v>45725</v>
      </c>
      <c r="G35" s="103">
        <v>45748</v>
      </c>
      <c r="H35" s="103">
        <v>45762</v>
      </c>
      <c r="I35" s="103" t="s">
        <v>485</v>
      </c>
      <c r="J35" s="77">
        <v>296530.65999999997</v>
      </c>
      <c r="K35" s="78">
        <v>0.14227437794301875</v>
      </c>
      <c r="L35" s="77">
        <f t="shared" si="2"/>
        <v>338719.37519253272</v>
      </c>
      <c r="M35" s="79">
        <f t="shared" si="3"/>
        <v>42188.715192532749</v>
      </c>
    </row>
    <row r="36" spans="2:13" ht="19.5" hidden="1" customHeight="1">
      <c r="B36" s="107">
        <v>45811</v>
      </c>
      <c r="C36" s="74" t="s">
        <v>39</v>
      </c>
      <c r="D36" s="75" t="s">
        <v>6</v>
      </c>
      <c r="E36" s="75" t="s">
        <v>30</v>
      </c>
      <c r="F36" s="103">
        <v>45726</v>
      </c>
      <c r="G36" s="103">
        <v>45778</v>
      </c>
      <c r="H36" s="103">
        <v>45791</v>
      </c>
      <c r="I36" s="103" t="s">
        <v>485</v>
      </c>
      <c r="J36" s="77">
        <v>298159.67</v>
      </c>
      <c r="K36" s="78">
        <v>0.14227437794301875</v>
      </c>
      <c r="L36" s="77">
        <f t="shared" si="2"/>
        <v>340580.15157694573</v>
      </c>
      <c r="M36" s="79">
        <f t="shared" si="3"/>
        <v>42420.481576945749</v>
      </c>
    </row>
    <row r="37" spans="2:13" ht="19.5" hidden="1" customHeight="1">
      <c r="B37" s="107">
        <v>45811</v>
      </c>
      <c r="C37" s="74" t="s">
        <v>39</v>
      </c>
      <c r="D37" s="75" t="s">
        <v>6</v>
      </c>
      <c r="E37" s="75" t="s">
        <v>35</v>
      </c>
      <c r="F37" s="103">
        <v>45724</v>
      </c>
      <c r="G37" s="103">
        <v>45717</v>
      </c>
      <c r="H37" s="103">
        <v>45723</v>
      </c>
      <c r="I37" s="103" t="s">
        <v>485</v>
      </c>
      <c r="J37" s="77">
        <v>11606.08</v>
      </c>
      <c r="K37" s="78">
        <v>7.3673386633387919E-2</v>
      </c>
      <c r="L37" s="77">
        <f t="shared" si="2"/>
        <v>12461.139219138029</v>
      </c>
      <c r="M37" s="79">
        <f t="shared" si="3"/>
        <v>855.05921913802922</v>
      </c>
    </row>
    <row r="38" spans="2:13" ht="19.5" hidden="1" customHeight="1">
      <c r="B38" s="107">
        <v>45811</v>
      </c>
      <c r="C38" s="74" t="s">
        <v>39</v>
      </c>
      <c r="D38" s="75" t="s">
        <v>6</v>
      </c>
      <c r="E38" s="75" t="s">
        <v>35</v>
      </c>
      <c r="F38" s="103">
        <v>45725</v>
      </c>
      <c r="G38" s="103">
        <v>45748</v>
      </c>
      <c r="H38" s="103">
        <v>45762</v>
      </c>
      <c r="I38" s="103" t="s">
        <v>485</v>
      </c>
      <c r="J38" s="77">
        <v>11606</v>
      </c>
      <c r="K38" s="78">
        <v>7.3673386633387919E-2</v>
      </c>
      <c r="L38" s="77">
        <f t="shared" si="2"/>
        <v>12461.053325267099</v>
      </c>
      <c r="M38" s="79">
        <f t="shared" si="3"/>
        <v>855.05332526709935</v>
      </c>
    </row>
    <row r="39" spans="2:13" ht="19.5" hidden="1" customHeight="1">
      <c r="B39" s="107">
        <v>45811</v>
      </c>
      <c r="C39" s="74" t="s">
        <v>39</v>
      </c>
      <c r="D39" s="75" t="s">
        <v>6</v>
      </c>
      <c r="E39" s="75" t="s">
        <v>35</v>
      </c>
      <c r="F39" s="103">
        <v>45726</v>
      </c>
      <c r="G39" s="103">
        <v>45778</v>
      </c>
      <c r="H39" s="103">
        <v>45791</v>
      </c>
      <c r="I39" s="103" t="s">
        <v>485</v>
      </c>
      <c r="J39" s="77">
        <v>11606.08</v>
      </c>
      <c r="K39" s="78">
        <v>7.3673386633387919E-2</v>
      </c>
      <c r="L39" s="77">
        <f t="shared" si="2"/>
        <v>12461.139219138029</v>
      </c>
      <c r="M39" s="79">
        <f t="shared" si="3"/>
        <v>855.05921913802922</v>
      </c>
    </row>
    <row r="40" spans="2:13" ht="19.5" hidden="1" customHeight="1">
      <c r="B40" s="107">
        <v>45812</v>
      </c>
      <c r="C40" s="74" t="s">
        <v>40</v>
      </c>
      <c r="D40" s="75" t="s">
        <v>20</v>
      </c>
      <c r="E40" s="75" t="s">
        <v>30</v>
      </c>
      <c r="F40" s="103">
        <v>45717</v>
      </c>
      <c r="G40" s="103">
        <v>45717</v>
      </c>
      <c r="H40" s="103">
        <v>45750</v>
      </c>
      <c r="I40" s="103" t="s">
        <v>485</v>
      </c>
      <c r="J40" s="77">
        <v>409317.39</v>
      </c>
      <c r="K40" s="78">
        <v>7.7982396755301761E-2</v>
      </c>
      <c r="L40" s="77">
        <f t="shared" si="2"/>
        <v>441236.9411058246</v>
      </c>
      <c r="M40" s="79">
        <f t="shared" si="3"/>
        <v>31919.55110582459</v>
      </c>
    </row>
    <row r="41" spans="2:13" ht="19.5" hidden="1" customHeight="1">
      <c r="B41" s="107">
        <v>45812</v>
      </c>
      <c r="C41" s="74" t="s">
        <v>40</v>
      </c>
      <c r="D41" s="75" t="s">
        <v>20</v>
      </c>
      <c r="E41" s="75" t="s">
        <v>30</v>
      </c>
      <c r="F41" s="103">
        <v>45718</v>
      </c>
      <c r="G41" s="103">
        <v>45748</v>
      </c>
      <c r="H41" s="103">
        <v>45796</v>
      </c>
      <c r="I41" s="103" t="s">
        <v>485</v>
      </c>
      <c r="J41" s="77">
        <v>409317.39</v>
      </c>
      <c r="K41" s="78">
        <v>7.7982396755301761E-2</v>
      </c>
      <c r="L41" s="77">
        <f t="shared" si="2"/>
        <v>441236.9411058246</v>
      </c>
      <c r="M41" s="79">
        <f t="shared" si="3"/>
        <v>31919.55110582459</v>
      </c>
    </row>
    <row r="42" spans="2:13" ht="19.5" hidden="1" customHeight="1">
      <c r="B42" s="107">
        <v>45812</v>
      </c>
      <c r="C42" s="74" t="s">
        <v>40</v>
      </c>
      <c r="D42" s="75" t="s">
        <v>20</v>
      </c>
      <c r="E42" s="75" t="s">
        <v>35</v>
      </c>
      <c r="F42" s="103">
        <v>45719</v>
      </c>
      <c r="G42" s="103">
        <v>45717</v>
      </c>
      <c r="H42" s="103">
        <v>45750</v>
      </c>
      <c r="I42" s="103" t="s">
        <v>485</v>
      </c>
      <c r="J42" s="77">
        <v>78582.960000000006</v>
      </c>
      <c r="K42" s="78">
        <v>7.059004008793153E-2</v>
      </c>
      <c r="L42" s="77">
        <f t="shared" si="2"/>
        <v>84130.134296628326</v>
      </c>
      <c r="M42" s="79">
        <f t="shared" si="3"/>
        <v>5547.17429662832</v>
      </c>
    </row>
    <row r="43" spans="2:13" ht="19.5" hidden="1" customHeight="1">
      <c r="B43" s="107">
        <v>45812</v>
      </c>
      <c r="C43" s="74" t="s">
        <v>40</v>
      </c>
      <c r="D43" s="75" t="s">
        <v>20</v>
      </c>
      <c r="E43" s="75" t="s">
        <v>35</v>
      </c>
      <c r="F43" s="103">
        <v>45720</v>
      </c>
      <c r="G43" s="103">
        <v>45748</v>
      </c>
      <c r="H43" s="103">
        <v>45786</v>
      </c>
      <c r="I43" s="103" t="s">
        <v>485</v>
      </c>
      <c r="J43" s="77">
        <v>78582.960000000006</v>
      </c>
      <c r="K43" s="78">
        <v>7.059004008793153E-2</v>
      </c>
      <c r="L43" s="77">
        <f t="shared" si="2"/>
        <v>84130.134296628326</v>
      </c>
      <c r="M43" s="79">
        <f t="shared" si="3"/>
        <v>5547.17429662832</v>
      </c>
    </row>
    <row r="44" spans="2:13" ht="19.5" hidden="1" customHeight="1">
      <c r="B44" s="107">
        <v>45820</v>
      </c>
      <c r="C44" s="74" t="s">
        <v>39</v>
      </c>
      <c r="D44" s="75" t="s">
        <v>14</v>
      </c>
      <c r="E44" s="75" t="s">
        <v>35</v>
      </c>
      <c r="F44" s="103">
        <v>45720</v>
      </c>
      <c r="G44" s="103">
        <v>45720</v>
      </c>
      <c r="H44" s="103">
        <v>45761</v>
      </c>
      <c r="I44" s="103" t="s">
        <v>485</v>
      </c>
      <c r="J44" s="77">
        <v>45647.5</v>
      </c>
      <c r="K44" s="78">
        <v>5.8530409378248695E-2</v>
      </c>
      <c r="L44" s="77">
        <f t="shared" si="2"/>
        <v>48319.266862093602</v>
      </c>
      <c r="M44" s="79">
        <f t="shared" si="3"/>
        <v>2671.766862093602</v>
      </c>
    </row>
    <row r="45" spans="2:13" ht="19.5" hidden="1" customHeight="1">
      <c r="B45" s="107">
        <v>45820</v>
      </c>
      <c r="C45" s="74" t="s">
        <v>39</v>
      </c>
      <c r="D45" s="75" t="s">
        <v>14</v>
      </c>
      <c r="E45" s="75" t="s">
        <v>165</v>
      </c>
      <c r="F45" s="103">
        <v>45720</v>
      </c>
      <c r="G45" s="103">
        <v>45720</v>
      </c>
      <c r="H45" s="103">
        <v>45761</v>
      </c>
      <c r="I45" s="103" t="s">
        <v>485</v>
      </c>
      <c r="J45" s="77">
        <v>56404.83</v>
      </c>
      <c r="K45" s="78">
        <v>7.0322313518528301E-2</v>
      </c>
      <c r="L45" s="77">
        <f t="shared" si="2"/>
        <v>60371.348139219292</v>
      </c>
      <c r="M45" s="79">
        <f t="shared" si="3"/>
        <v>3966.5181392192899</v>
      </c>
    </row>
    <row r="46" spans="2:13" ht="19.5" hidden="1" customHeight="1">
      <c r="B46" s="107">
        <v>45820</v>
      </c>
      <c r="C46" s="74" t="s">
        <v>39</v>
      </c>
      <c r="D46" s="75" t="s">
        <v>14</v>
      </c>
      <c r="E46" s="75" t="s">
        <v>30</v>
      </c>
      <c r="F46" s="103">
        <v>45720</v>
      </c>
      <c r="G46" s="103">
        <v>45720</v>
      </c>
      <c r="H46" s="103">
        <v>45761</v>
      </c>
      <c r="I46" s="103" t="s">
        <v>485</v>
      </c>
      <c r="J46" s="77">
        <v>581991.57999999996</v>
      </c>
      <c r="K46" s="78">
        <v>0.12574096308705354</v>
      </c>
      <c r="L46" s="77">
        <f t="shared" si="2"/>
        <v>655171.76177775592</v>
      </c>
      <c r="M46" s="79">
        <f t="shared" si="3"/>
        <v>73180.181777755963</v>
      </c>
    </row>
    <row r="47" spans="2:13" ht="19.5" hidden="1" customHeight="1">
      <c r="B47" s="107">
        <v>45820</v>
      </c>
      <c r="C47" s="74" t="s">
        <v>39</v>
      </c>
      <c r="D47" s="75" t="s">
        <v>14</v>
      </c>
      <c r="E47" s="75" t="s">
        <v>35</v>
      </c>
      <c r="F47" s="103">
        <v>45720</v>
      </c>
      <c r="G47" s="103">
        <v>45748</v>
      </c>
      <c r="H47" s="103">
        <v>45790</v>
      </c>
      <c r="I47" s="103" t="s">
        <v>485</v>
      </c>
      <c r="J47" s="77">
        <v>45433.62</v>
      </c>
      <c r="K47" s="78">
        <v>5.8530409378248695E-2</v>
      </c>
      <c r="L47" s="77">
        <f t="shared" si="2"/>
        <v>48092.868378135783</v>
      </c>
      <c r="M47" s="79">
        <f t="shared" si="3"/>
        <v>2659.2483781357805</v>
      </c>
    </row>
    <row r="48" spans="2:13" ht="19.5" hidden="1" customHeight="1">
      <c r="B48" s="107">
        <v>45820</v>
      </c>
      <c r="C48" s="74" t="s">
        <v>39</v>
      </c>
      <c r="D48" s="75" t="s">
        <v>14</v>
      </c>
      <c r="E48" s="75" t="s">
        <v>165</v>
      </c>
      <c r="F48" s="103">
        <v>45720</v>
      </c>
      <c r="G48" s="103">
        <v>45748</v>
      </c>
      <c r="H48" s="103">
        <v>45790</v>
      </c>
      <c r="I48" s="103" t="s">
        <v>485</v>
      </c>
      <c r="J48" s="77">
        <v>56404.83</v>
      </c>
      <c r="K48" s="78">
        <v>7.0322313518528301E-2</v>
      </c>
      <c r="L48" s="77">
        <f t="shared" si="2"/>
        <v>60371.348139219292</v>
      </c>
      <c r="M48" s="79">
        <f t="shared" si="3"/>
        <v>3966.5181392192899</v>
      </c>
    </row>
    <row r="49" spans="2:13" ht="19.5" hidden="1" customHeight="1">
      <c r="B49" s="107">
        <v>45820</v>
      </c>
      <c r="C49" s="74" t="s">
        <v>39</v>
      </c>
      <c r="D49" s="75" t="s">
        <v>14</v>
      </c>
      <c r="E49" s="75" t="s">
        <v>30</v>
      </c>
      <c r="F49" s="103">
        <v>45720</v>
      </c>
      <c r="G49" s="103">
        <v>45748</v>
      </c>
      <c r="H49" s="103">
        <v>45790</v>
      </c>
      <c r="I49" s="103" t="s">
        <v>485</v>
      </c>
      <c r="J49" s="77">
        <v>581991.57999999996</v>
      </c>
      <c r="K49" s="78">
        <v>0.12574096308705354</v>
      </c>
      <c r="L49" s="77">
        <f t="shared" si="2"/>
        <v>655171.76177775592</v>
      </c>
      <c r="M49" s="79">
        <f t="shared" si="3"/>
        <v>73180.181777755963</v>
      </c>
    </row>
    <row r="50" spans="2:13" ht="19.5" hidden="1" customHeight="1">
      <c r="B50" s="107">
        <v>45821</v>
      </c>
      <c r="C50" s="74" t="s">
        <v>39</v>
      </c>
      <c r="D50" s="75" t="s">
        <v>14</v>
      </c>
      <c r="E50" s="75" t="s">
        <v>31</v>
      </c>
      <c r="F50" s="103">
        <v>45721</v>
      </c>
      <c r="G50" s="103">
        <v>45717</v>
      </c>
      <c r="H50" s="103">
        <v>45775</v>
      </c>
      <c r="I50" s="103" t="s">
        <v>485</v>
      </c>
      <c r="J50" s="77">
        <v>134428.35</v>
      </c>
      <c r="K50" s="78">
        <v>7.4332534766661892E-2</v>
      </c>
      <c r="L50" s="77">
        <f t="shared" si="2"/>
        <v>144420.75</v>
      </c>
      <c r="M50" s="79">
        <f t="shared" si="3"/>
        <v>9992.3999999999942</v>
      </c>
    </row>
    <row r="51" spans="2:13" ht="19.5" hidden="1" customHeight="1">
      <c r="B51" s="107">
        <v>45822</v>
      </c>
      <c r="C51" s="74" t="s">
        <v>39</v>
      </c>
      <c r="D51" s="75" t="s">
        <v>14</v>
      </c>
      <c r="E51" s="75" t="s">
        <v>31</v>
      </c>
      <c r="F51" s="103">
        <v>45722</v>
      </c>
      <c r="G51" s="103">
        <v>45748</v>
      </c>
      <c r="H51" s="103">
        <v>45798</v>
      </c>
      <c r="I51" s="103" t="s">
        <v>485</v>
      </c>
      <c r="J51" s="77">
        <v>130260.78</v>
      </c>
      <c r="K51" s="78">
        <v>7.4332534766661892E-2</v>
      </c>
      <c r="L51" s="77">
        <f t="shared" si="2"/>
        <v>139943.39395808251</v>
      </c>
      <c r="M51" s="79">
        <f t="shared" si="3"/>
        <v>9682.6139580825111</v>
      </c>
    </row>
    <row r="52" spans="2:13" ht="19.5" hidden="1" customHeight="1">
      <c r="B52" s="107">
        <v>45824</v>
      </c>
      <c r="C52" s="74" t="s">
        <v>40</v>
      </c>
      <c r="D52" s="75" t="s">
        <v>19</v>
      </c>
      <c r="E52" s="75" t="s">
        <v>25</v>
      </c>
      <c r="F52" s="103">
        <v>45723</v>
      </c>
      <c r="G52" s="103">
        <v>45717</v>
      </c>
      <c r="H52" s="103">
        <v>45730</v>
      </c>
      <c r="I52" s="103" t="s">
        <v>485</v>
      </c>
      <c r="J52" s="77">
        <v>124611.55</v>
      </c>
      <c r="K52" s="78">
        <v>4.7129514756056881E-2</v>
      </c>
      <c r="L52" s="77">
        <f t="shared" si="2"/>
        <v>130484.43188450013</v>
      </c>
      <c r="M52" s="79">
        <f t="shared" si="3"/>
        <v>5872.8818845001224</v>
      </c>
    </row>
    <row r="53" spans="2:13" ht="19.5" hidden="1" customHeight="1">
      <c r="B53" s="107">
        <v>45825</v>
      </c>
      <c r="C53" s="74" t="s">
        <v>40</v>
      </c>
      <c r="D53" s="75" t="s">
        <v>19</v>
      </c>
      <c r="E53" s="75" t="s">
        <v>26</v>
      </c>
      <c r="F53" s="103">
        <v>45724</v>
      </c>
      <c r="G53" s="103">
        <v>45717</v>
      </c>
      <c r="H53" s="103">
        <v>45731</v>
      </c>
      <c r="I53" s="103" t="s">
        <v>485</v>
      </c>
      <c r="J53" s="77">
        <v>29648.29</v>
      </c>
      <c r="K53" s="78">
        <v>5.0931901942611851E-2</v>
      </c>
      <c r="L53" s="77">
        <f t="shared" si="2"/>
        <v>31158.333799046119</v>
      </c>
      <c r="M53" s="79">
        <f t="shared" si="3"/>
        <v>1510.0437990461178</v>
      </c>
    </row>
    <row r="54" spans="2:13" ht="19.5" hidden="1" customHeight="1">
      <c r="B54" s="107">
        <v>45826</v>
      </c>
      <c r="C54" s="74" t="s">
        <v>40</v>
      </c>
      <c r="D54" s="75" t="s">
        <v>19</v>
      </c>
      <c r="E54" s="75" t="s">
        <v>161</v>
      </c>
      <c r="F54" s="103">
        <v>45725</v>
      </c>
      <c r="G54" s="103">
        <v>45717</v>
      </c>
      <c r="H54" s="103">
        <v>45732</v>
      </c>
      <c r="I54" s="103" t="s">
        <v>485</v>
      </c>
      <c r="J54" s="77">
        <v>12445.05</v>
      </c>
      <c r="K54" s="78">
        <v>4.5216542761981685E-2</v>
      </c>
      <c r="L54" s="77">
        <f t="shared" si="2"/>
        <v>13007.772135499999</v>
      </c>
      <c r="M54" s="79">
        <f t="shared" si="3"/>
        <v>562.72213550000015</v>
      </c>
    </row>
    <row r="55" spans="2:13" ht="19.5" hidden="1" customHeight="1">
      <c r="B55" s="107">
        <v>45827</v>
      </c>
      <c r="C55" s="74" t="s">
        <v>40</v>
      </c>
      <c r="D55" s="75" t="s">
        <v>19</v>
      </c>
      <c r="E55" s="75" t="s">
        <v>25</v>
      </c>
      <c r="F55" s="103">
        <v>45726</v>
      </c>
      <c r="G55" s="103">
        <v>45748</v>
      </c>
      <c r="H55" s="103">
        <v>45762</v>
      </c>
      <c r="I55" s="103" t="s">
        <v>485</v>
      </c>
      <c r="J55" s="77">
        <v>124611.55</v>
      </c>
      <c r="K55" s="78">
        <v>4.7129514756056881E-2</v>
      </c>
      <c r="L55" s="77">
        <f t="shared" si="2"/>
        <v>130484.43188450013</v>
      </c>
      <c r="M55" s="79">
        <f t="shared" si="3"/>
        <v>5872.8818845001224</v>
      </c>
    </row>
    <row r="56" spans="2:13" ht="19.5" hidden="1" customHeight="1">
      <c r="B56" s="107">
        <v>45828</v>
      </c>
      <c r="C56" s="74" t="s">
        <v>40</v>
      </c>
      <c r="D56" s="75" t="s">
        <v>19</v>
      </c>
      <c r="E56" s="75" t="s">
        <v>26</v>
      </c>
      <c r="F56" s="103">
        <v>45727</v>
      </c>
      <c r="G56" s="103">
        <v>45749</v>
      </c>
      <c r="H56" s="103">
        <v>45763</v>
      </c>
      <c r="I56" s="103" t="s">
        <v>485</v>
      </c>
      <c r="J56" s="77">
        <v>29648.29</v>
      </c>
      <c r="K56" s="78">
        <v>5.0931901942611851E-2</v>
      </c>
      <c r="L56" s="77">
        <f t="shared" si="2"/>
        <v>31158.333799046119</v>
      </c>
      <c r="M56" s="79">
        <f t="shared" si="3"/>
        <v>1510.0437990461178</v>
      </c>
    </row>
    <row r="57" spans="2:13" ht="19.5" hidden="1" customHeight="1">
      <c r="B57" s="107">
        <v>45829</v>
      </c>
      <c r="C57" s="74" t="s">
        <v>40</v>
      </c>
      <c r="D57" s="75" t="s">
        <v>19</v>
      </c>
      <c r="E57" s="75" t="s">
        <v>161</v>
      </c>
      <c r="F57" s="103">
        <v>45728</v>
      </c>
      <c r="G57" s="103">
        <v>45750</v>
      </c>
      <c r="H57" s="103">
        <v>45764</v>
      </c>
      <c r="I57" s="103" t="s">
        <v>485</v>
      </c>
      <c r="J57" s="77">
        <v>12445.05</v>
      </c>
      <c r="K57" s="78">
        <v>4.5216542761981685E-2</v>
      </c>
      <c r="L57" s="77">
        <f t="shared" ref="L57:L88" si="4">J57*(1+K57)</f>
        <v>13007.772135499999</v>
      </c>
      <c r="M57" s="79">
        <f t="shared" ref="M57:M88" si="5">L57-J57</f>
        <v>562.72213550000015</v>
      </c>
    </row>
    <row r="58" spans="2:13" ht="19.5" hidden="1" customHeight="1">
      <c r="B58" s="107">
        <v>45830</v>
      </c>
      <c r="C58" s="74" t="s">
        <v>40</v>
      </c>
      <c r="D58" s="75" t="s">
        <v>19</v>
      </c>
      <c r="E58" s="75" t="s">
        <v>25</v>
      </c>
      <c r="F58" s="103">
        <v>45729</v>
      </c>
      <c r="G58" s="103">
        <v>45778</v>
      </c>
      <c r="H58" s="103">
        <v>45785</v>
      </c>
      <c r="I58" s="103" t="s">
        <v>485</v>
      </c>
      <c r="J58" s="77">
        <v>124611.55</v>
      </c>
      <c r="K58" s="78">
        <v>5.1690643372211749E-2</v>
      </c>
      <c r="L58" s="77">
        <f t="shared" si="4"/>
        <v>131052.80119110853</v>
      </c>
      <c r="M58" s="79">
        <f t="shared" si="5"/>
        <v>6441.2511911085312</v>
      </c>
    </row>
    <row r="59" spans="2:13" ht="19.5" hidden="1" customHeight="1">
      <c r="B59" s="107">
        <v>45831</v>
      </c>
      <c r="C59" s="74" t="s">
        <v>40</v>
      </c>
      <c r="D59" s="75" t="s">
        <v>19</v>
      </c>
      <c r="E59" s="75" t="s">
        <v>26</v>
      </c>
      <c r="F59" s="103">
        <v>45730</v>
      </c>
      <c r="G59" s="103">
        <v>45779</v>
      </c>
      <c r="H59" s="103">
        <v>45786</v>
      </c>
      <c r="I59" s="103" t="s">
        <v>485</v>
      </c>
      <c r="J59" s="77">
        <v>29648.29</v>
      </c>
      <c r="K59" s="78">
        <v>5.5745894589280705E-2</v>
      </c>
      <c r="L59" s="77">
        <f t="shared" si="4"/>
        <v>31301.060449092431</v>
      </c>
      <c r="M59" s="79">
        <f t="shared" si="5"/>
        <v>1652.7704490924298</v>
      </c>
    </row>
    <row r="60" spans="2:13" ht="19.5" hidden="1" customHeight="1">
      <c r="B60" s="107">
        <v>45832</v>
      </c>
      <c r="C60" s="74" t="s">
        <v>40</v>
      </c>
      <c r="D60" s="75" t="s">
        <v>19</v>
      </c>
      <c r="E60" s="75" t="s">
        <v>161</v>
      </c>
      <c r="F60" s="103">
        <v>45731</v>
      </c>
      <c r="G60" s="103">
        <v>45780</v>
      </c>
      <c r="H60" s="103">
        <v>45787</v>
      </c>
      <c r="I60" s="103" t="s">
        <v>485</v>
      </c>
      <c r="J60" s="77">
        <v>12445.05</v>
      </c>
      <c r="K60" s="78">
        <v>5.2913758432227974E-2</v>
      </c>
      <c r="L60" s="77">
        <f t="shared" si="4"/>
        <v>13103.564369376996</v>
      </c>
      <c r="M60" s="79">
        <f t="shared" si="5"/>
        <v>658.51436937699691</v>
      </c>
    </row>
    <row r="61" spans="2:13" ht="19.5" hidden="1" customHeight="1">
      <c r="B61" s="107">
        <v>45831</v>
      </c>
      <c r="C61" s="74" t="s">
        <v>40</v>
      </c>
      <c r="D61" s="75" t="s">
        <v>19</v>
      </c>
      <c r="E61" s="75" t="s">
        <v>26</v>
      </c>
      <c r="F61" s="103">
        <v>45732</v>
      </c>
      <c r="G61" s="103">
        <v>45809</v>
      </c>
      <c r="H61" s="103">
        <v>45824</v>
      </c>
      <c r="I61" s="103" t="s">
        <v>485</v>
      </c>
      <c r="J61" s="77">
        <v>29648.29</v>
      </c>
      <c r="K61" s="78">
        <v>5.5745894589280705E-2</v>
      </c>
      <c r="L61" s="77">
        <f t="shared" si="4"/>
        <v>31301.060449092431</v>
      </c>
      <c r="M61" s="79">
        <f t="shared" si="5"/>
        <v>1652.7704490924298</v>
      </c>
    </row>
    <row r="62" spans="2:13" ht="19.5" hidden="1" customHeight="1">
      <c r="B62" s="107">
        <v>45832</v>
      </c>
      <c r="C62" s="74" t="s">
        <v>40</v>
      </c>
      <c r="D62" s="75" t="s">
        <v>19</v>
      </c>
      <c r="E62" s="75" t="s">
        <v>161</v>
      </c>
      <c r="F62" s="103">
        <v>45733</v>
      </c>
      <c r="G62" s="103">
        <v>45809</v>
      </c>
      <c r="H62" s="103">
        <v>45824</v>
      </c>
      <c r="I62" s="103" t="s">
        <v>485</v>
      </c>
      <c r="J62" s="77">
        <v>12445.05</v>
      </c>
      <c r="K62" s="78">
        <v>5.2913758432227974E-2</v>
      </c>
      <c r="L62" s="77">
        <f t="shared" si="4"/>
        <v>13103.564369376996</v>
      </c>
      <c r="M62" s="79">
        <f t="shared" si="5"/>
        <v>658.51436937699691</v>
      </c>
    </row>
    <row r="63" spans="2:13" ht="19.5" hidden="1" customHeight="1">
      <c r="B63" s="107">
        <v>45835</v>
      </c>
      <c r="C63" s="74" t="s">
        <v>95</v>
      </c>
      <c r="D63" s="75" t="s">
        <v>21</v>
      </c>
      <c r="E63" s="75" t="s">
        <v>28</v>
      </c>
      <c r="F63" s="103">
        <v>45627</v>
      </c>
      <c r="G63" s="103">
        <v>45627</v>
      </c>
      <c r="H63" s="103">
        <v>45627</v>
      </c>
      <c r="I63" s="103" t="s">
        <v>485</v>
      </c>
      <c r="J63" s="77">
        <v>149682.04</v>
      </c>
      <c r="K63" s="78">
        <v>5.8707176893099552E-2</v>
      </c>
      <c r="L63" s="77">
        <f t="shared" si="4"/>
        <v>158469.45000000001</v>
      </c>
      <c r="M63" s="79">
        <f t="shared" si="5"/>
        <v>8787.4100000000035</v>
      </c>
    </row>
    <row r="64" spans="2:13" ht="19.5" hidden="1" customHeight="1">
      <c r="B64" s="107">
        <v>45835</v>
      </c>
      <c r="C64" s="74" t="s">
        <v>95</v>
      </c>
      <c r="D64" s="75" t="s">
        <v>21</v>
      </c>
      <c r="E64" s="75" t="s">
        <v>28</v>
      </c>
      <c r="F64" s="103">
        <v>45627</v>
      </c>
      <c r="G64" s="103">
        <v>45658</v>
      </c>
      <c r="H64" s="103">
        <v>45658</v>
      </c>
      <c r="I64" s="103" t="s">
        <v>485</v>
      </c>
      <c r="J64" s="77">
        <v>149682.04</v>
      </c>
      <c r="K64" s="78">
        <v>5.8707176893099552E-2</v>
      </c>
      <c r="L64" s="77">
        <f t="shared" si="4"/>
        <v>158469.45000000001</v>
      </c>
      <c r="M64" s="79">
        <f t="shared" si="5"/>
        <v>8787.4100000000035</v>
      </c>
    </row>
    <row r="65" spans="2:13" ht="19.5" hidden="1" customHeight="1">
      <c r="B65" s="107">
        <v>45835</v>
      </c>
      <c r="C65" s="74" t="s">
        <v>95</v>
      </c>
      <c r="D65" s="75" t="s">
        <v>21</v>
      </c>
      <c r="E65" s="75" t="s">
        <v>28</v>
      </c>
      <c r="F65" s="103">
        <v>45628</v>
      </c>
      <c r="G65" s="103">
        <v>45689</v>
      </c>
      <c r="H65" s="103">
        <v>45689</v>
      </c>
      <c r="I65" s="103" t="s">
        <v>485</v>
      </c>
      <c r="J65" s="77">
        <v>149682.04</v>
      </c>
      <c r="K65" s="78">
        <v>5.8707176893099552E-2</v>
      </c>
      <c r="L65" s="77">
        <f t="shared" si="4"/>
        <v>158469.45000000001</v>
      </c>
      <c r="M65" s="79">
        <f t="shared" si="5"/>
        <v>8787.4100000000035</v>
      </c>
    </row>
    <row r="66" spans="2:13" ht="19.5" hidden="1" customHeight="1">
      <c r="B66" s="107">
        <v>45835</v>
      </c>
      <c r="C66" s="74" t="s">
        <v>95</v>
      </c>
      <c r="D66" s="75" t="s">
        <v>21</v>
      </c>
      <c r="E66" s="75" t="s">
        <v>28</v>
      </c>
      <c r="F66" s="103">
        <v>45629</v>
      </c>
      <c r="G66" s="103">
        <v>45717</v>
      </c>
      <c r="H66" s="103">
        <v>45717</v>
      </c>
      <c r="I66" s="103" t="s">
        <v>485</v>
      </c>
      <c r="J66" s="77">
        <v>149682.04</v>
      </c>
      <c r="K66" s="78">
        <v>5.8707176893099552E-2</v>
      </c>
      <c r="L66" s="77">
        <f t="shared" si="4"/>
        <v>158469.45000000001</v>
      </c>
      <c r="M66" s="79">
        <f t="shared" si="5"/>
        <v>8787.4100000000035</v>
      </c>
    </row>
    <row r="67" spans="2:13" ht="19.5" hidden="1" customHeight="1">
      <c r="B67" s="107">
        <v>45835</v>
      </c>
      <c r="C67" s="74" t="s">
        <v>95</v>
      </c>
      <c r="D67" s="75" t="s">
        <v>21</v>
      </c>
      <c r="E67" s="75" t="s">
        <v>28</v>
      </c>
      <c r="F67" s="103">
        <v>45630</v>
      </c>
      <c r="G67" s="103">
        <v>45748</v>
      </c>
      <c r="H67" s="103">
        <v>45748</v>
      </c>
      <c r="I67" s="103" t="s">
        <v>485</v>
      </c>
      <c r="J67" s="77">
        <v>149682.04</v>
      </c>
      <c r="K67" s="78">
        <v>5.8707176893099552E-2</v>
      </c>
      <c r="L67" s="77">
        <f t="shared" si="4"/>
        <v>158469.45000000001</v>
      </c>
      <c r="M67" s="79">
        <f t="shared" si="5"/>
        <v>8787.4100000000035</v>
      </c>
    </row>
    <row r="68" spans="2:13" ht="19.5" hidden="1" customHeight="1">
      <c r="B68" s="107">
        <v>45835</v>
      </c>
      <c r="C68" s="74" t="s">
        <v>95</v>
      </c>
      <c r="D68" s="75" t="s">
        <v>21</v>
      </c>
      <c r="E68" s="75" t="s">
        <v>28</v>
      </c>
      <c r="F68" s="103">
        <v>45631</v>
      </c>
      <c r="G68" s="103">
        <v>45778</v>
      </c>
      <c r="H68" s="103">
        <v>45778</v>
      </c>
      <c r="I68" s="103" t="s">
        <v>485</v>
      </c>
      <c r="J68" s="77">
        <v>149682.04</v>
      </c>
      <c r="K68" s="78">
        <v>5.8707176893099552E-2</v>
      </c>
      <c r="L68" s="77">
        <f t="shared" si="4"/>
        <v>158469.45000000001</v>
      </c>
      <c r="M68" s="79">
        <f t="shared" si="5"/>
        <v>8787.4100000000035</v>
      </c>
    </row>
    <row r="69" spans="2:13" ht="19.5" hidden="1" customHeight="1">
      <c r="B69" s="107">
        <v>45835</v>
      </c>
      <c r="C69" s="74" t="s">
        <v>95</v>
      </c>
      <c r="D69" s="75" t="s">
        <v>21</v>
      </c>
      <c r="E69" s="75" t="s">
        <v>28</v>
      </c>
      <c r="F69" s="103">
        <v>45632</v>
      </c>
      <c r="G69" s="103">
        <v>45809</v>
      </c>
      <c r="H69" s="103">
        <v>45809</v>
      </c>
      <c r="I69" s="103" t="s">
        <v>485</v>
      </c>
      <c r="J69" s="77">
        <v>149682.04</v>
      </c>
      <c r="K69" s="78">
        <v>5.8707176893099552E-2</v>
      </c>
      <c r="L69" s="77">
        <f t="shared" si="4"/>
        <v>158469.45000000001</v>
      </c>
      <c r="M69" s="79">
        <f t="shared" si="5"/>
        <v>8787.4100000000035</v>
      </c>
    </row>
    <row r="70" spans="2:13" ht="19.5" hidden="1" customHeight="1">
      <c r="B70" s="107">
        <v>45748</v>
      </c>
      <c r="C70" s="67" t="s">
        <v>41</v>
      </c>
      <c r="D70" s="75" t="s">
        <v>13</v>
      </c>
      <c r="E70" s="52" t="s">
        <v>26</v>
      </c>
      <c r="F70" s="102">
        <v>45659</v>
      </c>
      <c r="G70" s="103">
        <v>45690</v>
      </c>
      <c r="H70" s="103"/>
      <c r="I70" s="102" t="s">
        <v>485</v>
      </c>
      <c r="J70" s="65">
        <v>18680.810000000001</v>
      </c>
      <c r="K70" s="78">
        <v>6.7320802904423688E-2</v>
      </c>
      <c r="L70" s="77">
        <f t="shared" si="4"/>
        <v>19938.417128104989</v>
      </c>
      <c r="M70" s="79">
        <f t="shared" si="5"/>
        <v>1257.6071281049881</v>
      </c>
    </row>
    <row r="71" spans="2:13" ht="19.5" hidden="1" customHeight="1">
      <c r="B71" s="107">
        <v>45748</v>
      </c>
      <c r="C71" s="67" t="s">
        <v>41</v>
      </c>
      <c r="D71" s="75" t="s">
        <v>13</v>
      </c>
      <c r="E71" s="52" t="s">
        <v>26</v>
      </c>
      <c r="F71" s="102">
        <v>45660</v>
      </c>
      <c r="G71" s="103">
        <v>45717</v>
      </c>
      <c r="H71" s="103"/>
      <c r="I71" s="102" t="s">
        <v>485</v>
      </c>
      <c r="J71" s="77">
        <v>18707.23</v>
      </c>
      <c r="K71" s="78">
        <v>6.7320802904423688E-2</v>
      </c>
      <c r="L71" s="77">
        <f t="shared" si="4"/>
        <v>19966.615743717721</v>
      </c>
      <c r="M71" s="79">
        <f t="shared" si="5"/>
        <v>1259.3857437177212</v>
      </c>
    </row>
    <row r="72" spans="2:13" ht="19.5" hidden="1" customHeight="1">
      <c r="B72" s="107">
        <v>45835</v>
      </c>
      <c r="C72" s="67" t="s">
        <v>41</v>
      </c>
      <c r="D72" s="75" t="s">
        <v>13</v>
      </c>
      <c r="E72" s="52" t="s">
        <v>26</v>
      </c>
      <c r="F72" s="102">
        <v>45663</v>
      </c>
      <c r="G72" s="103">
        <v>45748</v>
      </c>
      <c r="H72" s="103">
        <v>45761</v>
      </c>
      <c r="I72" s="102" t="s">
        <v>485</v>
      </c>
      <c r="J72" s="65">
        <v>18707.23</v>
      </c>
      <c r="K72" s="78">
        <v>6.7320802904423688E-2</v>
      </c>
      <c r="L72" s="77">
        <f t="shared" si="4"/>
        <v>19966.615743717721</v>
      </c>
      <c r="M72" s="79">
        <f t="shared" si="5"/>
        <v>1259.3857437177212</v>
      </c>
    </row>
    <row r="73" spans="2:13" ht="19.5" hidden="1" customHeight="1">
      <c r="B73" s="107">
        <v>45835</v>
      </c>
      <c r="C73" s="67" t="s">
        <v>41</v>
      </c>
      <c r="D73" s="75" t="s">
        <v>13</v>
      </c>
      <c r="E73" s="52" t="s">
        <v>26</v>
      </c>
      <c r="F73" s="102">
        <v>45663</v>
      </c>
      <c r="G73" s="103">
        <v>45778</v>
      </c>
      <c r="H73" s="103">
        <v>45793</v>
      </c>
      <c r="I73" s="102" t="s">
        <v>485</v>
      </c>
      <c r="J73" s="77">
        <v>18559.509999999998</v>
      </c>
      <c r="K73" s="78">
        <v>6.7320802904423688E-2</v>
      </c>
      <c r="L73" s="77">
        <f t="shared" si="4"/>
        <v>19808.95111471268</v>
      </c>
      <c r="M73" s="79">
        <f t="shared" si="5"/>
        <v>1249.4411147126812</v>
      </c>
    </row>
    <row r="74" spans="2:13" ht="19.5" hidden="1" customHeight="1">
      <c r="B74" s="107">
        <v>45839</v>
      </c>
      <c r="C74" s="74" t="s">
        <v>63</v>
      </c>
      <c r="D74" s="75" t="s">
        <v>19</v>
      </c>
      <c r="E74" s="75" t="s">
        <v>28</v>
      </c>
      <c r="F74" s="103">
        <v>45717</v>
      </c>
      <c r="G74" s="103">
        <v>45717</v>
      </c>
      <c r="H74" s="103">
        <v>45757</v>
      </c>
      <c r="I74" s="102" t="s">
        <v>485</v>
      </c>
      <c r="J74" s="77">
        <v>111740.3</v>
      </c>
      <c r="K74" s="78">
        <v>6.0641584185972847E-2</v>
      </c>
      <c r="L74" s="77">
        <f t="shared" si="4"/>
        <v>118516.40880941587</v>
      </c>
      <c r="M74" s="79">
        <f t="shared" si="5"/>
        <v>6776.1088094158622</v>
      </c>
    </row>
    <row r="75" spans="2:13" ht="19.5" hidden="1" customHeight="1">
      <c r="B75" s="107">
        <v>45839</v>
      </c>
      <c r="C75" s="74" t="s">
        <v>63</v>
      </c>
      <c r="D75" s="75" t="s">
        <v>19</v>
      </c>
      <c r="E75" s="75" t="s">
        <v>28</v>
      </c>
      <c r="F75" s="103">
        <v>45718</v>
      </c>
      <c r="G75" s="103">
        <v>45748</v>
      </c>
      <c r="H75" s="103">
        <v>45792</v>
      </c>
      <c r="I75" s="102" t="s">
        <v>485</v>
      </c>
      <c r="J75" s="77">
        <v>111740.3</v>
      </c>
      <c r="K75" s="78">
        <v>6.0641584185972847E-2</v>
      </c>
      <c r="L75" s="77">
        <f t="shared" si="4"/>
        <v>118516.40880941587</v>
      </c>
      <c r="M75" s="79">
        <f t="shared" si="5"/>
        <v>6776.1088094158622</v>
      </c>
    </row>
    <row r="76" spans="2:13" ht="19.5" hidden="1" customHeight="1">
      <c r="B76" s="107">
        <v>45839</v>
      </c>
      <c r="C76" s="74" t="s">
        <v>63</v>
      </c>
      <c r="D76" s="75" t="s">
        <v>19</v>
      </c>
      <c r="E76" s="75" t="s">
        <v>28</v>
      </c>
      <c r="F76" s="103">
        <v>45719</v>
      </c>
      <c r="G76" s="103">
        <v>45778</v>
      </c>
      <c r="H76" s="103">
        <v>45831</v>
      </c>
      <c r="I76" s="102" t="s">
        <v>485</v>
      </c>
      <c r="J76" s="77">
        <v>111740.3</v>
      </c>
      <c r="K76" s="78">
        <v>6.0641584185972847E-2</v>
      </c>
      <c r="L76" s="77">
        <f t="shared" si="4"/>
        <v>118516.40880941587</v>
      </c>
      <c r="M76" s="79">
        <f t="shared" si="5"/>
        <v>6776.1088094158622</v>
      </c>
    </row>
    <row r="77" spans="2:13" ht="19.5" hidden="1" customHeight="1">
      <c r="B77" s="107">
        <v>45840</v>
      </c>
      <c r="C77" s="74" t="s">
        <v>40</v>
      </c>
      <c r="D77" s="75" t="s">
        <v>20</v>
      </c>
      <c r="E77" s="75" t="s">
        <v>25</v>
      </c>
      <c r="F77" s="103">
        <v>45717</v>
      </c>
      <c r="G77" s="103">
        <v>45717</v>
      </c>
      <c r="H77" s="103">
        <v>45783</v>
      </c>
      <c r="I77" s="102" t="s">
        <v>485</v>
      </c>
      <c r="J77" s="77">
        <v>120769.89</v>
      </c>
      <c r="K77" s="78">
        <v>4.3121833451356367E-2</v>
      </c>
      <c r="L77" s="77">
        <f t="shared" si="4"/>
        <v>125977.70908251863</v>
      </c>
      <c r="M77" s="79">
        <f t="shared" si="5"/>
        <v>5207.8190825186321</v>
      </c>
    </row>
    <row r="78" spans="2:13" ht="19.5" hidden="1" customHeight="1">
      <c r="B78" s="107">
        <v>45841</v>
      </c>
      <c r="C78" s="74" t="s">
        <v>40</v>
      </c>
      <c r="D78" s="75" t="s">
        <v>20</v>
      </c>
      <c r="E78" s="75" t="s">
        <v>25</v>
      </c>
      <c r="F78" s="103">
        <v>45717</v>
      </c>
      <c r="G78" s="103">
        <v>45748</v>
      </c>
      <c r="H78" s="103">
        <v>45786</v>
      </c>
      <c r="I78" s="102" t="s">
        <v>485</v>
      </c>
      <c r="J78" s="77">
        <v>121135.33</v>
      </c>
      <c r="K78" s="78">
        <v>4.3121833451356367E-2</v>
      </c>
      <c r="L78" s="77">
        <f t="shared" si="4"/>
        <v>126358.90752533509</v>
      </c>
      <c r="M78" s="79">
        <f t="shared" si="5"/>
        <v>5223.5775253350876</v>
      </c>
    </row>
    <row r="79" spans="2:13" ht="19.5" hidden="1" customHeight="1">
      <c r="B79" s="107">
        <v>45842</v>
      </c>
      <c r="C79" s="74" t="s">
        <v>40</v>
      </c>
      <c r="D79" s="75" t="s">
        <v>20</v>
      </c>
      <c r="E79" s="75" t="s">
        <v>25</v>
      </c>
      <c r="F79" s="103">
        <v>45717</v>
      </c>
      <c r="G79" s="103">
        <v>45778</v>
      </c>
      <c r="H79" s="103">
        <v>45818</v>
      </c>
      <c r="I79" s="102" t="s">
        <v>485</v>
      </c>
      <c r="J79" s="77">
        <v>120833.18</v>
      </c>
      <c r="K79" s="78">
        <v>4.7199999999999999E-2</v>
      </c>
      <c r="L79" s="77">
        <f t="shared" si="4"/>
        <v>126536.50609599998</v>
      </c>
      <c r="M79" s="79">
        <f t="shared" si="5"/>
        <v>5703.3260959999898</v>
      </c>
    </row>
    <row r="80" spans="2:13" ht="19.5" hidden="1" customHeight="1">
      <c r="B80" s="107">
        <v>45843</v>
      </c>
      <c r="C80" s="74" t="s">
        <v>40</v>
      </c>
      <c r="D80" s="75" t="s">
        <v>20</v>
      </c>
      <c r="E80" s="75" t="s">
        <v>25</v>
      </c>
      <c r="F80" s="103">
        <v>45717</v>
      </c>
      <c r="G80" s="103">
        <v>45717</v>
      </c>
      <c r="H80" s="103">
        <v>45783</v>
      </c>
      <c r="I80" s="103" t="s">
        <v>486</v>
      </c>
      <c r="J80" s="77">
        <v>2154.23</v>
      </c>
      <c r="K80" s="78">
        <v>4.3121833451356367E-2</v>
      </c>
      <c r="L80" s="77">
        <f t="shared" si="4"/>
        <v>2247.1243472759152</v>
      </c>
      <c r="M80" s="79">
        <f t="shared" si="5"/>
        <v>92.894347275915152</v>
      </c>
    </row>
    <row r="81" spans="2:13" ht="19.5" hidden="1" customHeight="1">
      <c r="B81" s="107">
        <v>45844</v>
      </c>
      <c r="C81" s="74" t="s">
        <v>40</v>
      </c>
      <c r="D81" s="75" t="s">
        <v>20</v>
      </c>
      <c r="E81" s="75" t="s">
        <v>25</v>
      </c>
      <c r="F81" s="103">
        <v>45718</v>
      </c>
      <c r="G81" s="103">
        <v>45748</v>
      </c>
      <c r="H81" s="103">
        <v>45786</v>
      </c>
      <c r="I81" s="103" t="s">
        <v>486</v>
      </c>
      <c r="J81" s="77">
        <v>980.61</v>
      </c>
      <c r="K81" s="78">
        <v>4.3121833451356367E-2</v>
      </c>
      <c r="L81" s="77">
        <f t="shared" si="4"/>
        <v>1022.8957011007345</v>
      </c>
      <c r="M81" s="79">
        <f t="shared" si="5"/>
        <v>42.285701100734514</v>
      </c>
    </row>
    <row r="82" spans="2:13" ht="19.5" hidden="1" customHeight="1">
      <c r="B82" s="107">
        <v>45845</v>
      </c>
      <c r="C82" s="74" t="s">
        <v>56</v>
      </c>
      <c r="D82" s="75" t="s">
        <v>12</v>
      </c>
      <c r="E82" s="75" t="s">
        <v>30</v>
      </c>
      <c r="F82" s="103">
        <v>45748</v>
      </c>
      <c r="G82" s="103">
        <v>45748</v>
      </c>
      <c r="H82" s="103">
        <v>45764</v>
      </c>
      <c r="I82" s="103" t="s">
        <v>485</v>
      </c>
      <c r="J82" s="77">
        <v>166055.32999999999</v>
      </c>
      <c r="K82" s="78">
        <v>6.4299999999999996E-2</v>
      </c>
      <c r="L82" s="77">
        <f t="shared" si="4"/>
        <v>176732.68771899998</v>
      </c>
      <c r="M82" s="79">
        <f t="shared" si="5"/>
        <v>10677.357718999992</v>
      </c>
    </row>
    <row r="83" spans="2:13" ht="19.5" hidden="1" customHeight="1">
      <c r="B83" s="107">
        <v>45846</v>
      </c>
      <c r="C83" s="74" t="s">
        <v>56</v>
      </c>
      <c r="D83" s="75" t="s">
        <v>12</v>
      </c>
      <c r="E83" s="75" t="s">
        <v>30</v>
      </c>
      <c r="F83" s="103">
        <v>45748</v>
      </c>
      <c r="G83" s="103">
        <v>45778</v>
      </c>
      <c r="H83" s="103">
        <v>45791</v>
      </c>
      <c r="I83" s="103" t="s">
        <v>485</v>
      </c>
      <c r="J83" s="77">
        <v>165799.25</v>
      </c>
      <c r="K83" s="78">
        <v>6.4299999999999996E-2</v>
      </c>
      <c r="L83" s="77">
        <f t="shared" si="4"/>
        <v>176460.141775</v>
      </c>
      <c r="M83" s="79">
        <f t="shared" si="5"/>
        <v>10660.891774999996</v>
      </c>
    </row>
    <row r="84" spans="2:13" ht="19.5" hidden="1" customHeight="1">
      <c r="B84" s="107">
        <v>45846</v>
      </c>
      <c r="C84" s="74" t="s">
        <v>56</v>
      </c>
      <c r="D84" s="75" t="s">
        <v>12</v>
      </c>
      <c r="E84" s="75" t="s">
        <v>30</v>
      </c>
      <c r="F84" s="103">
        <v>45748</v>
      </c>
      <c r="G84" s="103">
        <v>45809</v>
      </c>
      <c r="H84" s="103">
        <v>45821</v>
      </c>
      <c r="I84" s="103" t="s">
        <v>485</v>
      </c>
      <c r="J84" s="77">
        <v>163946.66</v>
      </c>
      <c r="K84" s="78">
        <v>6.4299999999999996E-2</v>
      </c>
      <c r="L84" s="77">
        <f t="shared" si="4"/>
        <v>174488.430238</v>
      </c>
      <c r="M84" s="79">
        <f t="shared" si="5"/>
        <v>10541.770237999997</v>
      </c>
    </row>
    <row r="85" spans="2:13" ht="19.5" hidden="1" customHeight="1">
      <c r="B85" s="107">
        <v>45846</v>
      </c>
      <c r="C85" s="74" t="s">
        <v>56</v>
      </c>
      <c r="D85" s="75" t="s">
        <v>12</v>
      </c>
      <c r="E85" s="75" t="s">
        <v>35</v>
      </c>
      <c r="F85" s="103">
        <v>45748</v>
      </c>
      <c r="G85" s="103">
        <v>45748</v>
      </c>
      <c r="H85" s="103">
        <v>45764</v>
      </c>
      <c r="I85" s="103" t="s">
        <v>485</v>
      </c>
      <c r="J85" s="77">
        <v>10715.96</v>
      </c>
      <c r="K85" s="78">
        <v>7.0255275521549032E-2</v>
      </c>
      <c r="L85" s="77">
        <f t="shared" si="4"/>
        <v>11468.812722277899</v>
      </c>
      <c r="M85" s="79">
        <f t="shared" si="5"/>
        <v>752.85272227789937</v>
      </c>
    </row>
    <row r="86" spans="2:13" ht="19.5" hidden="1" customHeight="1">
      <c r="B86" s="107">
        <v>45846</v>
      </c>
      <c r="C86" s="74" t="s">
        <v>56</v>
      </c>
      <c r="D86" s="75" t="s">
        <v>12</v>
      </c>
      <c r="E86" s="75" t="s">
        <v>35</v>
      </c>
      <c r="F86" s="103">
        <v>45748</v>
      </c>
      <c r="G86" s="103">
        <v>45778</v>
      </c>
      <c r="H86" s="103">
        <v>45791</v>
      </c>
      <c r="I86" s="103" t="s">
        <v>485</v>
      </c>
      <c r="J86" s="77">
        <v>10716.37</v>
      </c>
      <c r="K86" s="78">
        <v>7.0255275521549032E-2</v>
      </c>
      <c r="L86" s="77">
        <f t="shared" si="4"/>
        <v>11469.251526940863</v>
      </c>
      <c r="M86" s="79">
        <f t="shared" si="5"/>
        <v>752.88152694086239</v>
      </c>
    </row>
    <row r="87" spans="2:13" ht="19.5" hidden="1" customHeight="1">
      <c r="B87" s="107">
        <v>45846</v>
      </c>
      <c r="C87" s="74" t="s">
        <v>56</v>
      </c>
      <c r="D87" s="75" t="s">
        <v>12</v>
      </c>
      <c r="E87" s="75" t="s">
        <v>35</v>
      </c>
      <c r="F87" s="103">
        <v>45748</v>
      </c>
      <c r="G87" s="103">
        <v>45809</v>
      </c>
      <c r="H87" s="103">
        <v>45821</v>
      </c>
      <c r="I87" s="103" t="s">
        <v>485</v>
      </c>
      <c r="J87" s="77">
        <v>10716.38</v>
      </c>
      <c r="K87" s="78">
        <v>7.0255275521549032E-2</v>
      </c>
      <c r="L87" s="77">
        <f t="shared" si="4"/>
        <v>11469.262229493617</v>
      </c>
      <c r="M87" s="79">
        <f t="shared" si="5"/>
        <v>752.88222949361807</v>
      </c>
    </row>
    <row r="88" spans="2:13" ht="19.5" hidden="1" customHeight="1">
      <c r="B88" s="107">
        <v>45847</v>
      </c>
      <c r="C88" s="74" t="s">
        <v>40</v>
      </c>
      <c r="D88" s="75" t="s">
        <v>19</v>
      </c>
      <c r="E88" s="75" t="s">
        <v>31</v>
      </c>
      <c r="F88" s="103">
        <v>45748</v>
      </c>
      <c r="G88" s="103">
        <v>45748</v>
      </c>
      <c r="H88" s="103">
        <v>45803</v>
      </c>
      <c r="I88" s="103" t="s">
        <v>485</v>
      </c>
      <c r="J88" s="77">
        <v>129511.5</v>
      </c>
      <c r="K88" s="78">
        <v>6.9446608642853125E-2</v>
      </c>
      <c r="L88" s="77">
        <f t="shared" si="4"/>
        <v>138505.63445524886</v>
      </c>
      <c r="M88" s="79">
        <f t="shared" si="5"/>
        <v>8994.134455248859</v>
      </c>
    </row>
    <row r="89" spans="2:13" ht="19.5" hidden="1" customHeight="1">
      <c r="B89" s="107">
        <v>45848</v>
      </c>
      <c r="C89" s="74" t="s">
        <v>40</v>
      </c>
      <c r="D89" s="75" t="s">
        <v>19</v>
      </c>
      <c r="E89" s="75" t="s">
        <v>31</v>
      </c>
      <c r="F89" s="103">
        <v>45748</v>
      </c>
      <c r="G89" s="103">
        <v>45778</v>
      </c>
      <c r="H89" s="103">
        <v>45824</v>
      </c>
      <c r="I89" s="103" t="s">
        <v>485</v>
      </c>
      <c r="J89" s="77">
        <v>129510.6</v>
      </c>
      <c r="K89" s="78">
        <v>6.9446608642853125E-2</v>
      </c>
      <c r="L89" s="77">
        <f t="shared" ref="L89:L114" si="6">J89*(1+K89)</f>
        <v>138504.67195330109</v>
      </c>
      <c r="M89" s="79">
        <f t="shared" ref="M89:M114" si="7">L89-J89</f>
        <v>8994.0719533010852</v>
      </c>
    </row>
    <row r="90" spans="2:13" ht="19.5" hidden="1" customHeight="1">
      <c r="B90" s="107">
        <v>45848</v>
      </c>
      <c r="C90" s="74" t="s">
        <v>40</v>
      </c>
      <c r="D90" s="75" t="s">
        <v>19</v>
      </c>
      <c r="E90" s="75" t="s">
        <v>31</v>
      </c>
      <c r="F90" s="103">
        <v>45748</v>
      </c>
      <c r="G90" s="103">
        <v>45809</v>
      </c>
      <c r="H90" s="103">
        <v>45841</v>
      </c>
      <c r="I90" s="103" t="s">
        <v>485</v>
      </c>
      <c r="J90" s="77">
        <v>129511.5</v>
      </c>
      <c r="K90" s="78">
        <v>6.9446608642853125E-2</v>
      </c>
      <c r="L90" s="77">
        <f t="shared" si="6"/>
        <v>138505.63445524886</v>
      </c>
      <c r="M90" s="79">
        <f t="shared" si="7"/>
        <v>8994.134455248859</v>
      </c>
    </row>
    <row r="91" spans="2:13" ht="19.5" hidden="1" customHeight="1">
      <c r="B91" s="107">
        <v>45847</v>
      </c>
      <c r="C91" s="74" t="s">
        <v>40</v>
      </c>
      <c r="D91" s="75" t="s">
        <v>11</v>
      </c>
      <c r="E91" s="75" t="s">
        <v>31</v>
      </c>
      <c r="F91" s="103">
        <v>45718</v>
      </c>
      <c r="G91" s="103">
        <v>45717</v>
      </c>
      <c r="H91" s="103">
        <v>45761</v>
      </c>
      <c r="I91" s="103" t="s">
        <v>485</v>
      </c>
      <c r="J91" s="77">
        <v>112651.4</v>
      </c>
      <c r="K91" s="78">
        <v>7.4300000000000005E-2</v>
      </c>
      <c r="L91" s="77">
        <f t="shared" si="6"/>
        <v>121021.39902</v>
      </c>
      <c r="M91" s="79">
        <f t="shared" si="7"/>
        <v>8369.9990200000029</v>
      </c>
    </row>
    <row r="92" spans="2:13" ht="19.5" hidden="1" customHeight="1">
      <c r="B92" s="107">
        <v>45847</v>
      </c>
      <c r="C92" s="74" t="s">
        <v>40</v>
      </c>
      <c r="D92" s="75" t="s">
        <v>11</v>
      </c>
      <c r="E92" s="75" t="s">
        <v>31</v>
      </c>
      <c r="F92" s="103">
        <v>45718</v>
      </c>
      <c r="G92" s="103">
        <v>45748</v>
      </c>
      <c r="H92" s="103">
        <v>45789</v>
      </c>
      <c r="I92" s="103" t="s">
        <v>485</v>
      </c>
      <c r="J92" s="77">
        <v>113217.49</v>
      </c>
      <c r="K92" s="78">
        <v>7.4300000000000005E-2</v>
      </c>
      <c r="L92" s="77">
        <f t="shared" si="6"/>
        <v>121629.549507</v>
      </c>
      <c r="M92" s="79">
        <f t="shared" si="7"/>
        <v>8412.0595069999981</v>
      </c>
    </row>
    <row r="93" spans="2:13" ht="19.5" hidden="1" customHeight="1">
      <c r="B93" s="107">
        <v>45847</v>
      </c>
      <c r="C93" s="74" t="s">
        <v>40</v>
      </c>
      <c r="D93" s="75" t="s">
        <v>11</v>
      </c>
      <c r="E93" s="75" t="s">
        <v>31</v>
      </c>
      <c r="F93" s="103">
        <v>45718</v>
      </c>
      <c r="G93" s="103">
        <v>45778</v>
      </c>
      <c r="H93" s="103">
        <v>45813</v>
      </c>
      <c r="I93" s="103" t="s">
        <v>485</v>
      </c>
      <c r="J93" s="77">
        <v>113122.49</v>
      </c>
      <c r="K93" s="78">
        <v>7.4300000000000005E-2</v>
      </c>
      <c r="L93" s="77">
        <f t="shared" si="6"/>
        <v>121527.491007</v>
      </c>
      <c r="M93" s="79">
        <f t="shared" si="7"/>
        <v>8405.0010069999989</v>
      </c>
    </row>
    <row r="94" spans="2:13" ht="19.5" hidden="1" customHeight="1">
      <c r="B94" s="107">
        <v>45855</v>
      </c>
      <c r="C94" s="74" t="s">
        <v>40</v>
      </c>
      <c r="D94" s="75" t="s">
        <v>6</v>
      </c>
      <c r="E94" s="75" t="s">
        <v>31</v>
      </c>
      <c r="F94" s="103">
        <v>45718</v>
      </c>
      <c r="G94" s="103">
        <v>45717</v>
      </c>
      <c r="H94" s="103">
        <v>45726</v>
      </c>
      <c r="I94" s="103" t="s">
        <v>485</v>
      </c>
      <c r="J94" s="77">
        <v>138986.87</v>
      </c>
      <c r="K94" s="78">
        <v>7.3487554958577159E-2</v>
      </c>
      <c r="L94" s="77">
        <f t="shared" si="6"/>
        <v>149200.67524764562</v>
      </c>
      <c r="M94" s="79">
        <f t="shared" si="7"/>
        <v>10213.805247645621</v>
      </c>
    </row>
    <row r="95" spans="2:13" ht="19.5" hidden="1" customHeight="1">
      <c r="B95" s="107">
        <v>45856</v>
      </c>
      <c r="C95" s="74" t="s">
        <v>40</v>
      </c>
      <c r="D95" s="75" t="s">
        <v>6</v>
      </c>
      <c r="E95" s="75" t="s">
        <v>31</v>
      </c>
      <c r="F95" s="103">
        <v>45718</v>
      </c>
      <c r="G95" s="103">
        <v>45748</v>
      </c>
      <c r="H95" s="103">
        <v>45750</v>
      </c>
      <c r="I95" s="103" t="s">
        <v>485</v>
      </c>
      <c r="J95" s="77">
        <v>138986.87</v>
      </c>
      <c r="K95" s="78">
        <v>7.3487554958577159E-2</v>
      </c>
      <c r="L95" s="77">
        <f t="shared" si="6"/>
        <v>149200.67524764562</v>
      </c>
      <c r="M95" s="79">
        <f t="shared" si="7"/>
        <v>10213.805247645621</v>
      </c>
    </row>
    <row r="96" spans="2:13" ht="19.5" hidden="1" customHeight="1">
      <c r="B96" s="107">
        <v>45857</v>
      </c>
      <c r="C96" s="74" t="s">
        <v>40</v>
      </c>
      <c r="D96" s="75" t="s">
        <v>6</v>
      </c>
      <c r="E96" s="75" t="s">
        <v>31</v>
      </c>
      <c r="F96" s="103">
        <v>45718</v>
      </c>
      <c r="G96" s="103">
        <v>45778</v>
      </c>
      <c r="H96" s="103">
        <v>45782</v>
      </c>
      <c r="I96" s="103" t="s">
        <v>485</v>
      </c>
      <c r="J96" s="77">
        <v>138986.87</v>
      </c>
      <c r="K96" s="78">
        <v>7.3487554958577159E-2</v>
      </c>
      <c r="L96" s="77">
        <f t="shared" si="6"/>
        <v>149200.67524764562</v>
      </c>
      <c r="M96" s="79">
        <f t="shared" si="7"/>
        <v>10213.805247645621</v>
      </c>
    </row>
    <row r="97" spans="2:13" ht="19.5" hidden="1" customHeight="1">
      <c r="B97" s="107">
        <v>45858</v>
      </c>
      <c r="C97" s="74" t="s">
        <v>40</v>
      </c>
      <c r="D97" s="75" t="s">
        <v>6</v>
      </c>
      <c r="E97" s="75" t="s">
        <v>31</v>
      </c>
      <c r="F97" s="103">
        <v>45718</v>
      </c>
      <c r="G97" s="103">
        <v>45809</v>
      </c>
      <c r="H97" s="103">
        <v>45813</v>
      </c>
      <c r="I97" s="103" t="s">
        <v>485</v>
      </c>
      <c r="J97" s="77">
        <v>138986.87</v>
      </c>
      <c r="K97" s="78">
        <v>7.3487554958577159E-2</v>
      </c>
      <c r="L97" s="77">
        <f t="shared" si="6"/>
        <v>149200.67524764562</v>
      </c>
      <c r="M97" s="79">
        <f t="shared" si="7"/>
        <v>10213.805247645621</v>
      </c>
    </row>
    <row r="98" spans="2:13" ht="19.5" hidden="1" customHeight="1">
      <c r="B98" s="107">
        <v>45859</v>
      </c>
      <c r="C98" s="74" t="s">
        <v>40</v>
      </c>
      <c r="D98" s="75" t="s">
        <v>6</v>
      </c>
      <c r="E98" s="75" t="s">
        <v>31</v>
      </c>
      <c r="F98" s="103">
        <v>45718</v>
      </c>
      <c r="G98" s="103">
        <v>45839</v>
      </c>
      <c r="H98" s="103">
        <v>45855</v>
      </c>
      <c r="I98" s="103" t="s">
        <v>485</v>
      </c>
      <c r="J98" s="77">
        <v>138986.87</v>
      </c>
      <c r="K98" s="78">
        <v>7.3487554958577159E-2</v>
      </c>
      <c r="L98" s="77">
        <f t="shared" si="6"/>
        <v>149200.67524764562</v>
      </c>
      <c r="M98" s="79">
        <f t="shared" si="7"/>
        <v>10213.805247645621</v>
      </c>
    </row>
    <row r="99" spans="2:13" ht="19.5" hidden="1" customHeight="1">
      <c r="B99" s="107">
        <v>45856</v>
      </c>
      <c r="C99" s="74" t="s">
        <v>40</v>
      </c>
      <c r="D99" s="75" t="s">
        <v>17</v>
      </c>
      <c r="E99" s="75" t="s">
        <v>25</v>
      </c>
      <c r="F99" s="103">
        <v>45718</v>
      </c>
      <c r="G99" s="103">
        <v>45717</v>
      </c>
      <c r="H99" s="103">
        <v>45756</v>
      </c>
      <c r="I99" s="103" t="s">
        <v>485</v>
      </c>
      <c r="J99" s="77">
        <v>105712.49</v>
      </c>
      <c r="K99" s="78">
        <v>4.3051555245984884E-2</v>
      </c>
      <c r="L99" s="77">
        <f t="shared" si="6"/>
        <v>110263.57710342563</v>
      </c>
      <c r="M99" s="79">
        <f t="shared" si="7"/>
        <v>4551.087103425627</v>
      </c>
    </row>
    <row r="100" spans="2:13" ht="19.5" hidden="1" customHeight="1">
      <c r="B100" s="107">
        <v>45857</v>
      </c>
      <c r="C100" s="74" t="s">
        <v>40</v>
      </c>
      <c r="D100" s="75" t="s">
        <v>17</v>
      </c>
      <c r="E100" s="75" t="s">
        <v>25</v>
      </c>
      <c r="F100" s="103">
        <v>45718</v>
      </c>
      <c r="G100" s="103">
        <v>45748</v>
      </c>
      <c r="H100" s="103">
        <v>45791</v>
      </c>
      <c r="I100" s="103" t="s">
        <v>485</v>
      </c>
      <c r="J100" s="77">
        <v>105712.49</v>
      </c>
      <c r="K100" s="78">
        <v>4.3051555245984884E-2</v>
      </c>
      <c r="L100" s="77">
        <f t="shared" si="6"/>
        <v>110263.57710342563</v>
      </c>
      <c r="M100" s="79">
        <f t="shared" si="7"/>
        <v>4551.087103425627</v>
      </c>
    </row>
    <row r="101" spans="2:13" ht="19.5" hidden="1" customHeight="1">
      <c r="B101" s="107">
        <v>45858</v>
      </c>
      <c r="C101" s="74" t="s">
        <v>40</v>
      </c>
      <c r="D101" s="75" t="s">
        <v>17</v>
      </c>
      <c r="E101" s="75" t="s">
        <v>25</v>
      </c>
      <c r="F101" s="103">
        <v>45718</v>
      </c>
      <c r="G101" s="103">
        <v>45778</v>
      </c>
      <c r="H101" s="103">
        <v>45817</v>
      </c>
      <c r="I101" s="103" t="s">
        <v>485</v>
      </c>
      <c r="J101" s="77">
        <v>105712.49</v>
      </c>
      <c r="K101" s="78">
        <v>4.7500000000000001E-2</v>
      </c>
      <c r="L101" s="77">
        <f t="shared" si="6"/>
        <v>110733.83327500001</v>
      </c>
      <c r="M101" s="79">
        <f t="shared" si="7"/>
        <v>5021.3432750000065</v>
      </c>
    </row>
    <row r="102" spans="2:13" ht="19.5" hidden="1" customHeight="1">
      <c r="B102" s="106">
        <v>45870</v>
      </c>
      <c r="C102" s="52" t="s">
        <v>40</v>
      </c>
      <c r="D102" s="52" t="s">
        <v>17</v>
      </c>
      <c r="E102" s="52" t="s">
        <v>31</v>
      </c>
      <c r="F102" s="103">
        <v>45717</v>
      </c>
      <c r="G102" s="102">
        <v>45778</v>
      </c>
      <c r="H102" s="103">
        <v>45809</v>
      </c>
      <c r="I102" s="103" t="s">
        <v>485</v>
      </c>
      <c r="J102" s="65">
        <v>67670.83</v>
      </c>
      <c r="K102" s="55">
        <v>7.4176274085781188E-2</v>
      </c>
      <c r="L102" s="65">
        <f t="shared" si="6"/>
        <v>72690.400033692305</v>
      </c>
      <c r="M102" s="68">
        <f t="shared" si="7"/>
        <v>5019.5700336923037</v>
      </c>
    </row>
    <row r="103" spans="2:13" ht="19.5" hidden="1" customHeight="1">
      <c r="B103" s="106">
        <v>45870</v>
      </c>
      <c r="C103" s="52" t="s">
        <v>40</v>
      </c>
      <c r="D103" s="52" t="s">
        <v>17</v>
      </c>
      <c r="E103" s="52" t="s">
        <v>31</v>
      </c>
      <c r="F103" s="103">
        <v>45717</v>
      </c>
      <c r="G103" s="102">
        <v>45748</v>
      </c>
      <c r="H103" s="103">
        <v>45778</v>
      </c>
      <c r="I103" s="103" t="s">
        <v>485</v>
      </c>
      <c r="J103" s="65">
        <v>67670.825967873127</v>
      </c>
      <c r="K103" s="55">
        <v>7.4176274085781188E-2</v>
      </c>
      <c r="L103" s="65">
        <f t="shared" si="6"/>
        <v>72690.395702477283</v>
      </c>
      <c r="M103" s="68">
        <f t="shared" si="7"/>
        <v>5019.5697346041561</v>
      </c>
    </row>
    <row r="104" spans="2:13" ht="19.5" hidden="1" customHeight="1">
      <c r="B104" s="106">
        <v>45870</v>
      </c>
      <c r="C104" s="52" t="s">
        <v>40</v>
      </c>
      <c r="D104" s="52" t="s">
        <v>17</v>
      </c>
      <c r="E104" s="52" t="s">
        <v>31</v>
      </c>
      <c r="F104" s="103">
        <v>45717</v>
      </c>
      <c r="G104" s="102">
        <v>45717</v>
      </c>
      <c r="H104" s="103">
        <v>45748</v>
      </c>
      <c r="I104" s="103" t="s">
        <v>485</v>
      </c>
      <c r="J104" s="65">
        <v>67670.83</v>
      </c>
      <c r="K104" s="55">
        <v>7.4176274085781188E-2</v>
      </c>
      <c r="L104" s="65">
        <f t="shared" si="6"/>
        <v>72690.400033692305</v>
      </c>
      <c r="M104" s="68">
        <f t="shared" si="7"/>
        <v>5019.5700336923037</v>
      </c>
    </row>
    <row r="105" spans="2:13" ht="19.5" hidden="1" customHeight="1">
      <c r="B105" s="107">
        <v>45870</v>
      </c>
      <c r="C105" s="74" t="s">
        <v>40</v>
      </c>
      <c r="D105" s="75" t="s">
        <v>12</v>
      </c>
      <c r="E105" s="75" t="s">
        <v>31</v>
      </c>
      <c r="F105" s="103">
        <v>45748</v>
      </c>
      <c r="G105" s="103">
        <v>45748</v>
      </c>
      <c r="H105" s="103">
        <v>45762</v>
      </c>
      <c r="I105" s="103" t="s">
        <v>485</v>
      </c>
      <c r="J105" s="77">
        <v>87671.885980289648</v>
      </c>
      <c r="K105" s="78">
        <v>7.0041359752994969E-2</v>
      </c>
      <c r="L105" s="77">
        <f t="shared" si="6"/>
        <v>93812.544086458671</v>
      </c>
      <c r="M105" s="79">
        <f t="shared" si="7"/>
        <v>6140.6581061690231</v>
      </c>
    </row>
    <row r="106" spans="2:13" ht="19.5" hidden="1" customHeight="1">
      <c r="B106" s="106">
        <v>45945</v>
      </c>
      <c r="C106" s="52" t="s">
        <v>37</v>
      </c>
      <c r="D106" s="75" t="s">
        <v>12</v>
      </c>
      <c r="E106" s="75" t="s">
        <v>28</v>
      </c>
      <c r="F106" s="103">
        <v>45717</v>
      </c>
      <c r="G106" s="102">
        <v>45717</v>
      </c>
      <c r="H106" s="103">
        <v>45748</v>
      </c>
      <c r="I106" s="103" t="s">
        <v>485</v>
      </c>
      <c r="J106" s="65">
        <v>49485.99</v>
      </c>
      <c r="K106" s="78">
        <v>5.8756209497598917E-2</v>
      </c>
      <c r="L106" s="65">
        <f t="shared" si="6"/>
        <v>52393.599195636081</v>
      </c>
      <c r="M106" s="79">
        <f t="shared" si="7"/>
        <v>2907.6091956360833</v>
      </c>
    </row>
    <row r="107" spans="2:13" ht="19.5" hidden="1" customHeight="1">
      <c r="B107" s="107">
        <v>45871</v>
      </c>
      <c r="C107" s="74" t="s">
        <v>40</v>
      </c>
      <c r="D107" s="75" t="s">
        <v>12</v>
      </c>
      <c r="E107" s="75" t="s">
        <v>31</v>
      </c>
      <c r="F107" s="103">
        <v>45748</v>
      </c>
      <c r="G107" s="103">
        <v>45778</v>
      </c>
      <c r="H107" s="103">
        <v>45784</v>
      </c>
      <c r="I107" s="103" t="s">
        <v>485</v>
      </c>
      <c r="J107" s="77">
        <v>87671.885980289648</v>
      </c>
      <c r="K107" s="78">
        <v>7.0041359752994969E-2</v>
      </c>
      <c r="L107" s="77">
        <f t="shared" si="6"/>
        <v>93812.544086458671</v>
      </c>
      <c r="M107" s="79">
        <f t="shared" si="7"/>
        <v>6140.6581061690231</v>
      </c>
    </row>
    <row r="108" spans="2:13" ht="19.5" hidden="1" customHeight="1">
      <c r="B108" s="107">
        <v>45872</v>
      </c>
      <c r="C108" s="74" t="s">
        <v>40</v>
      </c>
      <c r="D108" s="75" t="s">
        <v>12</v>
      </c>
      <c r="E108" s="75" t="s">
        <v>31</v>
      </c>
      <c r="F108" s="103">
        <v>45748</v>
      </c>
      <c r="G108" s="103">
        <v>45809</v>
      </c>
      <c r="H108" s="103">
        <v>45818</v>
      </c>
      <c r="I108" s="103" t="s">
        <v>485</v>
      </c>
      <c r="J108" s="77">
        <v>87671.885980289648</v>
      </c>
      <c r="K108" s="78">
        <v>7.0041359752994969E-2</v>
      </c>
      <c r="L108" s="77">
        <f t="shared" si="6"/>
        <v>93812.544086458671</v>
      </c>
      <c r="M108" s="79">
        <f t="shared" si="7"/>
        <v>6140.6581061690231</v>
      </c>
    </row>
    <row r="109" spans="2:13" ht="19.399999999999999" hidden="1" customHeight="1">
      <c r="B109" s="107">
        <v>45873</v>
      </c>
      <c r="C109" s="74" t="s">
        <v>40</v>
      </c>
      <c r="D109" s="75" t="s">
        <v>12</v>
      </c>
      <c r="E109" s="75" t="s">
        <v>31</v>
      </c>
      <c r="F109" s="103">
        <v>45748</v>
      </c>
      <c r="G109" s="103">
        <v>45839</v>
      </c>
      <c r="H109" s="103">
        <v>45855</v>
      </c>
      <c r="I109" s="103" t="s">
        <v>485</v>
      </c>
      <c r="J109" s="77">
        <v>87671.885980289648</v>
      </c>
      <c r="K109" s="78">
        <v>7.0041359752994969E-2</v>
      </c>
      <c r="L109" s="77">
        <f t="shared" si="6"/>
        <v>93812.544086458671</v>
      </c>
      <c r="M109" s="79">
        <f t="shared" si="7"/>
        <v>6140.6581061690231</v>
      </c>
    </row>
    <row r="110" spans="2:13" ht="19.399999999999999" hidden="1" customHeight="1">
      <c r="B110" s="107">
        <v>45873</v>
      </c>
      <c r="C110" s="74" t="s">
        <v>40</v>
      </c>
      <c r="D110" s="75" t="s">
        <v>12</v>
      </c>
      <c r="E110" s="75" t="s">
        <v>31</v>
      </c>
      <c r="F110" s="103">
        <v>45748</v>
      </c>
      <c r="G110" s="103">
        <v>45809</v>
      </c>
      <c r="H110" s="103">
        <v>45856</v>
      </c>
      <c r="I110" s="103" t="s">
        <v>488</v>
      </c>
      <c r="J110" s="77">
        <v>3936.26</v>
      </c>
      <c r="K110" s="78">
        <v>7.0041359752994969E-2</v>
      </c>
      <c r="L110" s="77">
        <f t="shared" si="6"/>
        <v>4211.9610027413246</v>
      </c>
      <c r="M110" s="79">
        <f t="shared" si="7"/>
        <v>275.70100274132437</v>
      </c>
    </row>
    <row r="111" spans="2:13" ht="19.5" hidden="1" customHeight="1">
      <c r="B111" s="107">
        <v>45882</v>
      </c>
      <c r="C111" s="74" t="s">
        <v>49</v>
      </c>
      <c r="D111" s="75" t="s">
        <v>14</v>
      </c>
      <c r="E111" s="75" t="s">
        <v>28</v>
      </c>
      <c r="F111" s="103">
        <v>45717</v>
      </c>
      <c r="G111" s="103">
        <v>45717</v>
      </c>
      <c r="H111" s="103">
        <v>45762</v>
      </c>
      <c r="I111" s="103" t="s">
        <v>485</v>
      </c>
      <c r="J111" s="77">
        <v>291620.12</v>
      </c>
      <c r="K111" s="78">
        <v>4.8153364726686382E-2</v>
      </c>
      <c r="L111" s="77">
        <f t="shared" si="6"/>
        <v>305662.61000000004</v>
      </c>
      <c r="M111" s="79">
        <f t="shared" si="7"/>
        <v>14042.490000000049</v>
      </c>
    </row>
    <row r="112" spans="2:13" ht="19.5" hidden="1" customHeight="1">
      <c r="B112" s="106">
        <v>45901</v>
      </c>
      <c r="C112" s="52" t="s">
        <v>49</v>
      </c>
      <c r="D112" s="75" t="s">
        <v>14</v>
      </c>
      <c r="E112" s="52" t="s">
        <v>25</v>
      </c>
      <c r="F112" s="103">
        <v>45717</v>
      </c>
      <c r="G112" s="102">
        <v>45717</v>
      </c>
      <c r="H112" s="103">
        <v>45748</v>
      </c>
      <c r="I112" s="103" t="s">
        <v>485</v>
      </c>
      <c r="J112" s="65">
        <v>269836.68</v>
      </c>
      <c r="K112" s="55">
        <v>4.7111369060154347E-2</v>
      </c>
      <c r="L112" s="65">
        <f t="shared" si="6"/>
        <v>282549.05541744677</v>
      </c>
      <c r="M112" s="79">
        <f t="shared" si="7"/>
        <v>12712.375417446776</v>
      </c>
    </row>
    <row r="113" spans="2:13" ht="19.5" hidden="1" customHeight="1">
      <c r="B113" s="106">
        <v>45901</v>
      </c>
      <c r="C113" s="52" t="s">
        <v>49</v>
      </c>
      <c r="D113" s="75" t="s">
        <v>14</v>
      </c>
      <c r="E113" s="52" t="s">
        <v>25</v>
      </c>
      <c r="F113" s="103">
        <v>45717</v>
      </c>
      <c r="G113" s="102">
        <v>45748</v>
      </c>
      <c r="H113" s="103">
        <v>45778</v>
      </c>
      <c r="I113" s="103" t="s">
        <v>485</v>
      </c>
      <c r="J113" s="65">
        <v>269836.68</v>
      </c>
      <c r="K113" s="55">
        <v>4.7111369060154347E-2</v>
      </c>
      <c r="L113" s="65">
        <f t="shared" si="6"/>
        <v>282549.05541744677</v>
      </c>
      <c r="M113" s="79">
        <f t="shared" si="7"/>
        <v>12712.375417446776</v>
      </c>
    </row>
    <row r="114" spans="2:13" ht="19.5" hidden="1" customHeight="1">
      <c r="B114" s="106">
        <v>45901</v>
      </c>
      <c r="C114" s="52" t="s">
        <v>49</v>
      </c>
      <c r="D114" s="75" t="s">
        <v>14</v>
      </c>
      <c r="E114" s="52" t="s">
        <v>25</v>
      </c>
      <c r="F114" s="103">
        <v>45717</v>
      </c>
      <c r="G114" s="102">
        <v>45778</v>
      </c>
      <c r="H114" s="103">
        <v>45809</v>
      </c>
      <c r="I114" s="103" t="s">
        <v>485</v>
      </c>
      <c r="J114" s="65">
        <v>269836.68</v>
      </c>
      <c r="K114" s="55">
        <v>4.9500000000000002E-2</v>
      </c>
      <c r="L114" s="65">
        <f t="shared" si="6"/>
        <v>283193.59565999999</v>
      </c>
      <c r="M114" s="79">
        <f t="shared" si="7"/>
        <v>13356.915659999999</v>
      </c>
    </row>
    <row r="115" spans="2:13" ht="19.5" hidden="1" customHeight="1">
      <c r="B115" s="106"/>
      <c r="C115" s="52"/>
      <c r="D115" s="75"/>
      <c r="E115" s="52"/>
      <c r="F115" s="103"/>
      <c r="G115" s="102"/>
      <c r="H115" s="103"/>
      <c r="I115" s="103"/>
      <c r="J115" s="65"/>
      <c r="K115" s="55"/>
      <c r="L115" s="65"/>
    </row>
    <row r="116" spans="2:13" ht="19.5" hidden="1" customHeight="1">
      <c r="B116" s="107">
        <v>45882</v>
      </c>
      <c r="C116" s="74" t="s">
        <v>49</v>
      </c>
      <c r="D116" s="75" t="s">
        <v>14</v>
      </c>
      <c r="E116" s="75" t="s">
        <v>28</v>
      </c>
      <c r="F116" s="103">
        <v>45717</v>
      </c>
      <c r="G116" s="103">
        <v>45748</v>
      </c>
      <c r="H116" s="103">
        <v>45793</v>
      </c>
      <c r="I116" s="103" t="s">
        <v>485</v>
      </c>
      <c r="J116" s="77">
        <v>291620.12</v>
      </c>
      <c r="K116" s="78">
        <v>4.8153364726686382E-2</v>
      </c>
      <c r="L116" s="77">
        <f t="shared" ref="L116:L162" si="8">J116*(1+K116)</f>
        <v>305662.61000000004</v>
      </c>
      <c r="M116" s="79">
        <f t="shared" ref="M116:M162" si="9">L116-J116</f>
        <v>14042.490000000049</v>
      </c>
    </row>
    <row r="117" spans="2:13" ht="19.5" hidden="1" customHeight="1">
      <c r="B117" s="107">
        <v>45882</v>
      </c>
      <c r="C117" s="74" t="s">
        <v>49</v>
      </c>
      <c r="D117" s="75" t="s">
        <v>14</v>
      </c>
      <c r="E117" s="75" t="s">
        <v>28</v>
      </c>
      <c r="F117" s="103">
        <v>45717</v>
      </c>
      <c r="G117" s="103">
        <v>45778</v>
      </c>
      <c r="H117" s="103">
        <v>45825</v>
      </c>
      <c r="I117" s="103" t="s">
        <v>485</v>
      </c>
      <c r="J117" s="77">
        <v>291620.12</v>
      </c>
      <c r="K117" s="78">
        <v>4.8153364726686382E-2</v>
      </c>
      <c r="L117" s="77">
        <f t="shared" si="8"/>
        <v>305662.61000000004</v>
      </c>
      <c r="M117" s="79">
        <f t="shared" si="9"/>
        <v>14042.490000000049</v>
      </c>
    </row>
    <row r="118" spans="2:13" ht="19.5" hidden="1" customHeight="1">
      <c r="B118" s="107">
        <v>45882</v>
      </c>
      <c r="C118" s="74" t="s">
        <v>49</v>
      </c>
      <c r="D118" s="75" t="s">
        <v>14</v>
      </c>
      <c r="E118" s="75" t="s">
        <v>28</v>
      </c>
      <c r="F118" s="103">
        <v>45717</v>
      </c>
      <c r="G118" s="103">
        <v>45809</v>
      </c>
      <c r="H118" s="103">
        <v>45846</v>
      </c>
      <c r="I118" s="103" t="s">
        <v>485</v>
      </c>
      <c r="J118" s="77">
        <v>291620.12</v>
      </c>
      <c r="K118" s="78">
        <v>4.8153364726686382E-2</v>
      </c>
      <c r="L118" s="77">
        <f t="shared" si="8"/>
        <v>305662.61000000004</v>
      </c>
      <c r="M118" s="79">
        <f t="shared" si="9"/>
        <v>14042.490000000049</v>
      </c>
    </row>
    <row r="119" spans="2:13" ht="19.5" hidden="1" customHeight="1">
      <c r="B119" s="107">
        <v>45889</v>
      </c>
      <c r="C119" s="74" t="s">
        <v>40</v>
      </c>
      <c r="D119" s="75" t="s">
        <v>6</v>
      </c>
      <c r="E119" s="75" t="s">
        <v>25</v>
      </c>
      <c r="F119" s="103">
        <v>45717</v>
      </c>
      <c r="G119" s="103">
        <v>45717</v>
      </c>
      <c r="H119" s="103">
        <v>45754</v>
      </c>
      <c r="I119" s="103" t="s">
        <v>485</v>
      </c>
      <c r="J119" s="77">
        <v>130282.08021869701</v>
      </c>
      <c r="K119" s="78">
        <v>4.7613202956409313E-2</v>
      </c>
      <c r="L119" s="77">
        <f t="shared" si="8"/>
        <v>136485.22734573303</v>
      </c>
      <c r="M119" s="79">
        <f t="shared" si="9"/>
        <v>6203.1471270360198</v>
      </c>
    </row>
    <row r="120" spans="2:13" ht="19.5" hidden="1" customHeight="1">
      <c r="B120" s="107">
        <v>45890</v>
      </c>
      <c r="C120" s="74" t="s">
        <v>40</v>
      </c>
      <c r="D120" s="75" t="s">
        <v>6</v>
      </c>
      <c r="E120" s="75" t="s">
        <v>25</v>
      </c>
      <c r="F120" s="103">
        <v>45717</v>
      </c>
      <c r="G120" s="103">
        <v>45748</v>
      </c>
      <c r="H120" s="103">
        <v>45786</v>
      </c>
      <c r="I120" s="103" t="s">
        <v>485</v>
      </c>
      <c r="J120" s="77">
        <v>130282.08021869701</v>
      </c>
      <c r="K120" s="78">
        <v>4.7613202956409313E-2</v>
      </c>
      <c r="L120" s="77">
        <f t="shared" si="8"/>
        <v>136485.22734573303</v>
      </c>
      <c r="M120" s="79">
        <f t="shared" si="9"/>
        <v>6203.1471270360198</v>
      </c>
    </row>
    <row r="121" spans="2:13" ht="19.5" hidden="1" customHeight="1">
      <c r="B121" s="107">
        <v>45891</v>
      </c>
      <c r="C121" s="74" t="s">
        <v>40</v>
      </c>
      <c r="D121" s="75" t="s">
        <v>6</v>
      </c>
      <c r="E121" s="75" t="s">
        <v>25</v>
      </c>
      <c r="F121" s="103">
        <v>45717</v>
      </c>
      <c r="G121" s="103">
        <v>45778</v>
      </c>
      <c r="H121" s="103">
        <v>45814</v>
      </c>
      <c r="I121" s="103" t="s">
        <v>485</v>
      </c>
      <c r="J121" s="77">
        <v>130282.08021869701</v>
      </c>
      <c r="K121" s="78">
        <v>4.7613202956409313E-2</v>
      </c>
      <c r="L121" s="77">
        <f t="shared" si="8"/>
        <v>136485.22734573303</v>
      </c>
      <c r="M121" s="79">
        <f t="shared" si="9"/>
        <v>6203.1471270360198</v>
      </c>
    </row>
    <row r="122" spans="2:13" ht="19.5" hidden="1" customHeight="1">
      <c r="B122" s="107">
        <v>45893</v>
      </c>
      <c r="C122" s="74" t="s">
        <v>40</v>
      </c>
      <c r="D122" s="75" t="s">
        <v>6</v>
      </c>
      <c r="E122" s="75" t="s">
        <v>26</v>
      </c>
      <c r="F122" s="103">
        <v>45717</v>
      </c>
      <c r="G122" s="103">
        <v>45717</v>
      </c>
      <c r="H122" s="103">
        <v>45754</v>
      </c>
      <c r="I122" s="103" t="s">
        <v>485</v>
      </c>
      <c r="J122" s="77">
        <v>26027.65</v>
      </c>
      <c r="K122" s="78">
        <v>4.9245812398154558E-2</v>
      </c>
      <c r="L122" s="77">
        <f t="shared" si="8"/>
        <v>27309.402769064829</v>
      </c>
      <c r="M122" s="79">
        <f t="shared" si="9"/>
        <v>1281.7527690648276</v>
      </c>
    </row>
    <row r="123" spans="2:13" ht="19.5" hidden="1" customHeight="1">
      <c r="B123" s="107">
        <v>45893</v>
      </c>
      <c r="C123" s="74" t="s">
        <v>40</v>
      </c>
      <c r="D123" s="75" t="s">
        <v>6</v>
      </c>
      <c r="E123" s="75" t="s">
        <v>26</v>
      </c>
      <c r="F123" s="103">
        <v>45717</v>
      </c>
      <c r="G123" s="103">
        <v>45748</v>
      </c>
      <c r="H123" s="103">
        <v>45786</v>
      </c>
      <c r="I123" s="103" t="s">
        <v>485</v>
      </c>
      <c r="J123" s="77">
        <v>26027.65</v>
      </c>
      <c r="K123" s="78">
        <v>4.9245812398154558E-2</v>
      </c>
      <c r="L123" s="77">
        <f t="shared" si="8"/>
        <v>27309.402769064829</v>
      </c>
      <c r="M123" s="79">
        <f t="shared" si="9"/>
        <v>1281.7527690648276</v>
      </c>
    </row>
    <row r="124" spans="2:13" ht="19.5" hidden="1" customHeight="1">
      <c r="B124" s="107">
        <v>45893</v>
      </c>
      <c r="C124" s="74" t="s">
        <v>40</v>
      </c>
      <c r="D124" s="75" t="s">
        <v>6</v>
      </c>
      <c r="E124" s="75" t="s">
        <v>26</v>
      </c>
      <c r="F124" s="103">
        <v>45717</v>
      </c>
      <c r="G124" s="103">
        <v>45778</v>
      </c>
      <c r="H124" s="103">
        <v>45814</v>
      </c>
      <c r="I124" s="103" t="s">
        <v>485</v>
      </c>
      <c r="J124" s="77">
        <v>26027.65</v>
      </c>
      <c r="K124" s="78">
        <v>4.9245812398154558E-2</v>
      </c>
      <c r="L124" s="77">
        <f t="shared" si="8"/>
        <v>27309.402769064829</v>
      </c>
      <c r="M124" s="79">
        <f t="shared" si="9"/>
        <v>1281.7527690648276</v>
      </c>
    </row>
    <row r="125" spans="2:13" ht="19.5" hidden="1" customHeight="1">
      <c r="B125" s="107"/>
      <c r="C125" s="74" t="s">
        <v>37</v>
      </c>
      <c r="D125" s="75" t="s">
        <v>17</v>
      </c>
      <c r="E125" s="75" t="s">
        <v>28</v>
      </c>
      <c r="F125" s="103">
        <v>45717</v>
      </c>
      <c r="G125" s="103">
        <v>45717</v>
      </c>
      <c r="H125" s="103">
        <v>45750</v>
      </c>
      <c r="I125" s="103" t="s">
        <v>485</v>
      </c>
      <c r="J125" s="77">
        <v>95565.84</v>
      </c>
      <c r="K125" s="78">
        <v>5.5749793512910352E-2</v>
      </c>
      <c r="L125" s="77">
        <f t="shared" si="8"/>
        <v>100893.61584688783</v>
      </c>
      <c r="M125" s="79">
        <f t="shared" si="9"/>
        <v>5327.775846887831</v>
      </c>
    </row>
    <row r="126" spans="2:13" ht="19.5" hidden="1" customHeight="1">
      <c r="B126" s="107"/>
      <c r="C126" s="74" t="s">
        <v>37</v>
      </c>
      <c r="D126" s="75" t="s">
        <v>17</v>
      </c>
      <c r="E126" s="75" t="s">
        <v>28</v>
      </c>
      <c r="F126" s="103">
        <v>45717</v>
      </c>
      <c r="G126" s="103">
        <v>45748</v>
      </c>
      <c r="H126" s="103">
        <v>45785</v>
      </c>
      <c r="I126" s="103" t="s">
        <v>485</v>
      </c>
      <c r="J126" s="77">
        <v>95565.84</v>
      </c>
      <c r="K126" s="78">
        <v>5.5749793512910352E-2</v>
      </c>
      <c r="L126" s="77">
        <f t="shared" si="8"/>
        <v>100893.61584688783</v>
      </c>
      <c r="M126" s="79">
        <f t="shared" si="9"/>
        <v>5327.775846887831</v>
      </c>
    </row>
    <row r="127" spans="2:13" ht="19.5" hidden="1" customHeight="1">
      <c r="B127" s="107"/>
      <c r="C127" s="74" t="s">
        <v>37</v>
      </c>
      <c r="D127" s="75" t="s">
        <v>17</v>
      </c>
      <c r="E127" s="75" t="s">
        <v>28</v>
      </c>
      <c r="F127" s="103">
        <v>45717</v>
      </c>
      <c r="G127" s="103">
        <v>45778</v>
      </c>
      <c r="H127" s="103">
        <v>45825</v>
      </c>
      <c r="I127" s="103" t="s">
        <v>485</v>
      </c>
      <c r="J127" s="77">
        <v>95565.84</v>
      </c>
      <c r="K127" s="78">
        <v>5.5749793512910352E-2</v>
      </c>
      <c r="L127" s="77">
        <f t="shared" si="8"/>
        <v>100893.61584688783</v>
      </c>
      <c r="M127" s="79">
        <f t="shared" si="9"/>
        <v>5327.775846887831</v>
      </c>
    </row>
    <row r="128" spans="2:13" ht="19.5" hidden="1" customHeight="1">
      <c r="B128" s="107"/>
      <c r="C128" s="74" t="s">
        <v>37</v>
      </c>
      <c r="D128" s="75" t="s">
        <v>17</v>
      </c>
      <c r="E128" s="75" t="s">
        <v>28</v>
      </c>
      <c r="F128" s="103">
        <v>45717</v>
      </c>
      <c r="G128" s="103">
        <v>45809</v>
      </c>
      <c r="H128" s="103">
        <v>45842</v>
      </c>
      <c r="I128" s="103" t="s">
        <v>485</v>
      </c>
      <c r="J128" s="77">
        <v>83756.58</v>
      </c>
      <c r="K128" s="78">
        <v>5.5749793512910352E-2</v>
      </c>
      <c r="L128" s="77">
        <f t="shared" si="8"/>
        <v>88425.992040347555</v>
      </c>
      <c r="M128" s="79">
        <f t="shared" si="9"/>
        <v>4669.4120403475536</v>
      </c>
    </row>
    <row r="129" spans="2:13" ht="19.5" hidden="1" customHeight="1">
      <c r="B129" s="107"/>
      <c r="C129" s="74" t="s">
        <v>37</v>
      </c>
      <c r="D129" s="75" t="s">
        <v>17</v>
      </c>
      <c r="E129" s="75" t="s">
        <v>28</v>
      </c>
      <c r="F129" s="103">
        <v>45717</v>
      </c>
      <c r="G129" s="103">
        <v>45839</v>
      </c>
      <c r="H129" s="103">
        <v>45876</v>
      </c>
      <c r="I129" s="103" t="s">
        <v>485</v>
      </c>
      <c r="J129" s="77">
        <v>83756.58</v>
      </c>
      <c r="K129" s="78">
        <v>5.5749793512910352E-2</v>
      </c>
      <c r="L129" s="77">
        <f t="shared" si="8"/>
        <v>88425.992040347555</v>
      </c>
      <c r="M129" s="79">
        <f t="shared" si="9"/>
        <v>4669.4120403475536</v>
      </c>
    </row>
    <row r="130" spans="2:13" ht="19.5" hidden="1" customHeight="1">
      <c r="B130" s="107"/>
      <c r="C130" s="74" t="s">
        <v>37</v>
      </c>
      <c r="D130" s="75" t="s">
        <v>17</v>
      </c>
      <c r="E130" s="75" t="s">
        <v>28</v>
      </c>
      <c r="F130" s="103">
        <v>45717</v>
      </c>
      <c r="G130" s="103">
        <v>45870</v>
      </c>
      <c r="H130" s="103">
        <v>45908</v>
      </c>
      <c r="I130" s="103" t="s">
        <v>485</v>
      </c>
      <c r="J130" s="77">
        <v>83756.58</v>
      </c>
      <c r="K130" s="78">
        <v>5.5749793512910352E-2</v>
      </c>
      <c r="L130" s="77">
        <f t="shared" si="8"/>
        <v>88425.992040347555</v>
      </c>
      <c r="M130" s="79">
        <f t="shared" si="9"/>
        <v>4669.4120403475536</v>
      </c>
    </row>
    <row r="131" spans="2:13" ht="19.5" hidden="1" customHeight="1">
      <c r="B131" s="107">
        <v>45901</v>
      </c>
      <c r="C131" s="74" t="s">
        <v>37</v>
      </c>
      <c r="D131" s="75" t="s">
        <v>6</v>
      </c>
      <c r="E131" s="75" t="s">
        <v>28</v>
      </c>
      <c r="F131" s="103">
        <v>45717</v>
      </c>
      <c r="G131" s="103">
        <v>45717</v>
      </c>
      <c r="H131" s="103">
        <v>45723</v>
      </c>
      <c r="I131" s="103" t="s">
        <v>485</v>
      </c>
      <c r="J131" s="77">
        <v>77251.41</v>
      </c>
      <c r="K131" s="78">
        <v>5.7212564144648599E-2</v>
      </c>
      <c r="L131" s="77">
        <f t="shared" si="8"/>
        <v>81671.161249889556</v>
      </c>
      <c r="M131" s="79">
        <f t="shared" si="9"/>
        <v>4419.7512498895521</v>
      </c>
    </row>
    <row r="132" spans="2:13" ht="19.5" hidden="1" customHeight="1">
      <c r="B132" s="107">
        <v>45901</v>
      </c>
      <c r="C132" s="74" t="s">
        <v>37</v>
      </c>
      <c r="D132" s="75" t="s">
        <v>6</v>
      </c>
      <c r="E132" s="75" t="s">
        <v>28</v>
      </c>
      <c r="F132" s="103">
        <v>45717</v>
      </c>
      <c r="G132" s="103">
        <v>45748</v>
      </c>
      <c r="H132" s="103">
        <v>45749</v>
      </c>
      <c r="I132" s="103" t="s">
        <v>485</v>
      </c>
      <c r="J132" s="77">
        <v>77251.41</v>
      </c>
      <c r="K132" s="78">
        <v>5.7212564144648599E-2</v>
      </c>
      <c r="L132" s="77">
        <f t="shared" si="8"/>
        <v>81671.161249889556</v>
      </c>
      <c r="M132" s="79">
        <f t="shared" si="9"/>
        <v>4419.7512498895521</v>
      </c>
    </row>
    <row r="133" spans="2:13" ht="19.5" hidden="1" customHeight="1">
      <c r="B133" s="107">
        <v>45901</v>
      </c>
      <c r="C133" s="74" t="s">
        <v>37</v>
      </c>
      <c r="D133" s="75" t="s">
        <v>6</v>
      </c>
      <c r="E133" s="75" t="s">
        <v>28</v>
      </c>
      <c r="F133" s="103">
        <v>45717</v>
      </c>
      <c r="G133" s="103">
        <v>45778</v>
      </c>
      <c r="H133" s="103">
        <v>45782</v>
      </c>
      <c r="I133" s="103" t="s">
        <v>485</v>
      </c>
      <c r="J133" s="77">
        <v>77251.41</v>
      </c>
      <c r="K133" s="78">
        <v>5.7212564144648599E-2</v>
      </c>
      <c r="L133" s="77">
        <f t="shared" si="8"/>
        <v>81671.161249889556</v>
      </c>
      <c r="M133" s="79">
        <f t="shared" si="9"/>
        <v>4419.7512498895521</v>
      </c>
    </row>
    <row r="134" spans="2:13" ht="19.5" hidden="1" customHeight="1">
      <c r="B134" s="107">
        <v>45901</v>
      </c>
      <c r="C134" s="74" t="s">
        <v>37</v>
      </c>
      <c r="D134" s="75" t="s">
        <v>6</v>
      </c>
      <c r="E134" s="75" t="s">
        <v>28</v>
      </c>
      <c r="F134" s="103">
        <v>45717</v>
      </c>
      <c r="G134" s="103">
        <v>45809</v>
      </c>
      <c r="H134" s="103">
        <v>45814</v>
      </c>
      <c r="I134" s="103" t="s">
        <v>485</v>
      </c>
      <c r="J134" s="77">
        <v>77251.41</v>
      </c>
      <c r="K134" s="78">
        <v>5.7212564144648599E-2</v>
      </c>
      <c r="L134" s="77">
        <f t="shared" si="8"/>
        <v>81671.161249889556</v>
      </c>
      <c r="M134" s="79">
        <f t="shared" si="9"/>
        <v>4419.7512498895521</v>
      </c>
    </row>
    <row r="135" spans="2:13" ht="19.5" hidden="1" customHeight="1">
      <c r="B135" s="107">
        <v>45901</v>
      </c>
      <c r="C135" s="74" t="s">
        <v>37</v>
      </c>
      <c r="D135" s="75" t="s">
        <v>6</v>
      </c>
      <c r="E135" s="75" t="s">
        <v>28</v>
      </c>
      <c r="F135" s="103">
        <v>45717</v>
      </c>
      <c r="G135" s="103">
        <v>45839</v>
      </c>
      <c r="H135" s="103">
        <v>45839</v>
      </c>
      <c r="I135" s="103" t="s">
        <v>485</v>
      </c>
      <c r="J135" s="77">
        <v>77251.41</v>
      </c>
      <c r="K135" s="78">
        <v>5.7212564144648599E-2</v>
      </c>
      <c r="L135" s="77">
        <f t="shared" si="8"/>
        <v>81671.161249889556</v>
      </c>
      <c r="M135" s="79">
        <f t="shared" si="9"/>
        <v>4419.7512498895521</v>
      </c>
    </row>
    <row r="136" spans="2:13" ht="19.5" hidden="1" customHeight="1">
      <c r="B136" s="107">
        <v>45901</v>
      </c>
      <c r="C136" s="74" t="s">
        <v>41</v>
      </c>
      <c r="D136" s="75" t="s">
        <v>21</v>
      </c>
      <c r="E136" s="75" t="s">
        <v>25</v>
      </c>
      <c r="F136" s="103">
        <v>45778</v>
      </c>
      <c r="G136" s="103">
        <v>45778</v>
      </c>
      <c r="H136" s="103">
        <v>45818</v>
      </c>
      <c r="I136" s="103" t="s">
        <v>485</v>
      </c>
      <c r="J136" s="77">
        <v>170030.44</v>
      </c>
      <c r="K136" s="78">
        <v>0.10509347722504629</v>
      </c>
      <c r="L136" s="77">
        <f t="shared" si="8"/>
        <v>187899.53017370458</v>
      </c>
      <c r="M136" s="79">
        <f t="shared" si="9"/>
        <v>17869.090173704579</v>
      </c>
    </row>
    <row r="137" spans="2:13" ht="19.5" hidden="1" customHeight="1">
      <c r="B137" s="107">
        <v>45901</v>
      </c>
      <c r="C137" s="74" t="s">
        <v>41</v>
      </c>
      <c r="D137" s="75" t="s">
        <v>21</v>
      </c>
      <c r="E137" s="75" t="s">
        <v>25</v>
      </c>
      <c r="F137" s="103">
        <v>45778</v>
      </c>
      <c r="G137" s="103">
        <v>45809</v>
      </c>
      <c r="H137" s="103">
        <v>45848</v>
      </c>
      <c r="I137" s="103" t="s">
        <v>485</v>
      </c>
      <c r="J137" s="77">
        <v>170853.61</v>
      </c>
      <c r="K137" s="78">
        <v>0.10509347722504629</v>
      </c>
      <c r="L137" s="77">
        <f t="shared" si="8"/>
        <v>188809.20997135193</v>
      </c>
      <c r="M137" s="79">
        <f t="shared" si="9"/>
        <v>17955.599971351941</v>
      </c>
    </row>
    <row r="138" spans="2:13" ht="19.5" hidden="1" customHeight="1">
      <c r="B138" s="107">
        <v>45901</v>
      </c>
      <c r="C138" s="74" t="s">
        <v>41</v>
      </c>
      <c r="D138" s="75" t="s">
        <v>21</v>
      </c>
      <c r="E138" s="75" t="s">
        <v>25</v>
      </c>
      <c r="F138" s="103">
        <v>45778</v>
      </c>
      <c r="G138" s="103">
        <v>45839</v>
      </c>
      <c r="H138" s="103">
        <v>45887</v>
      </c>
      <c r="I138" s="103" t="s">
        <v>485</v>
      </c>
      <c r="J138" s="77">
        <v>154986.98000000001</v>
      </c>
      <c r="K138" s="78">
        <v>0.10509347722504629</v>
      </c>
      <c r="L138" s="77">
        <f t="shared" si="8"/>
        <v>171275.1006528087</v>
      </c>
      <c r="M138" s="79">
        <f t="shared" si="9"/>
        <v>16288.120652808691</v>
      </c>
    </row>
    <row r="139" spans="2:13" ht="19.5" hidden="1" customHeight="1">
      <c r="B139" s="106">
        <v>45901</v>
      </c>
      <c r="C139" s="52" t="s">
        <v>41</v>
      </c>
      <c r="D139" s="75" t="s">
        <v>21</v>
      </c>
      <c r="E139" s="75" t="s">
        <v>25</v>
      </c>
      <c r="F139" s="103">
        <v>45778</v>
      </c>
      <c r="G139" s="102">
        <v>45839</v>
      </c>
      <c r="H139" s="103">
        <v>45839</v>
      </c>
      <c r="I139" s="103" t="s">
        <v>486</v>
      </c>
      <c r="J139" s="65">
        <v>18267.912891531039</v>
      </c>
      <c r="K139" s="55">
        <v>0.1051</v>
      </c>
      <c r="L139" s="65">
        <f t="shared" si="8"/>
        <v>20187.87053643095</v>
      </c>
      <c r="M139" s="79">
        <f t="shared" si="9"/>
        <v>1919.9576448999105</v>
      </c>
    </row>
    <row r="140" spans="2:13" ht="19.5" hidden="1" customHeight="1">
      <c r="B140" s="106">
        <v>45901</v>
      </c>
      <c r="C140" s="52" t="s">
        <v>41</v>
      </c>
      <c r="D140" s="75" t="s">
        <v>21</v>
      </c>
      <c r="E140" s="75" t="s">
        <v>26</v>
      </c>
      <c r="F140" s="103">
        <v>45778</v>
      </c>
      <c r="G140" s="102">
        <v>45809</v>
      </c>
      <c r="H140" s="103">
        <v>45809</v>
      </c>
      <c r="I140" s="103" t="s">
        <v>486</v>
      </c>
      <c r="J140" s="65">
        <v>1719.1</v>
      </c>
      <c r="K140" s="55">
        <v>0.1118</v>
      </c>
      <c r="L140" s="65">
        <f t="shared" si="8"/>
        <v>1911.2953799999998</v>
      </c>
      <c r="M140" s="79">
        <f t="shared" si="9"/>
        <v>192.19537999999989</v>
      </c>
    </row>
    <row r="141" spans="2:13" ht="19.5" hidden="1" customHeight="1">
      <c r="B141" s="106">
        <v>45901</v>
      </c>
      <c r="C141" s="52" t="s">
        <v>41</v>
      </c>
      <c r="D141" s="75" t="s">
        <v>21</v>
      </c>
      <c r="E141" s="75" t="s">
        <v>26</v>
      </c>
      <c r="F141" s="103">
        <v>45778</v>
      </c>
      <c r="G141" s="102">
        <v>45809</v>
      </c>
      <c r="H141" s="103">
        <v>45809</v>
      </c>
      <c r="I141" s="103" t="s">
        <v>486</v>
      </c>
      <c r="J141" s="65">
        <v>1336.85</v>
      </c>
      <c r="K141" s="55">
        <v>0.1118</v>
      </c>
      <c r="L141" s="65">
        <f t="shared" si="8"/>
        <v>1486.3098299999997</v>
      </c>
      <c r="M141" s="79">
        <f t="shared" si="9"/>
        <v>149.45982999999978</v>
      </c>
    </row>
    <row r="142" spans="2:13" ht="19.5" hidden="1" customHeight="1">
      <c r="B142" s="106">
        <v>45901</v>
      </c>
      <c r="C142" s="52" t="s">
        <v>41</v>
      </c>
      <c r="D142" s="75" t="s">
        <v>21</v>
      </c>
      <c r="E142" s="75" t="s">
        <v>25</v>
      </c>
      <c r="F142" s="103">
        <v>45778</v>
      </c>
      <c r="G142" s="102">
        <v>45839</v>
      </c>
      <c r="H142" s="103">
        <v>45839</v>
      </c>
      <c r="I142" s="103" t="s">
        <v>486</v>
      </c>
      <c r="J142" s="65">
        <v>19111.737069186347</v>
      </c>
      <c r="K142" s="55">
        <v>0.1051</v>
      </c>
      <c r="L142" s="65">
        <f t="shared" si="8"/>
        <v>21120.380635157831</v>
      </c>
      <c r="M142" s="79">
        <f t="shared" si="9"/>
        <v>2008.6435659714843</v>
      </c>
    </row>
    <row r="143" spans="2:13" ht="19.5" hidden="1" customHeight="1">
      <c r="B143" s="107">
        <v>45901</v>
      </c>
      <c r="C143" s="74" t="s">
        <v>41</v>
      </c>
      <c r="D143" s="75" t="s">
        <v>21</v>
      </c>
      <c r="E143" s="75" t="s">
        <v>25</v>
      </c>
      <c r="F143" s="103">
        <v>45778</v>
      </c>
      <c r="G143" s="103">
        <v>45870</v>
      </c>
      <c r="H143" s="103">
        <v>45916</v>
      </c>
      <c r="I143" s="103" t="s">
        <v>485</v>
      </c>
      <c r="J143" s="77">
        <v>169621.06</v>
      </c>
      <c r="K143" s="78">
        <v>0.10509347722504629</v>
      </c>
      <c r="L143" s="77">
        <f t="shared" si="8"/>
        <v>187447.12700599819</v>
      </c>
      <c r="M143" s="79">
        <f t="shared" si="9"/>
        <v>17826.067005998193</v>
      </c>
    </row>
    <row r="144" spans="2:13" ht="19.5" hidden="1" customHeight="1">
      <c r="B144" s="107">
        <v>45901</v>
      </c>
      <c r="C144" s="74" t="s">
        <v>41</v>
      </c>
      <c r="D144" s="75" t="s">
        <v>21</v>
      </c>
      <c r="E144" s="75" t="s">
        <v>26</v>
      </c>
      <c r="F144" s="103">
        <v>45778</v>
      </c>
      <c r="G144" s="103">
        <v>45778</v>
      </c>
      <c r="H144" s="103">
        <v>45818</v>
      </c>
      <c r="I144" s="103" t="s">
        <v>485</v>
      </c>
      <c r="J144" s="77">
        <v>23179.89</v>
      </c>
      <c r="K144" s="78">
        <v>0.11178528470122426</v>
      </c>
      <c r="L144" s="77">
        <f t="shared" si="8"/>
        <v>25771.060602993057</v>
      </c>
      <c r="M144" s="79">
        <f t="shared" si="9"/>
        <v>2591.1706029930574</v>
      </c>
    </row>
    <row r="145" spans="2:13" ht="19.5" hidden="1" customHeight="1">
      <c r="B145" s="107">
        <v>45901</v>
      </c>
      <c r="C145" s="74" t="s">
        <v>41</v>
      </c>
      <c r="D145" s="75" t="s">
        <v>21</v>
      </c>
      <c r="E145" s="75" t="s">
        <v>26</v>
      </c>
      <c r="F145" s="103">
        <v>45778</v>
      </c>
      <c r="G145" s="103">
        <v>45809</v>
      </c>
      <c r="H145" s="103">
        <v>45848</v>
      </c>
      <c r="I145" s="103" t="s">
        <v>485</v>
      </c>
      <c r="J145" s="77">
        <v>23179.89</v>
      </c>
      <c r="K145" s="78">
        <v>0.11178528470122426</v>
      </c>
      <c r="L145" s="77">
        <f t="shared" si="8"/>
        <v>25771.060602993057</v>
      </c>
      <c r="M145" s="79">
        <f t="shared" si="9"/>
        <v>2591.1706029930574</v>
      </c>
    </row>
    <row r="146" spans="2:13" ht="19.5" hidden="1" customHeight="1">
      <c r="B146" s="107">
        <v>45901</v>
      </c>
      <c r="C146" s="74" t="s">
        <v>41</v>
      </c>
      <c r="D146" s="75" t="s">
        <v>21</v>
      </c>
      <c r="E146" s="75" t="s">
        <v>26</v>
      </c>
      <c r="F146" s="103">
        <v>45778</v>
      </c>
      <c r="G146" s="103">
        <v>45839</v>
      </c>
      <c r="H146" s="103">
        <v>45887</v>
      </c>
      <c r="I146" s="103" t="s">
        <v>485</v>
      </c>
      <c r="J146" s="77">
        <v>23179.89</v>
      </c>
      <c r="K146" s="78">
        <v>0.11178528470122426</v>
      </c>
      <c r="L146" s="77">
        <f t="shared" si="8"/>
        <v>25771.060602993057</v>
      </c>
      <c r="M146" s="79">
        <f t="shared" si="9"/>
        <v>2591.1706029930574</v>
      </c>
    </row>
    <row r="147" spans="2:13" ht="19.5" hidden="1" customHeight="1">
      <c r="B147" s="107">
        <v>45901</v>
      </c>
      <c r="C147" s="74" t="s">
        <v>41</v>
      </c>
      <c r="D147" s="75" t="s">
        <v>21</v>
      </c>
      <c r="E147" s="75" t="s">
        <v>26</v>
      </c>
      <c r="F147" s="103">
        <v>45778</v>
      </c>
      <c r="G147" s="103">
        <v>45870</v>
      </c>
      <c r="H147" s="103">
        <v>45916</v>
      </c>
      <c r="I147" s="103" t="s">
        <v>485</v>
      </c>
      <c r="J147" s="77">
        <v>22890.14</v>
      </c>
      <c r="K147" s="78">
        <v>0.11178528470122426</v>
      </c>
      <c r="L147" s="77">
        <f t="shared" si="8"/>
        <v>25448.92081675088</v>
      </c>
      <c r="M147" s="79">
        <f t="shared" si="9"/>
        <v>2558.7808167508811</v>
      </c>
    </row>
    <row r="148" spans="2:13" ht="19.5" hidden="1" customHeight="1">
      <c r="B148" s="107">
        <v>45926</v>
      </c>
      <c r="C148" s="74" t="s">
        <v>37</v>
      </c>
      <c r="D148" s="75" t="s">
        <v>11</v>
      </c>
      <c r="E148" s="75" t="s">
        <v>28</v>
      </c>
      <c r="F148" s="103">
        <v>45717</v>
      </c>
      <c r="G148" s="103">
        <v>45717</v>
      </c>
      <c r="H148" s="103">
        <v>45762</v>
      </c>
      <c r="I148" s="103" t="s">
        <v>485</v>
      </c>
      <c r="J148" s="77">
        <v>102093.61</v>
      </c>
      <c r="K148" s="78">
        <v>5.8589656047556775E-2</v>
      </c>
      <c r="L148" s="77">
        <f t="shared" si="8"/>
        <v>108075.2394945534</v>
      </c>
      <c r="M148" s="79">
        <f t="shared" si="9"/>
        <v>5981.6294945534028</v>
      </c>
    </row>
    <row r="149" spans="2:13" ht="19.5" hidden="1" customHeight="1">
      <c r="B149" s="107">
        <v>45926</v>
      </c>
      <c r="C149" s="74" t="s">
        <v>37</v>
      </c>
      <c r="D149" s="75" t="s">
        <v>11</v>
      </c>
      <c r="E149" s="75" t="s">
        <v>28</v>
      </c>
      <c r="F149" s="103">
        <v>45717</v>
      </c>
      <c r="G149" s="103">
        <v>45748</v>
      </c>
      <c r="H149" s="103">
        <v>45790</v>
      </c>
      <c r="I149" s="103" t="s">
        <v>485</v>
      </c>
      <c r="J149" s="77">
        <v>101838.38</v>
      </c>
      <c r="K149" s="78">
        <v>5.8589656047556775E-2</v>
      </c>
      <c r="L149" s="77">
        <f t="shared" si="8"/>
        <v>107805.05565664038</v>
      </c>
      <c r="M149" s="79">
        <f t="shared" si="9"/>
        <v>5966.6756566403783</v>
      </c>
    </row>
    <row r="150" spans="2:13" ht="19.5" hidden="1" customHeight="1">
      <c r="B150" s="107">
        <v>45926</v>
      </c>
      <c r="C150" s="74" t="s">
        <v>37</v>
      </c>
      <c r="D150" s="75" t="s">
        <v>11</v>
      </c>
      <c r="E150" s="75" t="s">
        <v>28</v>
      </c>
      <c r="F150" s="103">
        <v>45717</v>
      </c>
      <c r="G150" s="103">
        <v>45778</v>
      </c>
      <c r="H150" s="103">
        <v>45828</v>
      </c>
      <c r="I150" s="103" t="s">
        <v>485</v>
      </c>
      <c r="J150" s="77">
        <v>102093.61</v>
      </c>
      <c r="K150" s="78">
        <v>5.8589656047556775E-2</v>
      </c>
      <c r="L150" s="77">
        <f t="shared" si="8"/>
        <v>108075.2394945534</v>
      </c>
      <c r="M150" s="79">
        <f t="shared" si="9"/>
        <v>5981.6294945534028</v>
      </c>
    </row>
    <row r="151" spans="2:13" ht="19.5" hidden="1" customHeight="1">
      <c r="B151" s="107">
        <v>45926</v>
      </c>
      <c r="C151" s="74" t="s">
        <v>37</v>
      </c>
      <c r="D151" s="75" t="s">
        <v>11</v>
      </c>
      <c r="E151" s="75" t="s">
        <v>28</v>
      </c>
      <c r="F151" s="103">
        <v>45717</v>
      </c>
      <c r="G151" s="103">
        <v>45809</v>
      </c>
      <c r="H151" s="103">
        <v>45847</v>
      </c>
      <c r="I151" s="103" t="s">
        <v>485</v>
      </c>
      <c r="J151" s="77">
        <v>101667.67</v>
      </c>
      <c r="K151" s="78">
        <v>5.8589656047556775E-2</v>
      </c>
      <c r="L151" s="77">
        <f t="shared" si="8"/>
        <v>107624.3438164565</v>
      </c>
      <c r="M151" s="79">
        <f t="shared" si="9"/>
        <v>5956.6738164565031</v>
      </c>
    </row>
    <row r="152" spans="2:13" ht="19.5" hidden="1" customHeight="1">
      <c r="B152" s="107">
        <v>45926</v>
      </c>
      <c r="C152" s="74" t="s">
        <v>37</v>
      </c>
      <c r="D152" s="75" t="s">
        <v>11</v>
      </c>
      <c r="E152" s="75" t="s">
        <v>28</v>
      </c>
      <c r="F152" s="103">
        <v>45717</v>
      </c>
      <c r="G152" s="103">
        <v>45839</v>
      </c>
      <c r="H152" s="103">
        <v>45881</v>
      </c>
      <c r="I152" s="103" t="s">
        <v>485</v>
      </c>
      <c r="J152" s="77">
        <v>101593.61</v>
      </c>
      <c r="K152" s="78">
        <v>5.8589656047556775E-2</v>
      </c>
      <c r="L152" s="77">
        <f t="shared" si="8"/>
        <v>107545.94466652963</v>
      </c>
      <c r="M152" s="79">
        <f t="shared" si="9"/>
        <v>5952.3346665296267</v>
      </c>
    </row>
    <row r="153" spans="2:13" ht="19.5" hidden="1" customHeight="1">
      <c r="B153" s="107"/>
      <c r="C153" s="74"/>
      <c r="D153" s="75"/>
      <c r="E153" s="75"/>
      <c r="F153" s="103"/>
      <c r="G153" s="103"/>
      <c r="H153" s="103"/>
      <c r="I153" s="103"/>
      <c r="J153" s="77"/>
      <c r="K153" s="78"/>
      <c r="L153" s="77">
        <f t="shared" si="8"/>
        <v>0</v>
      </c>
      <c r="M153" s="79">
        <f t="shared" si="9"/>
        <v>0</v>
      </c>
    </row>
    <row r="154" spans="2:13" ht="19.5" hidden="1" customHeight="1">
      <c r="B154" s="106"/>
      <c r="C154" s="52"/>
      <c r="D154" s="75" t="s">
        <v>17</v>
      </c>
      <c r="E154" s="75" t="s">
        <v>30</v>
      </c>
      <c r="F154" s="103">
        <v>45717</v>
      </c>
      <c r="G154" s="102">
        <v>45809</v>
      </c>
      <c r="H154" s="103">
        <v>45839</v>
      </c>
      <c r="I154" s="103" t="s">
        <v>485</v>
      </c>
      <c r="J154" s="65">
        <v>146258.21</v>
      </c>
      <c r="K154" s="55">
        <v>6.2591283023351652E-2</v>
      </c>
      <c r="L154" s="65">
        <f t="shared" si="8"/>
        <v>155412.69901659881</v>
      </c>
      <c r="M154" s="79">
        <f t="shared" si="9"/>
        <v>9154.4890165988181</v>
      </c>
    </row>
    <row r="155" spans="2:13" ht="19.5" hidden="1" customHeight="1">
      <c r="B155" s="106"/>
      <c r="C155" s="52"/>
      <c r="D155" s="75" t="s">
        <v>17</v>
      </c>
      <c r="E155" s="75" t="s">
        <v>30</v>
      </c>
      <c r="F155" s="103">
        <v>45717</v>
      </c>
      <c r="G155" s="102">
        <v>45839</v>
      </c>
      <c r="H155" s="103">
        <v>45870</v>
      </c>
      <c r="I155" s="103" t="s">
        <v>485</v>
      </c>
      <c r="J155" s="65">
        <v>141599.89000000001</v>
      </c>
      <c r="K155" s="55">
        <v>6.2591283023351652E-2</v>
      </c>
      <c r="L155" s="65">
        <f t="shared" si="8"/>
        <v>150462.80879106547</v>
      </c>
      <c r="M155" s="79">
        <f t="shared" si="9"/>
        <v>8862.9187910654582</v>
      </c>
    </row>
    <row r="156" spans="2:13" ht="19.5" hidden="1" customHeight="1">
      <c r="B156" s="106"/>
      <c r="C156" s="52"/>
      <c r="D156" s="75" t="s">
        <v>17</v>
      </c>
      <c r="E156" s="75" t="s">
        <v>30</v>
      </c>
      <c r="F156" s="103">
        <v>45717</v>
      </c>
      <c r="G156" s="102">
        <v>45870</v>
      </c>
      <c r="H156" s="103">
        <v>45901</v>
      </c>
      <c r="I156" s="103" t="s">
        <v>485</v>
      </c>
      <c r="J156" s="65">
        <v>141823.97</v>
      </c>
      <c r="K156" s="55">
        <v>6.2591283023351652E-2</v>
      </c>
      <c r="L156" s="65">
        <f t="shared" si="8"/>
        <v>150700.91424576534</v>
      </c>
      <c r="M156" s="79">
        <f t="shared" si="9"/>
        <v>8876.9442457653349</v>
      </c>
    </row>
    <row r="157" spans="2:13" ht="19.5" hidden="1" customHeight="1">
      <c r="B157" s="106"/>
      <c r="C157" s="52"/>
      <c r="D157" s="75" t="s">
        <v>17</v>
      </c>
      <c r="E157" s="75" t="s">
        <v>30</v>
      </c>
      <c r="F157" s="103">
        <v>45717</v>
      </c>
      <c r="G157" s="102">
        <v>45901</v>
      </c>
      <c r="H157" s="103">
        <v>45931</v>
      </c>
      <c r="I157" s="103" t="s">
        <v>485</v>
      </c>
      <c r="J157" s="65">
        <v>143466.84</v>
      </c>
      <c r="K157" s="55">
        <v>6.2591283023351652E-2</v>
      </c>
      <c r="L157" s="65">
        <f t="shared" si="8"/>
        <v>152446.61358690591</v>
      </c>
      <c r="M157" s="79">
        <f t="shared" si="9"/>
        <v>8979.7735869059106</v>
      </c>
    </row>
    <row r="158" spans="2:13" ht="19.5" hidden="1" customHeight="1">
      <c r="B158" s="107">
        <v>45931</v>
      </c>
      <c r="C158" s="74" t="s">
        <v>37</v>
      </c>
      <c r="D158" s="75" t="s">
        <v>12</v>
      </c>
      <c r="E158" s="75" t="s">
        <v>28</v>
      </c>
      <c r="F158" s="103">
        <v>45717</v>
      </c>
      <c r="G158" s="103">
        <v>45748</v>
      </c>
      <c r="H158" s="103">
        <v>45778</v>
      </c>
      <c r="I158" s="103" t="s">
        <v>485</v>
      </c>
      <c r="J158" s="77">
        <v>49485.99</v>
      </c>
      <c r="K158" s="78">
        <v>5.8756209497598917E-2</v>
      </c>
      <c r="L158" s="77">
        <f t="shared" si="8"/>
        <v>52393.599195636081</v>
      </c>
      <c r="M158" s="79">
        <f t="shared" si="9"/>
        <v>2907.6091956360833</v>
      </c>
    </row>
    <row r="159" spans="2:13" ht="19.5" customHeight="1">
      <c r="B159" s="107">
        <v>45931</v>
      </c>
      <c r="C159" s="74" t="s">
        <v>37</v>
      </c>
      <c r="D159" s="75" t="s">
        <v>12</v>
      </c>
      <c r="E159" s="75" t="s">
        <v>28</v>
      </c>
      <c r="F159" s="103">
        <v>45717</v>
      </c>
      <c r="G159" s="103">
        <v>45778</v>
      </c>
      <c r="H159" s="103">
        <v>45809</v>
      </c>
      <c r="I159" s="103" t="s">
        <v>485</v>
      </c>
      <c r="J159" s="77">
        <v>49485.99</v>
      </c>
      <c r="K159" s="78">
        <v>5.8756209497598917E-2</v>
      </c>
      <c r="L159" s="77">
        <f t="shared" si="8"/>
        <v>52393.599195636081</v>
      </c>
      <c r="M159" s="79">
        <f t="shared" si="9"/>
        <v>2907.6091956360833</v>
      </c>
    </row>
    <row r="160" spans="2:13" ht="19.5" hidden="1" customHeight="1">
      <c r="B160" s="107">
        <v>45931</v>
      </c>
      <c r="C160" s="74" t="s">
        <v>37</v>
      </c>
      <c r="D160" s="75" t="s">
        <v>12</v>
      </c>
      <c r="E160" s="75" t="s">
        <v>28</v>
      </c>
      <c r="F160" s="103">
        <v>45717</v>
      </c>
      <c r="G160" s="103">
        <v>45809</v>
      </c>
      <c r="H160" s="103">
        <v>45839</v>
      </c>
      <c r="I160" s="103" t="s">
        <v>485</v>
      </c>
      <c r="J160" s="77">
        <v>49485.99</v>
      </c>
      <c r="K160" s="78">
        <v>5.8756209497598917E-2</v>
      </c>
      <c r="L160" s="77">
        <f t="shared" si="8"/>
        <v>52393.599195636081</v>
      </c>
      <c r="M160" s="79">
        <f t="shared" si="9"/>
        <v>2907.6091956360833</v>
      </c>
    </row>
    <row r="161" spans="2:13" ht="19.5" hidden="1" customHeight="1">
      <c r="B161" s="107">
        <v>45931</v>
      </c>
      <c r="C161" s="74" t="s">
        <v>37</v>
      </c>
      <c r="D161" s="75" t="s">
        <v>12</v>
      </c>
      <c r="E161" s="75" t="s">
        <v>28</v>
      </c>
      <c r="F161" s="103">
        <v>45717</v>
      </c>
      <c r="G161" s="103">
        <v>45839</v>
      </c>
      <c r="H161" s="103">
        <v>45870</v>
      </c>
      <c r="I161" s="103" t="s">
        <v>485</v>
      </c>
      <c r="J161" s="77">
        <v>49485.99</v>
      </c>
      <c r="K161" s="78">
        <v>5.8756209497598917E-2</v>
      </c>
      <c r="L161" s="77">
        <f t="shared" si="8"/>
        <v>52393.599195636081</v>
      </c>
      <c r="M161" s="79">
        <f t="shared" si="9"/>
        <v>2907.6091956360833</v>
      </c>
    </row>
    <row r="162" spans="2:13" ht="19.5" hidden="1" customHeight="1">
      <c r="B162" s="107">
        <v>45931</v>
      </c>
      <c r="C162" s="74" t="s">
        <v>37</v>
      </c>
      <c r="D162" s="75" t="s">
        <v>12</v>
      </c>
      <c r="E162" s="74" t="s">
        <v>28</v>
      </c>
      <c r="F162" s="103">
        <v>45717</v>
      </c>
      <c r="G162" s="103">
        <v>45870</v>
      </c>
      <c r="H162" s="103">
        <v>45901</v>
      </c>
      <c r="I162" s="103" t="s">
        <v>485</v>
      </c>
      <c r="J162" s="77">
        <v>49485.99</v>
      </c>
      <c r="K162" s="78">
        <v>5.8756209497598917E-2</v>
      </c>
      <c r="L162" s="77">
        <f t="shared" si="8"/>
        <v>52393.599195636081</v>
      </c>
      <c r="M162" s="79">
        <f t="shared" si="9"/>
        <v>2907.6091956360833</v>
      </c>
    </row>
    <row r="163" spans="2:13" ht="19.5" customHeight="1">
      <c r="B163" s="80"/>
      <c r="C163" s="98" t="s">
        <v>431</v>
      </c>
      <c r="D163" s="104"/>
      <c r="E163" s="98" t="s">
        <v>431</v>
      </c>
      <c r="F163" s="104"/>
      <c r="G163" s="104"/>
      <c r="H163" s="104"/>
      <c r="I163" s="104"/>
      <c r="J163" s="99"/>
      <c r="K163" s="99"/>
      <c r="L163" s="99"/>
      <c r="M163" s="268">
        <f>SUBTOTAL(109,Tabela1[Retroativo])</f>
        <v>2907.6091956360833</v>
      </c>
    </row>
    <row r="165" spans="2:13">
      <c r="M165" s="7"/>
    </row>
    <row r="166" spans="2:13">
      <c r="C166" s="163" t="s">
        <v>171</v>
      </c>
      <c r="M166" s="7"/>
    </row>
  </sheetData>
  <phoneticPr fontId="5" type="noConversion"/>
  <pageMargins left="0.511811024" right="0.511811024" top="0.78740157499999996" bottom="0.78740157499999996" header="0.31496062000000002" footer="0.31496062000000002"/>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6B11D5CB-575F-42C7-8112-AC4591747653}">
          <x14:formula1>
            <xm:f>Unidade!$A$2:$A$12</xm:f>
          </x14:formula1>
          <xm:sqref>D2:D113 D116:D153 D158:D162</xm:sqref>
        </x14:dataValidation>
        <x14:dataValidation type="list" allowBlank="1" showInputMessage="1" showErrorMessage="1" xr:uid="{592EF027-9304-4D99-9D8B-83B480CCF350}">
          <x14:formula1>
            <xm:f>'Categoria'!$A$2:$A$19</xm:f>
          </x14:formula1>
          <xm:sqref>E2:E113 E116:E153 E158:E162</xm:sqref>
        </x14:dataValidation>
        <x14:dataValidation type="list" allowBlank="1" showInputMessage="1" showErrorMessage="1" xr:uid="{8A1F2F59-08C0-4A30-AEA5-7C5EC27AB2B2}">
          <x14:formula1>
            <xm:f>Fornecedor!$A$2:$A$91</xm:f>
          </x14:formula1>
          <xm:sqref>C2:C113 C116:C153</xm:sqref>
        </x14:dataValidation>
      </x14:dataValidations>
    </ex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6C271-34CC-40A1-9833-1F424E5BEAE6}">
  <sheetPr>
    <tabColor theme="7" tint="0.39997558519241921"/>
  </sheetPr>
  <dimension ref="C1:H75"/>
  <sheetViews>
    <sheetView showGridLines="0" zoomScale="90" zoomScaleNormal="90" workbookViewId="0">
      <selection activeCell="I91" sqref="I91"/>
    </sheetView>
  </sheetViews>
  <sheetFormatPr defaultRowHeight="14.5"/>
  <cols>
    <col min="1" max="1" width="3.453125" customWidth="1"/>
    <col min="2" max="2" width="0" hidden="1" customWidth="1"/>
    <col min="3" max="3" width="26.6328125" customWidth="1"/>
    <col min="4" max="4" width="34" style="23" customWidth="1"/>
    <col min="5" max="5" width="29.54296875" style="23" customWidth="1"/>
    <col min="6" max="6" width="65.36328125" style="23" customWidth="1"/>
    <col min="7" max="7" width="21.54296875" style="23" customWidth="1"/>
    <col min="8" max="8" width="51.453125" style="23" hidden="1" customWidth="1"/>
  </cols>
  <sheetData>
    <row r="1" spans="3:8" ht="16" thickBot="1">
      <c r="C1" s="141" t="s">
        <v>0</v>
      </c>
      <c r="D1" s="142" t="s">
        <v>22</v>
      </c>
      <c r="E1" s="142" t="s">
        <v>27</v>
      </c>
      <c r="F1" s="142" t="s">
        <v>489</v>
      </c>
      <c r="G1" s="142" t="s">
        <v>490</v>
      </c>
      <c r="H1" s="142" t="s">
        <v>491</v>
      </c>
    </row>
    <row r="2" spans="3:8" ht="18.649999999999999" customHeight="1" thickBot="1">
      <c r="C2" s="26" t="s">
        <v>12</v>
      </c>
      <c r="D2" s="26" t="s">
        <v>28</v>
      </c>
      <c r="E2" s="26" t="s">
        <v>37</v>
      </c>
      <c r="F2" s="26" t="s">
        <v>492</v>
      </c>
      <c r="G2" s="154"/>
      <c r="H2" s="26" t="str">
        <f>Tabela11[[#This Row],[Unidade]]&amp;Tabela11[[#This Row],[Categoria]]&amp;Tabela11[[#This Row],[Fornecedor]]</f>
        <v>Caxias ShoppingBrigada de IncêndioFTR</v>
      </c>
    </row>
    <row r="3" spans="3:8" ht="18.649999999999999" customHeight="1" thickBot="1">
      <c r="C3" s="26" t="s">
        <v>12</v>
      </c>
      <c r="D3" s="2" t="s">
        <v>29</v>
      </c>
      <c r="E3" s="26" t="s">
        <v>39</v>
      </c>
      <c r="F3" s="26" t="s">
        <v>492</v>
      </c>
      <c r="G3" s="154"/>
      <c r="H3" s="26" t="str">
        <f>Tabela11[[#This Row],[Unidade]]&amp;Tabela11[[#This Row],[Categoria]]&amp;Tabela11[[#This Row],[Fornecedor]]</f>
        <v>Caxias ShoppingEstacionamentoVerzani</v>
      </c>
    </row>
    <row r="4" spans="3:8" ht="18.649999999999999" customHeight="1" thickBot="1">
      <c r="C4" s="26" t="s">
        <v>12</v>
      </c>
      <c r="D4" s="2" t="s">
        <v>33</v>
      </c>
      <c r="E4" s="26" t="s">
        <v>137</v>
      </c>
      <c r="F4" s="26" t="s">
        <v>492</v>
      </c>
      <c r="G4" s="154"/>
      <c r="H4" s="26" t="str">
        <f>Tabela11[[#This Row],[Unidade]]&amp;Tabela11[[#This Row],[Categoria]]&amp;Tabela11[[#This Row],[Fornecedor]]</f>
        <v>Caxias ShoppingJardinagemFloreada</v>
      </c>
    </row>
    <row r="5" spans="3:8" ht="18.649999999999999" customHeight="1" thickBot="1">
      <c r="C5" s="26" t="s">
        <v>12</v>
      </c>
      <c r="D5" s="26" t="s">
        <v>30</v>
      </c>
      <c r="E5" s="26" t="s">
        <v>56</v>
      </c>
      <c r="F5" s="26" t="s">
        <v>493</v>
      </c>
      <c r="G5" s="154"/>
      <c r="H5" s="26" t="str">
        <f>Tabela11[[#This Row],[Unidade]]&amp;Tabela11[[#This Row],[Categoria]]&amp;Tabela11[[#This Row],[Fornecedor]]</f>
        <v>Caxias ShoppingLimpezaNova Rio</v>
      </c>
    </row>
    <row r="6" spans="3:8" ht="18.649999999999999" customHeight="1" thickBot="1">
      <c r="C6" s="26" t="s">
        <v>12</v>
      </c>
      <c r="D6" s="2" t="s">
        <v>25</v>
      </c>
      <c r="E6" s="26" t="s">
        <v>40</v>
      </c>
      <c r="F6" s="26" t="s">
        <v>493</v>
      </c>
      <c r="G6" s="154"/>
      <c r="H6" s="26" t="str">
        <f>Tabela11[[#This Row],[Unidade]]&amp;Tabela11[[#This Row],[Categoria]]&amp;Tabela11[[#This Row],[Fornecedor]]</f>
        <v>Caxias ShoppingManutençãoGPS</v>
      </c>
    </row>
    <row r="7" spans="3:8" ht="18.649999999999999" customHeight="1" thickBot="1">
      <c r="C7" s="26" t="s">
        <v>12</v>
      </c>
      <c r="D7" s="2" t="s">
        <v>26</v>
      </c>
      <c r="E7" s="26" t="s">
        <v>40</v>
      </c>
      <c r="F7" s="26" t="s">
        <v>493</v>
      </c>
      <c r="G7" s="154"/>
      <c r="H7" s="26" t="str">
        <f>Tabela11[[#This Row],[Unidade]]&amp;Tabela11[[#This Row],[Categoria]]&amp;Tabela11[[#This Row],[Fornecedor]]</f>
        <v>Caxias ShoppingPMOCGPS</v>
      </c>
    </row>
    <row r="8" spans="3:8" ht="18.649999999999999" customHeight="1" thickBot="1">
      <c r="C8" s="26" t="s">
        <v>12</v>
      </c>
      <c r="D8" s="2" t="s">
        <v>31</v>
      </c>
      <c r="E8" s="26" t="s">
        <v>40</v>
      </c>
      <c r="F8" s="26" t="s">
        <v>493</v>
      </c>
      <c r="G8" s="154"/>
      <c r="H8" s="26" t="str">
        <f>Tabela11[[#This Row],[Unidade]]&amp;Tabela11[[#This Row],[Categoria]]&amp;Tabela11[[#This Row],[Fornecedor]]</f>
        <v>Caxias ShoppingPortariaGPS</v>
      </c>
    </row>
    <row r="9" spans="3:8" ht="16" thickBot="1">
      <c r="C9" s="66" t="s">
        <v>12</v>
      </c>
      <c r="D9" s="90" t="s">
        <v>35</v>
      </c>
      <c r="E9" s="66" t="s">
        <v>56</v>
      </c>
      <c r="F9" s="26" t="s">
        <v>493</v>
      </c>
      <c r="G9" s="155"/>
      <c r="H9" s="66" t="str">
        <f>Tabela11[[#This Row],[Unidade]]&amp;Tabela11[[#This Row],[Categoria]]&amp;Tabela11[[#This Row],[Fornecedor]]</f>
        <v>Caxias ShoppingResíduosNova Rio</v>
      </c>
    </row>
    <row r="10" spans="3:8" ht="16" thickBot="1">
      <c r="C10" s="66" t="s">
        <v>12</v>
      </c>
      <c r="D10" s="90" t="s">
        <v>32</v>
      </c>
      <c r="E10" s="66" t="s">
        <v>40</v>
      </c>
      <c r="F10" s="66" t="s">
        <v>493</v>
      </c>
      <c r="G10" s="155"/>
      <c r="H10" s="66" t="str">
        <f>Tabela11[[#This Row],[Unidade]]&amp;Tabela11[[#This Row],[Categoria]]&amp;Tabela11[[#This Row],[Fornecedor]]</f>
        <v>Caxias ShoppingVigilânciaGPS</v>
      </c>
    </row>
    <row r="11" spans="3:8" ht="16" thickBot="1">
      <c r="C11" s="66" t="s">
        <v>19</v>
      </c>
      <c r="D11" s="90" t="s">
        <v>28</v>
      </c>
      <c r="E11" s="66" t="s">
        <v>63</v>
      </c>
      <c r="F11" s="90" t="s">
        <v>492</v>
      </c>
      <c r="G11" s="155">
        <v>15</v>
      </c>
      <c r="H11" s="153" t="str">
        <f>Tabela11[[#This Row],[Unidade]]&amp;Tabela11[[#This Row],[Categoria]]&amp;Tabela11[[#This Row],[Fornecedor]]</f>
        <v>Shopping Grande RioBrigada de IncêndioGrupo JLR</v>
      </c>
    </row>
    <row r="12" spans="3:8" ht="16" thickBot="1">
      <c r="C12" s="26" t="s">
        <v>19</v>
      </c>
      <c r="D12" s="2" t="s">
        <v>32</v>
      </c>
      <c r="E12" s="66" t="s">
        <v>40</v>
      </c>
      <c r="F12" s="90" t="s">
        <v>492</v>
      </c>
      <c r="G12" s="155">
        <v>15</v>
      </c>
      <c r="H12" s="153" t="str">
        <f>Tabela11[[#This Row],[Unidade]]&amp;Tabela11[[#This Row],[Categoria]]&amp;Tabela11[[#This Row],[Fornecedor]]</f>
        <v>Shopping Grande RioVigilânciaGPS</v>
      </c>
    </row>
    <row r="13" spans="3:8" ht="16" thickBot="1">
      <c r="C13" s="26" t="s">
        <v>19</v>
      </c>
      <c r="D13" s="2" t="s">
        <v>31</v>
      </c>
      <c r="E13" s="66" t="s">
        <v>40</v>
      </c>
      <c r="F13" s="90" t="s">
        <v>492</v>
      </c>
      <c r="G13" s="155">
        <v>15</v>
      </c>
      <c r="H13" s="153" t="str">
        <f>Tabela11[[#This Row],[Unidade]]&amp;Tabela11[[#This Row],[Categoria]]&amp;Tabela11[[#This Row],[Fornecedor]]</f>
        <v>Shopping Grande RioPortariaGPS</v>
      </c>
    </row>
    <row r="14" spans="3:8" ht="16" thickBot="1">
      <c r="C14" s="26" t="s">
        <v>19</v>
      </c>
      <c r="D14" s="2" t="s">
        <v>25</v>
      </c>
      <c r="E14" s="66" t="s">
        <v>40</v>
      </c>
      <c r="F14" s="90" t="s">
        <v>492</v>
      </c>
      <c r="G14" s="155">
        <v>15</v>
      </c>
      <c r="H14" s="153" t="str">
        <f>Tabela11[[#This Row],[Unidade]]&amp;Tabela11[[#This Row],[Categoria]]&amp;Tabela11[[#This Row],[Fornecedor]]</f>
        <v>Shopping Grande RioManutençãoGPS</v>
      </c>
    </row>
    <row r="15" spans="3:8" ht="16" thickBot="1">
      <c r="C15" s="26" t="s">
        <v>19</v>
      </c>
      <c r="D15" s="2" t="s">
        <v>26</v>
      </c>
      <c r="E15" s="66" t="s">
        <v>40</v>
      </c>
      <c r="F15" s="90" t="s">
        <v>492</v>
      </c>
      <c r="G15" s="155">
        <v>15</v>
      </c>
      <c r="H15" s="153" t="str">
        <f>Tabela11[[#This Row],[Unidade]]&amp;Tabela11[[#This Row],[Categoria]]&amp;Tabela11[[#This Row],[Fornecedor]]</f>
        <v>Shopping Grande RioPMOCGPS</v>
      </c>
    </row>
    <row r="16" spans="3:8" ht="16" thickBot="1">
      <c r="C16" s="26" t="s">
        <v>19</v>
      </c>
      <c r="D16" s="2" t="s">
        <v>29</v>
      </c>
      <c r="E16" s="66" t="s">
        <v>39</v>
      </c>
      <c r="F16" s="90" t="s">
        <v>492</v>
      </c>
      <c r="G16" s="155">
        <v>15</v>
      </c>
      <c r="H16" s="153" t="str">
        <f>Tabela11[[#This Row],[Unidade]]&amp;Tabela11[[#This Row],[Categoria]]&amp;Tabela11[[#This Row],[Fornecedor]]</f>
        <v>Shopping Grande RioEstacionamentoVerzani</v>
      </c>
    </row>
    <row r="17" spans="3:8" ht="16" thickBot="1">
      <c r="C17" s="26" t="s">
        <v>18</v>
      </c>
      <c r="D17" s="2" t="s">
        <v>28</v>
      </c>
      <c r="E17" s="66" t="s">
        <v>112</v>
      </c>
      <c r="F17" s="90" t="s">
        <v>492</v>
      </c>
      <c r="G17" s="155"/>
      <c r="H17" s="153" t="str">
        <f>Tabela11[[#This Row],[Unidade]]&amp;Tabela11[[#This Row],[Categoria]]&amp;Tabela11[[#This Row],[Fornecedor]]</f>
        <v>Rio Design LeblonBrigada de IncêndioEnseg</v>
      </c>
    </row>
    <row r="18" spans="3:8" ht="16" thickBot="1">
      <c r="C18" s="66" t="s">
        <v>18</v>
      </c>
      <c r="D18" s="90" t="s">
        <v>33</v>
      </c>
      <c r="E18" s="66" t="s">
        <v>137</v>
      </c>
      <c r="F18" s="90" t="s">
        <v>493</v>
      </c>
      <c r="G18" s="155">
        <v>15</v>
      </c>
      <c r="H18" s="153" t="str">
        <f>Tabela11[[#This Row],[Unidade]]&amp;Tabela11[[#This Row],[Categoria]]&amp;Tabela11[[#This Row],[Fornecedor]]</f>
        <v>Rio Design LeblonJardinagemFloreada</v>
      </c>
    </row>
    <row r="19" spans="3:8" ht="16" thickBot="1">
      <c r="C19" s="66" t="s">
        <v>18</v>
      </c>
      <c r="D19" s="90" t="s">
        <v>30</v>
      </c>
      <c r="E19" s="66" t="s">
        <v>152</v>
      </c>
      <c r="F19" s="90" t="s">
        <v>493</v>
      </c>
      <c r="G19" s="155"/>
      <c r="H19" s="153" t="str">
        <f>Tabela11[[#This Row],[Unidade]]&amp;Tabela11[[#This Row],[Categoria]]&amp;Tabela11[[#This Row],[Fornecedor]]</f>
        <v>Rio Design LeblonLimpezaMaxi Service</v>
      </c>
    </row>
    <row r="20" spans="3:8" ht="16" thickBot="1">
      <c r="C20" s="66" t="s">
        <v>18</v>
      </c>
      <c r="D20" s="90" t="s">
        <v>31</v>
      </c>
      <c r="E20" s="66" t="s">
        <v>141</v>
      </c>
      <c r="F20" s="90" t="s">
        <v>492</v>
      </c>
      <c r="G20" s="155">
        <v>15</v>
      </c>
      <c r="H20" s="153" t="str">
        <f>Tabela11[[#This Row],[Unidade]]&amp;Tabela11[[#This Row],[Categoria]]&amp;Tabela11[[#This Row],[Fornecedor]]</f>
        <v>Rio Design LeblonPortariaFluency</v>
      </c>
    </row>
    <row r="21" spans="3:8" ht="16" thickBot="1">
      <c r="C21" s="26" t="s">
        <v>6</v>
      </c>
      <c r="D21" s="2" t="s">
        <v>30</v>
      </c>
      <c r="E21" s="66" t="s">
        <v>39</v>
      </c>
      <c r="F21" s="90" t="s">
        <v>493</v>
      </c>
      <c r="G21" s="155">
        <v>15</v>
      </c>
      <c r="H21" s="153" t="str">
        <f>Tabela11[[#This Row],[Unidade]]&amp;Tabela11[[#This Row],[Categoria]]&amp;Tabela11[[#This Row],[Fornecedor]]</f>
        <v>Bangu ShoppingLimpezaVerzani</v>
      </c>
    </row>
    <row r="22" spans="3:8" ht="16" thickBot="1">
      <c r="C22" s="26" t="s">
        <v>6</v>
      </c>
      <c r="D22" s="2" t="s">
        <v>25</v>
      </c>
      <c r="E22" s="158" t="s">
        <v>40</v>
      </c>
      <c r="F22" s="90" t="s">
        <v>493</v>
      </c>
      <c r="G22" s="155">
        <v>15</v>
      </c>
      <c r="H22" s="153" t="str">
        <f>Tabela11[[#This Row],[Unidade]]&amp;Tabela11[[#This Row],[Categoria]]&amp;Tabela11[[#This Row],[Fornecedor]]</f>
        <v>Bangu ShoppingManutençãoGPS</v>
      </c>
    </row>
    <row r="23" spans="3:8" ht="16" thickBot="1">
      <c r="C23" s="26" t="s">
        <v>6</v>
      </c>
      <c r="D23" s="2" t="s">
        <v>26</v>
      </c>
      <c r="E23" s="158" t="s">
        <v>40</v>
      </c>
      <c r="F23" s="90" t="s">
        <v>493</v>
      </c>
      <c r="G23" s="155">
        <v>15</v>
      </c>
      <c r="H23" s="153" t="str">
        <f>Tabela11[[#This Row],[Unidade]]&amp;Tabela11[[#This Row],[Categoria]]&amp;Tabela11[[#This Row],[Fornecedor]]</f>
        <v>Bangu ShoppingPMOCGPS</v>
      </c>
    </row>
    <row r="24" spans="3:8" ht="16" thickBot="1">
      <c r="C24" s="26" t="s">
        <v>6</v>
      </c>
      <c r="D24" s="2" t="s">
        <v>28</v>
      </c>
      <c r="E24" s="158" t="s">
        <v>37</v>
      </c>
      <c r="F24" s="90" t="s">
        <v>493</v>
      </c>
      <c r="G24" s="155">
        <v>15</v>
      </c>
      <c r="H24" s="153" t="str">
        <f>Tabela11[[#This Row],[Unidade]]&amp;Tabela11[[#This Row],[Categoria]]&amp;Tabela11[[#This Row],[Fornecedor]]</f>
        <v>Bangu ShoppingBrigada de IncêndioFTR</v>
      </c>
    </row>
    <row r="25" spans="3:8" ht="16" thickBot="1">
      <c r="C25" s="26" t="s">
        <v>6</v>
      </c>
      <c r="D25" s="2" t="s">
        <v>32</v>
      </c>
      <c r="E25" s="158" t="s">
        <v>40</v>
      </c>
      <c r="F25" s="90" t="s">
        <v>493</v>
      </c>
      <c r="G25" s="155">
        <v>15</v>
      </c>
      <c r="H25" s="153" t="str">
        <f>Tabela11[[#This Row],[Unidade]]&amp;Tabela11[[#This Row],[Categoria]]&amp;Tabela11[[#This Row],[Fornecedor]]</f>
        <v>Bangu ShoppingVigilânciaGPS</v>
      </c>
    </row>
    <row r="26" spans="3:8" ht="16" thickBot="1">
      <c r="C26" s="26" t="s">
        <v>6</v>
      </c>
      <c r="D26" s="2" t="s">
        <v>31</v>
      </c>
      <c r="E26" s="158" t="s">
        <v>40</v>
      </c>
      <c r="F26" s="90" t="s">
        <v>493</v>
      </c>
      <c r="G26" s="155">
        <v>15</v>
      </c>
      <c r="H26" s="153" t="str">
        <f>Tabela11[[#This Row],[Unidade]]&amp;Tabela11[[#This Row],[Categoria]]&amp;Tabela11[[#This Row],[Fornecedor]]</f>
        <v>Bangu ShoppingPortariaGPS</v>
      </c>
    </row>
    <row r="27" spans="3:8" ht="16" thickBot="1">
      <c r="C27" s="26" t="s">
        <v>6</v>
      </c>
      <c r="D27" s="2" t="s">
        <v>35</v>
      </c>
      <c r="E27" s="158" t="s">
        <v>39</v>
      </c>
      <c r="F27" s="90" t="s">
        <v>493</v>
      </c>
      <c r="G27" s="155">
        <v>15</v>
      </c>
      <c r="H27" s="153" t="str">
        <f>Tabela11[[#This Row],[Unidade]]&amp;Tabela11[[#This Row],[Categoria]]&amp;Tabela11[[#This Row],[Fornecedor]]</f>
        <v>Bangu ShoppingResíduosVerzani</v>
      </c>
    </row>
    <row r="28" spans="3:8" ht="31.5" thickBot="1">
      <c r="C28" s="26" t="s">
        <v>13</v>
      </c>
      <c r="D28" s="2" t="s">
        <v>28</v>
      </c>
      <c r="E28" s="158" t="s">
        <v>65</v>
      </c>
      <c r="F28" s="90" t="s">
        <v>493</v>
      </c>
      <c r="G28" s="155"/>
      <c r="H28" s="153" t="str">
        <f>Tabela11[[#This Row],[Unidade]]&amp;Tabela11[[#This Row],[Categoria]]&amp;Tabela11[[#This Row],[Fornecedor]]</f>
        <v>Independência ShoppingBrigada de IncêndioAMPLA Resgate Treinamentos</v>
      </c>
    </row>
    <row r="29" spans="3:8" ht="16" thickBot="1">
      <c r="C29" s="26" t="s">
        <v>13</v>
      </c>
      <c r="D29" s="2" t="s">
        <v>30</v>
      </c>
      <c r="E29" s="26" t="s">
        <v>55</v>
      </c>
      <c r="F29" s="90" t="s">
        <v>492</v>
      </c>
      <c r="G29" s="155"/>
      <c r="H29" s="153" t="str">
        <f>Tabela11[[#This Row],[Unidade]]&amp;Tabela11[[#This Row],[Categoria]]&amp;Tabela11[[#This Row],[Fornecedor]]</f>
        <v>Independência ShoppingLimpezaGrupo Altum</v>
      </c>
    </row>
    <row r="30" spans="3:8" ht="16" thickBot="1">
      <c r="C30" s="26" t="s">
        <v>13</v>
      </c>
      <c r="D30" s="2" t="s">
        <v>25</v>
      </c>
      <c r="E30" s="164" t="s">
        <v>41</v>
      </c>
      <c r="F30" s="90" t="s">
        <v>492</v>
      </c>
      <c r="G30" s="155"/>
      <c r="H30" s="153" t="str">
        <f>Tabela11[[#This Row],[Unidade]]&amp;Tabela11[[#This Row],[Categoria]]&amp;Tabela11[[#This Row],[Fornecedor]]</f>
        <v>Independência ShoppingManutençãoBrasanitas</v>
      </c>
    </row>
    <row r="31" spans="3:8" ht="16" thickBot="1">
      <c r="C31" s="26" t="s">
        <v>13</v>
      </c>
      <c r="D31" s="2" t="s">
        <v>26</v>
      </c>
      <c r="E31" s="164" t="s">
        <v>41</v>
      </c>
      <c r="F31" s="90" t="s">
        <v>492</v>
      </c>
      <c r="G31" s="155"/>
      <c r="H31" s="153" t="str">
        <f>Tabela11[[#This Row],[Unidade]]&amp;Tabela11[[#This Row],[Categoria]]&amp;Tabela11[[#This Row],[Fornecedor]]</f>
        <v>Independência ShoppingPMOCBrasanitas</v>
      </c>
    </row>
    <row r="32" spans="3:8" ht="16" thickBot="1">
      <c r="C32" s="26" t="s">
        <v>13</v>
      </c>
      <c r="D32" s="2" t="s">
        <v>31</v>
      </c>
      <c r="E32" s="164" t="s">
        <v>39</v>
      </c>
      <c r="F32" s="90" t="s">
        <v>492</v>
      </c>
      <c r="G32" s="155"/>
      <c r="H32" s="153" t="str">
        <f>Tabela11[[#This Row],[Unidade]]&amp;Tabela11[[#This Row],[Categoria]]&amp;Tabela11[[#This Row],[Fornecedor]]</f>
        <v>Independência ShoppingPortariaVerzani</v>
      </c>
    </row>
    <row r="33" spans="3:8" ht="16" thickBot="1">
      <c r="C33" s="26" t="s">
        <v>13</v>
      </c>
      <c r="D33" s="2" t="s">
        <v>32</v>
      </c>
      <c r="E33" s="164" t="s">
        <v>39</v>
      </c>
      <c r="F33" s="90" t="s">
        <v>492</v>
      </c>
      <c r="G33" s="155"/>
      <c r="H33" s="153" t="str">
        <f>Tabela11[[#This Row],[Unidade]]&amp;Tabela11[[#This Row],[Categoria]]&amp;Tabela11[[#This Row],[Fornecedor]]</f>
        <v>Independência ShoppingVigilânciaVerzani</v>
      </c>
    </row>
    <row r="34" spans="3:8" ht="16" thickBot="1">
      <c r="C34" s="26" t="s">
        <v>20</v>
      </c>
      <c r="D34" s="2" t="s">
        <v>32</v>
      </c>
      <c r="E34" s="164" t="s">
        <v>39</v>
      </c>
      <c r="F34" s="90" t="s">
        <v>493</v>
      </c>
      <c r="G34" s="155">
        <v>10</v>
      </c>
      <c r="H34" s="153" t="str">
        <f>Tabela11[[#This Row],[Unidade]]&amp;Tabela11[[#This Row],[Categoria]]&amp;Tabela11[[#This Row],[Fornecedor]]</f>
        <v>Shopping LeblonVigilânciaVerzani</v>
      </c>
    </row>
    <row r="35" spans="3:8" ht="16" thickBot="1">
      <c r="C35" s="26" t="s">
        <v>20</v>
      </c>
      <c r="D35" s="2" t="s">
        <v>31</v>
      </c>
      <c r="E35" s="164" t="s">
        <v>39</v>
      </c>
      <c r="F35" s="90" t="s">
        <v>493</v>
      </c>
      <c r="G35" s="155">
        <v>10</v>
      </c>
      <c r="H35" s="153" t="str">
        <f>Tabela11[[#This Row],[Unidade]]&amp;Tabela11[[#This Row],[Categoria]]&amp;Tabela11[[#This Row],[Fornecedor]]</f>
        <v>Shopping LeblonPortariaVerzani</v>
      </c>
    </row>
    <row r="36" spans="3:8" ht="16" thickBot="1">
      <c r="C36" s="26" t="s">
        <v>20</v>
      </c>
      <c r="D36" s="2" t="s">
        <v>30</v>
      </c>
      <c r="E36" s="164" t="s">
        <v>40</v>
      </c>
      <c r="F36" s="90" t="s">
        <v>492</v>
      </c>
      <c r="G36" s="155">
        <v>10</v>
      </c>
      <c r="H36" s="153" t="str">
        <f>Tabela11[[#This Row],[Unidade]]&amp;Tabela11[[#This Row],[Categoria]]&amp;Tabela11[[#This Row],[Fornecedor]]</f>
        <v>Shopping LeblonLimpezaGPS</v>
      </c>
    </row>
    <row r="37" spans="3:8" ht="16" thickBot="1">
      <c r="C37" s="26" t="s">
        <v>20</v>
      </c>
      <c r="D37" s="2" t="s">
        <v>35</v>
      </c>
      <c r="E37" s="164" t="s">
        <v>40</v>
      </c>
      <c r="F37" s="90" t="s">
        <v>492</v>
      </c>
      <c r="G37" s="155">
        <v>10</v>
      </c>
      <c r="H37" s="153" t="str">
        <f>Tabela11[[#This Row],[Unidade]]&amp;Tabela11[[#This Row],[Categoria]]&amp;Tabela11[[#This Row],[Fornecedor]]</f>
        <v>Shopping LeblonResíduosGPS</v>
      </c>
    </row>
    <row r="38" spans="3:8" ht="16" thickBot="1">
      <c r="C38" s="26" t="s">
        <v>20</v>
      </c>
      <c r="D38" s="2" t="s">
        <v>25</v>
      </c>
      <c r="E38" s="164" t="s">
        <v>40</v>
      </c>
      <c r="F38" s="90" t="s">
        <v>492</v>
      </c>
      <c r="G38" s="155">
        <v>10</v>
      </c>
      <c r="H38" s="153" t="str">
        <f>Tabela11[[#This Row],[Unidade]]&amp;Tabela11[[#This Row],[Categoria]]&amp;Tabela11[[#This Row],[Fornecedor]]</f>
        <v>Shopping LeblonManutençãoGPS</v>
      </c>
    </row>
    <row r="39" spans="3:8" ht="16" thickBot="1">
      <c r="C39" s="26" t="s">
        <v>20</v>
      </c>
      <c r="D39" s="2" t="s">
        <v>26</v>
      </c>
      <c r="E39" s="164" t="s">
        <v>70</v>
      </c>
      <c r="F39" s="90" t="s">
        <v>492</v>
      </c>
      <c r="G39" s="155">
        <v>10</v>
      </c>
      <c r="H39" s="153" t="str">
        <f>Tabela11[[#This Row],[Unidade]]&amp;Tabela11[[#This Row],[Categoria]]&amp;Tabela11[[#This Row],[Fornecedor]]</f>
        <v>Shopping LeblonPMOCTecnitest</v>
      </c>
    </row>
    <row r="40" spans="3:8" ht="16" thickBot="1">
      <c r="C40" s="26" t="s">
        <v>20</v>
      </c>
      <c r="D40" s="2" t="s">
        <v>28</v>
      </c>
      <c r="E40" s="164" t="s">
        <v>37</v>
      </c>
      <c r="F40" s="90" t="s">
        <v>492</v>
      </c>
      <c r="G40" s="155">
        <v>10</v>
      </c>
      <c r="H40" s="153" t="str">
        <f>Tabela11[[#This Row],[Unidade]]&amp;Tabela11[[#This Row],[Categoria]]&amp;Tabela11[[#This Row],[Fornecedor]]</f>
        <v>Shopping LeblonBrigada de IncêndioFTR</v>
      </c>
    </row>
    <row r="41" spans="3:8" ht="16" thickBot="1">
      <c r="C41" s="26" t="s">
        <v>20</v>
      </c>
      <c r="D41" s="2" t="s">
        <v>33</v>
      </c>
      <c r="E41" s="164" t="s">
        <v>137</v>
      </c>
      <c r="F41" s="90" t="s">
        <v>492</v>
      </c>
      <c r="G41" s="155">
        <v>10</v>
      </c>
      <c r="H41" s="153" t="str">
        <f>Tabela11[[#This Row],[Unidade]]&amp;Tabela11[[#This Row],[Categoria]]&amp;Tabela11[[#This Row],[Fornecedor]]</f>
        <v>Shopping LeblonJardinagemFloreada</v>
      </c>
    </row>
    <row r="42" spans="3:8" ht="16" thickBot="1">
      <c r="C42" s="26" t="s">
        <v>20</v>
      </c>
      <c r="D42" s="2" t="s">
        <v>29</v>
      </c>
      <c r="E42" s="164" t="s">
        <v>38</v>
      </c>
      <c r="F42" s="90" t="s">
        <v>492</v>
      </c>
      <c r="G42" s="155">
        <v>10</v>
      </c>
      <c r="H42" s="153" t="str">
        <f>Tabela11[[#This Row],[Unidade]]&amp;Tabela11[[#This Row],[Categoria]]&amp;Tabela11[[#This Row],[Fornecedor]]</f>
        <v>Shopping LeblonEstacionamentoÍndigo</v>
      </c>
    </row>
    <row r="43" spans="3:8" ht="31.5" thickBot="1">
      <c r="C43" s="26" t="s">
        <v>20</v>
      </c>
      <c r="D43" s="2" t="s">
        <v>158</v>
      </c>
      <c r="E43" s="164" t="s">
        <v>38</v>
      </c>
      <c r="F43" s="90" t="s">
        <v>492</v>
      </c>
      <c r="G43" s="155">
        <v>10</v>
      </c>
      <c r="H43" s="153" t="str">
        <f>Tabela11[[#This Row],[Unidade]]&amp;Tabela11[[#This Row],[Categoria]]&amp;Tabela11[[#This Row],[Fornecedor]]</f>
        <v>Shopping LeblonEstacionamento|Portaria 1 atendente 6x1Índigo</v>
      </c>
    </row>
    <row r="44" spans="3:8" ht="16" thickBot="1">
      <c r="C44" s="26" t="s">
        <v>21</v>
      </c>
      <c r="D44" s="2" t="s">
        <v>28</v>
      </c>
      <c r="E44" s="164" t="s">
        <v>95</v>
      </c>
      <c r="F44" s="90" t="s">
        <v>492</v>
      </c>
      <c r="G44" s="155">
        <v>20</v>
      </c>
      <c r="H44" s="153" t="str">
        <f>Tabela11[[#This Row],[Unidade]]&amp;Tabela11[[#This Row],[Categoria]]&amp;Tabela11[[#This Row],[Fornecedor]]</f>
        <v>Shopping Vila VelhaBrigada de IncêndioBrasil Gestão</v>
      </c>
    </row>
    <row r="45" spans="3:8" ht="16" thickBot="1">
      <c r="C45" s="26" t="s">
        <v>21</v>
      </c>
      <c r="D45" s="2" t="s">
        <v>30</v>
      </c>
      <c r="E45" s="164" t="s">
        <v>40</v>
      </c>
      <c r="F45" s="90" t="s">
        <v>492</v>
      </c>
      <c r="G45" s="155">
        <v>20</v>
      </c>
      <c r="H45" s="153" t="str">
        <f>Tabela11[[#This Row],[Unidade]]&amp;Tabela11[[#This Row],[Categoria]]&amp;Tabela11[[#This Row],[Fornecedor]]</f>
        <v>Shopping Vila VelhaLimpezaGPS</v>
      </c>
    </row>
    <row r="46" spans="3:8" ht="16" thickBot="1">
      <c r="C46" s="26" t="s">
        <v>21</v>
      </c>
      <c r="D46" s="2" t="s">
        <v>25</v>
      </c>
      <c r="E46" s="164" t="s">
        <v>41</v>
      </c>
      <c r="F46" s="90" t="s">
        <v>492</v>
      </c>
      <c r="G46" s="155">
        <v>20</v>
      </c>
      <c r="H46" s="153" t="str">
        <f>Tabela11[[#This Row],[Unidade]]&amp;Tabela11[[#This Row],[Categoria]]&amp;Tabela11[[#This Row],[Fornecedor]]</f>
        <v>Shopping Vila VelhaManutençãoBrasanitas</v>
      </c>
    </row>
    <row r="47" spans="3:8" ht="16" thickBot="1">
      <c r="C47" s="26" t="s">
        <v>21</v>
      </c>
      <c r="D47" s="2" t="s">
        <v>26</v>
      </c>
      <c r="E47" s="164" t="s">
        <v>41</v>
      </c>
      <c r="F47" s="90" t="s">
        <v>492</v>
      </c>
      <c r="G47" s="155">
        <v>20</v>
      </c>
      <c r="H47" s="153" t="str">
        <f>Tabela11[[#This Row],[Unidade]]&amp;Tabela11[[#This Row],[Categoria]]&amp;Tabela11[[#This Row],[Fornecedor]]</f>
        <v>Shopping Vila VelhaPMOCBrasanitas</v>
      </c>
    </row>
    <row r="48" spans="3:8" ht="16" thickBot="1">
      <c r="C48" s="26" t="s">
        <v>21</v>
      </c>
      <c r="D48" s="2" t="s">
        <v>31</v>
      </c>
      <c r="E48" s="164" t="s">
        <v>40</v>
      </c>
      <c r="F48" s="90" t="s">
        <v>492</v>
      </c>
      <c r="G48" s="155">
        <v>20</v>
      </c>
      <c r="H48" s="153" t="str">
        <f>Tabela11[[#This Row],[Unidade]]&amp;Tabela11[[#This Row],[Categoria]]&amp;Tabela11[[#This Row],[Fornecedor]]</f>
        <v>Shopping Vila VelhaPortariaGPS</v>
      </c>
    </row>
    <row r="49" spans="3:8" ht="16" thickBot="1">
      <c r="C49" s="26" t="s">
        <v>21</v>
      </c>
      <c r="D49" s="2" t="s">
        <v>32</v>
      </c>
      <c r="E49" s="164" t="s">
        <v>40</v>
      </c>
      <c r="F49" s="90" t="s">
        <v>492</v>
      </c>
      <c r="G49" s="155">
        <v>20</v>
      </c>
      <c r="H49" s="153" t="str">
        <f>Tabela11[[#This Row],[Unidade]]&amp;Tabela11[[#This Row],[Categoria]]&amp;Tabela11[[#This Row],[Fornecedor]]</f>
        <v>Shopping Vila VelhaVigilânciaGPS</v>
      </c>
    </row>
    <row r="50" spans="3:8" ht="16" thickBot="1">
      <c r="C50" s="26" t="s">
        <v>11</v>
      </c>
      <c r="D50" s="2" t="s">
        <v>30</v>
      </c>
      <c r="E50" s="164" t="s">
        <v>56</v>
      </c>
      <c r="F50" s="90" t="s">
        <v>492</v>
      </c>
      <c r="G50" s="155">
        <v>20</v>
      </c>
      <c r="H50" s="153" t="str">
        <f>Tabela11[[#This Row],[Unidade]]&amp;Tabela11[[#This Row],[Categoria]]&amp;Tabela11[[#This Row],[Fornecedor]]</f>
        <v>Carioca ShoppingLimpezaNova Rio</v>
      </c>
    </row>
    <row r="51" spans="3:8" ht="16" thickBot="1">
      <c r="C51" s="26" t="s">
        <v>11</v>
      </c>
      <c r="D51" s="2" t="s">
        <v>35</v>
      </c>
      <c r="E51" s="164" t="s">
        <v>56</v>
      </c>
      <c r="F51" s="90" t="s">
        <v>492</v>
      </c>
      <c r="G51" s="155">
        <v>20</v>
      </c>
      <c r="H51" s="153" t="str">
        <f>Tabela11[[#This Row],[Unidade]]&amp;Tabela11[[#This Row],[Categoria]]&amp;Tabela11[[#This Row],[Fornecedor]]</f>
        <v>Carioca ShoppingResíduosNova Rio</v>
      </c>
    </row>
    <row r="52" spans="3:8" ht="16" thickBot="1">
      <c r="C52" s="26" t="s">
        <v>11</v>
      </c>
      <c r="D52" s="2" t="s">
        <v>28</v>
      </c>
      <c r="E52" s="164" t="s">
        <v>37</v>
      </c>
      <c r="F52" s="90" t="s">
        <v>492</v>
      </c>
      <c r="G52" s="155">
        <v>20</v>
      </c>
      <c r="H52" s="153" t="str">
        <f>Tabela11[[#This Row],[Unidade]]&amp;Tabela11[[#This Row],[Categoria]]&amp;Tabela11[[#This Row],[Fornecedor]]</f>
        <v>Carioca ShoppingBrigada de IncêndioFTR</v>
      </c>
    </row>
    <row r="53" spans="3:8" ht="16" thickBot="1">
      <c r="C53" s="26" t="s">
        <v>11</v>
      </c>
      <c r="D53" s="2" t="s">
        <v>32</v>
      </c>
      <c r="E53" s="164" t="s">
        <v>40</v>
      </c>
      <c r="F53" s="90" t="s">
        <v>492</v>
      </c>
      <c r="G53" s="155">
        <v>20</v>
      </c>
      <c r="H53" s="153" t="str">
        <f>Tabela11[[#This Row],[Unidade]]&amp;Tabela11[[#This Row],[Categoria]]&amp;Tabela11[[#This Row],[Fornecedor]]</f>
        <v>Carioca ShoppingVigilânciaGPS</v>
      </c>
    </row>
    <row r="54" spans="3:8" ht="16" thickBot="1">
      <c r="C54" s="26" t="s">
        <v>11</v>
      </c>
      <c r="D54" s="2" t="s">
        <v>31</v>
      </c>
      <c r="E54" s="164" t="s">
        <v>40</v>
      </c>
      <c r="F54" s="90" t="s">
        <v>492</v>
      </c>
      <c r="G54" s="155">
        <v>20</v>
      </c>
      <c r="H54" s="153" t="str">
        <f>Tabela11[[#This Row],[Unidade]]&amp;Tabela11[[#This Row],[Categoria]]&amp;Tabela11[[#This Row],[Fornecedor]]</f>
        <v>Carioca ShoppingPortariaGPS</v>
      </c>
    </row>
    <row r="55" spans="3:8" ht="16" thickBot="1">
      <c r="C55" s="26" t="s">
        <v>11</v>
      </c>
      <c r="D55" s="2" t="s">
        <v>29</v>
      </c>
      <c r="E55" s="164" t="s">
        <v>80</v>
      </c>
      <c r="F55" s="90" t="s">
        <v>492</v>
      </c>
      <c r="G55" s="155">
        <v>20</v>
      </c>
      <c r="H55" s="153" t="str">
        <f>Tabela11[[#This Row],[Unidade]]&amp;Tabela11[[#This Row],[Categoria]]&amp;Tabela11[[#This Row],[Fornecedor]]</f>
        <v>Carioca ShoppingEstacionamentoAuto Park</v>
      </c>
    </row>
    <row r="56" spans="3:8" ht="16" thickBot="1">
      <c r="C56" s="26" t="s">
        <v>17</v>
      </c>
      <c r="D56" s="2" t="s">
        <v>28</v>
      </c>
      <c r="E56" s="164" t="s">
        <v>37</v>
      </c>
      <c r="F56" s="90" t="s">
        <v>492</v>
      </c>
      <c r="G56" s="155">
        <v>20</v>
      </c>
      <c r="H56" s="153" t="str">
        <f>Tabela11[[#This Row],[Unidade]]&amp;Tabela11[[#This Row],[Categoria]]&amp;Tabela11[[#This Row],[Fornecedor]]</f>
        <v>Recreio ShoppingBrigada de IncêndioFTR</v>
      </c>
    </row>
    <row r="57" spans="3:8" ht="16" thickBot="1">
      <c r="C57" s="26" t="s">
        <v>17</v>
      </c>
      <c r="D57" s="2" t="s">
        <v>33</v>
      </c>
      <c r="E57" s="164" t="s">
        <v>73</v>
      </c>
      <c r="F57" s="90" t="s">
        <v>492</v>
      </c>
      <c r="G57" s="155">
        <v>20</v>
      </c>
      <c r="H57" s="153" t="str">
        <f>Tabela11[[#This Row],[Unidade]]&amp;Tabela11[[#This Row],[Categoria]]&amp;Tabela11[[#This Row],[Fornecedor]]</f>
        <v>Recreio ShoppingJardinagemSeleto</v>
      </c>
    </row>
    <row r="58" spans="3:8" ht="16" thickBot="1">
      <c r="C58" s="26" t="s">
        <v>17</v>
      </c>
      <c r="D58" s="2" t="s">
        <v>30</v>
      </c>
      <c r="E58" s="164" t="s">
        <v>68</v>
      </c>
      <c r="F58" s="90" t="s">
        <v>492</v>
      </c>
      <c r="G58" s="155">
        <v>20</v>
      </c>
      <c r="H58" s="153" t="str">
        <f>Tabela11[[#This Row],[Unidade]]&amp;Tabela11[[#This Row],[Categoria]]&amp;Tabela11[[#This Row],[Fornecedor]]</f>
        <v>Recreio ShoppingLimpezaGrupo Serval</v>
      </c>
    </row>
    <row r="59" spans="3:8" ht="16" thickBot="1">
      <c r="C59" s="26" t="s">
        <v>17</v>
      </c>
      <c r="D59" s="2" t="s">
        <v>25</v>
      </c>
      <c r="E59" s="164" t="s">
        <v>40</v>
      </c>
      <c r="F59" s="90" t="s">
        <v>492</v>
      </c>
      <c r="G59" s="155">
        <v>20</v>
      </c>
      <c r="H59" s="153" t="str">
        <f>Tabela11[[#This Row],[Unidade]]&amp;Tabela11[[#This Row],[Categoria]]&amp;Tabela11[[#This Row],[Fornecedor]]</f>
        <v>Recreio ShoppingManutençãoGPS</v>
      </c>
    </row>
    <row r="60" spans="3:8" ht="16" thickBot="1">
      <c r="C60" s="26" t="s">
        <v>17</v>
      </c>
      <c r="D60" s="2" t="s">
        <v>26</v>
      </c>
      <c r="E60" s="164" t="s">
        <v>128</v>
      </c>
      <c r="F60" s="90" t="s">
        <v>492</v>
      </c>
      <c r="G60" s="155">
        <v>20</v>
      </c>
      <c r="H60" s="153" t="str">
        <f>Tabela11[[#This Row],[Unidade]]&amp;Tabela11[[#This Row],[Categoria]]&amp;Tabela11[[#This Row],[Fornecedor]]</f>
        <v>Recreio ShoppingPMOCEMOAR</v>
      </c>
    </row>
    <row r="61" spans="3:8" ht="16" thickBot="1">
      <c r="C61" s="26" t="s">
        <v>17</v>
      </c>
      <c r="D61" s="2" t="s">
        <v>31</v>
      </c>
      <c r="E61" s="164" t="s">
        <v>40</v>
      </c>
      <c r="F61" s="90" t="s">
        <v>492</v>
      </c>
      <c r="G61" s="155">
        <v>20</v>
      </c>
      <c r="H61" s="153" t="str">
        <f>Tabela11[[#This Row],[Unidade]]&amp;Tabela11[[#This Row],[Categoria]]&amp;Tabela11[[#This Row],[Fornecedor]]</f>
        <v>Recreio ShoppingPortariaGPS</v>
      </c>
    </row>
    <row r="62" spans="3:8" ht="16" thickBot="1">
      <c r="C62" s="26" t="s">
        <v>17</v>
      </c>
      <c r="D62" s="2" t="s">
        <v>32</v>
      </c>
      <c r="E62" s="164" t="s">
        <v>40</v>
      </c>
      <c r="F62" s="90" t="s">
        <v>492</v>
      </c>
      <c r="G62" s="155">
        <v>20</v>
      </c>
      <c r="H62" s="153" t="str">
        <f>Tabela11[[#This Row],[Unidade]]&amp;Tabela11[[#This Row],[Categoria]]&amp;Tabela11[[#This Row],[Fornecedor]]</f>
        <v>Recreio ShoppingVigilânciaGPS</v>
      </c>
    </row>
    <row r="63" spans="3:8" ht="16" thickBot="1">
      <c r="C63" s="26" t="s">
        <v>15</v>
      </c>
      <c r="D63" s="2" t="s">
        <v>28</v>
      </c>
      <c r="E63" s="164" t="s">
        <v>63</v>
      </c>
      <c r="F63" s="90" t="s">
        <v>492</v>
      </c>
      <c r="G63" s="155">
        <v>1</v>
      </c>
      <c r="H63" s="153" t="str">
        <f>Tabela11[[#This Row],[Unidade]]&amp;Tabela11[[#This Row],[Categoria]]&amp;Tabela11[[#This Row],[Fornecedor]]</f>
        <v>Passeio ShoppingBrigada de IncêndioGrupo JLR</v>
      </c>
    </row>
    <row r="64" spans="3:8" ht="16" thickBot="1">
      <c r="C64" s="26" t="s">
        <v>15</v>
      </c>
      <c r="D64" s="2" t="s">
        <v>30</v>
      </c>
      <c r="E64" s="164" t="s">
        <v>73</v>
      </c>
      <c r="F64" s="90" t="s">
        <v>492</v>
      </c>
      <c r="G64" s="155">
        <v>1</v>
      </c>
      <c r="H64" s="153" t="str">
        <f>Tabela11[[#This Row],[Unidade]]&amp;Tabela11[[#This Row],[Categoria]]&amp;Tabela11[[#This Row],[Fornecedor]]</f>
        <v>Passeio ShoppingLimpezaSeleto</v>
      </c>
    </row>
    <row r="65" spans="3:8" ht="16" thickBot="1">
      <c r="C65" s="26" t="s">
        <v>15</v>
      </c>
      <c r="D65" s="2" t="s">
        <v>25</v>
      </c>
      <c r="E65" s="164" t="s">
        <v>40</v>
      </c>
      <c r="F65" s="90" t="s">
        <v>492</v>
      </c>
      <c r="G65" s="155">
        <v>1</v>
      </c>
      <c r="H65" s="153" t="str">
        <f>Tabela11[[#This Row],[Unidade]]&amp;Tabela11[[#This Row],[Categoria]]&amp;Tabela11[[#This Row],[Fornecedor]]</f>
        <v>Passeio ShoppingManutençãoGPS</v>
      </c>
    </row>
    <row r="66" spans="3:8" ht="16" thickBot="1">
      <c r="C66" s="26" t="s">
        <v>15</v>
      </c>
      <c r="D66" s="2" t="s">
        <v>26</v>
      </c>
      <c r="E66" s="164" t="s">
        <v>70</v>
      </c>
      <c r="F66" s="90" t="s">
        <v>492</v>
      </c>
      <c r="G66" s="155">
        <v>1</v>
      </c>
      <c r="H66" s="153" t="str">
        <f>Tabela11[[#This Row],[Unidade]]&amp;Tabela11[[#This Row],[Categoria]]&amp;Tabela11[[#This Row],[Fornecedor]]</f>
        <v>Passeio ShoppingPMOCTecnitest</v>
      </c>
    </row>
    <row r="67" spans="3:8" ht="16" thickBot="1">
      <c r="C67" s="26" t="s">
        <v>15</v>
      </c>
      <c r="D67" s="2" t="s">
        <v>31</v>
      </c>
      <c r="E67" s="164" t="s">
        <v>73</v>
      </c>
      <c r="F67" s="90" t="s">
        <v>492</v>
      </c>
      <c r="G67" s="155">
        <v>1</v>
      </c>
      <c r="H67" s="153" t="str">
        <f>Tabela11[[#This Row],[Unidade]]&amp;Tabela11[[#This Row],[Categoria]]&amp;Tabela11[[#This Row],[Fornecedor]]</f>
        <v>Passeio ShoppingPortariaSeleto</v>
      </c>
    </row>
    <row r="68" spans="3:8" ht="16" thickBot="1">
      <c r="C68" s="26" t="s">
        <v>15</v>
      </c>
      <c r="D68" s="2" t="s">
        <v>32</v>
      </c>
      <c r="E68" s="164" t="s">
        <v>73</v>
      </c>
      <c r="F68" s="90" t="s">
        <v>492</v>
      </c>
      <c r="G68" s="155">
        <v>1</v>
      </c>
      <c r="H68" s="153" t="str">
        <f>Tabela11[[#This Row],[Unidade]]&amp;Tabela11[[#This Row],[Categoria]]&amp;Tabela11[[#This Row],[Fornecedor]]</f>
        <v>Passeio ShoppingVigilânciaSeleto</v>
      </c>
    </row>
    <row r="69" spans="3:8" ht="16" thickBot="1">
      <c r="C69" s="26"/>
      <c r="D69" s="2"/>
      <c r="E69" s="164"/>
      <c r="F69" s="90"/>
      <c r="G69" s="155"/>
      <c r="H69" s="153" t="str">
        <f>Tabela11[[#This Row],[Unidade]]&amp;Tabela11[[#This Row],[Categoria]]&amp;Tabela11[[#This Row],[Fornecedor]]</f>
        <v/>
      </c>
    </row>
    <row r="70" spans="3:8" ht="16" thickBot="1">
      <c r="C70" s="26"/>
      <c r="D70" s="2"/>
      <c r="E70" s="164"/>
      <c r="F70" s="90"/>
      <c r="G70" s="155"/>
      <c r="H70" s="153" t="str">
        <f>Tabela11[[#This Row],[Unidade]]&amp;Tabela11[[#This Row],[Categoria]]&amp;Tabela11[[#This Row],[Fornecedor]]</f>
        <v/>
      </c>
    </row>
    <row r="71" spans="3:8" ht="16" thickBot="1">
      <c r="C71" s="26"/>
      <c r="D71" s="2"/>
      <c r="E71" s="164"/>
      <c r="F71" s="90"/>
      <c r="G71" s="155"/>
      <c r="H71" s="153" t="str">
        <f>Tabela11[[#This Row],[Unidade]]&amp;Tabela11[[#This Row],[Categoria]]&amp;Tabela11[[#This Row],[Fornecedor]]</f>
        <v/>
      </c>
    </row>
    <row r="72" spans="3:8" ht="16" thickBot="1">
      <c r="C72" s="26"/>
      <c r="D72" s="2"/>
      <c r="E72" s="164"/>
      <c r="F72" s="90"/>
      <c r="G72" s="155"/>
      <c r="H72" s="153" t="str">
        <f>Tabela11[[#This Row],[Unidade]]&amp;Tabela11[[#This Row],[Categoria]]&amp;Tabela11[[#This Row],[Fornecedor]]</f>
        <v/>
      </c>
    </row>
    <row r="73" spans="3:8" ht="16" thickBot="1">
      <c r="C73" s="26"/>
      <c r="D73" s="2"/>
      <c r="E73" s="164"/>
      <c r="F73" s="90"/>
      <c r="G73" s="155"/>
      <c r="H73" s="153" t="str">
        <f>Tabela11[[#This Row],[Unidade]]&amp;Tabela11[[#This Row],[Categoria]]&amp;Tabela11[[#This Row],[Fornecedor]]</f>
        <v/>
      </c>
    </row>
    <row r="74" spans="3:8" ht="16" thickBot="1">
      <c r="C74" s="26"/>
      <c r="D74" s="2"/>
      <c r="E74" s="164"/>
      <c r="F74" s="90"/>
      <c r="G74" s="155"/>
      <c r="H74" s="153" t="str">
        <f>Tabela11[[#This Row],[Unidade]]&amp;Tabela11[[#This Row],[Categoria]]&amp;Tabela11[[#This Row],[Fornecedor]]</f>
        <v/>
      </c>
    </row>
    <row r="75" spans="3:8" ht="15.5">
      <c r="C75" s="66"/>
      <c r="D75" s="90"/>
      <c r="E75" s="165"/>
      <c r="F75" s="90"/>
      <c r="G75" s="155"/>
      <c r="H75" s="153" t="str">
        <f>Tabela11[[#This Row],[Unidade]]&amp;Tabela11[[#This Row],[Categoria]]&amp;Tabela11[[#This Row],[Fornecedor]]</f>
        <v/>
      </c>
    </row>
  </sheetData>
  <dataValidations count="2">
    <dataValidation type="list" allowBlank="1" showInputMessage="1" showErrorMessage="1" sqref="F2:F75" xr:uid="{19544013-E22C-4F77-9528-5B34A8CBED72}">
      <formula1>"Emissão no mês subsequente ao de prestação do serviço,Emissão no mês da prestação do serviço"</formula1>
    </dataValidation>
    <dataValidation type="list" allowBlank="1" showInputMessage="1" showErrorMessage="1" sqref="D69:D1048576 C69:C75 D1 E69:E75" xr:uid="{98525892-9868-4DE2-A09E-FDD45AECF7D6}">
      <formula1>#REF!</formula1>
    </dataValidation>
  </dataValidations>
  <pageMargins left="0.511811024" right="0.511811024" top="0.78740157499999996" bottom="0.78740157499999996" header="0.31496062000000002" footer="0.31496062000000002"/>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DE4B3DC-B3CD-40EE-8B23-5E4A51063C63}">
          <x14:formula1>
            <xm:f>Unidade!$A$2:$A$12</xm:f>
          </x14:formula1>
          <xm:sqref>C2:C68</xm:sqref>
        </x14:dataValidation>
        <x14:dataValidation type="list" allowBlank="1" showInputMessage="1" showErrorMessage="1" xr:uid="{E87244DD-E863-4FC0-8B88-663AAFBEB19E}">
          <x14:formula1>
            <xm:f>'Categoria'!$A$2:$A$19</xm:f>
          </x14:formula1>
          <xm:sqref>D2:D68</xm:sqref>
        </x14:dataValidation>
        <x14:dataValidation type="list" allowBlank="1" showInputMessage="1" showErrorMessage="1" xr:uid="{FF4219B8-E75F-4F9D-93C4-EA706447D3A8}">
          <x14:formula1>
            <xm:f>Fornecedor!$A$2:$A$91</xm:f>
          </x14:formula1>
          <xm:sqref>E2:E68</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079E9-5DAC-4B6E-9761-712536832F87}">
  <dimension ref="A1:BH246"/>
  <sheetViews>
    <sheetView topLeftCell="I102" zoomScale="70" zoomScaleNormal="70" workbookViewId="0">
      <selection activeCell="L116" sqref="L116"/>
    </sheetView>
  </sheetViews>
  <sheetFormatPr defaultRowHeight="14.5"/>
  <cols>
    <col min="1" max="1" width="8" customWidth="1"/>
    <col min="2" max="2" width="8.6328125" bestFit="1" customWidth="1"/>
    <col min="3" max="3" width="18.54296875" customWidth="1"/>
    <col min="4" max="4" width="15.6328125" bestFit="1" customWidth="1"/>
    <col min="5" max="5" width="20.36328125" customWidth="1"/>
    <col min="6" max="6" width="18.6328125" hidden="1" customWidth="1"/>
    <col min="7" max="7" width="22.6328125" hidden="1" customWidth="1"/>
    <col min="8" max="8" width="43.36328125" bestFit="1" customWidth="1"/>
    <col min="9" max="10" width="23" customWidth="1"/>
    <col min="11" max="11" width="28.6328125" customWidth="1"/>
    <col min="12" max="12" width="27.36328125" customWidth="1"/>
    <col min="13" max="13" width="96" bestFit="1" customWidth="1"/>
    <col min="14" max="15" width="25.6328125" customWidth="1"/>
    <col min="16" max="16" width="24.6328125" customWidth="1"/>
    <col min="17" max="17" width="29" customWidth="1"/>
    <col min="18" max="18" width="24.36328125" bestFit="1" customWidth="1"/>
    <col min="19" max="19" width="32.6328125" bestFit="1" customWidth="1"/>
    <col min="20" max="20" width="32.36328125" bestFit="1" customWidth="1"/>
    <col min="21" max="21" width="12.453125" bestFit="1" customWidth="1"/>
    <col min="22" max="22" width="96.36328125" customWidth="1"/>
    <col min="23" max="23" width="53.6328125" customWidth="1"/>
    <col min="24" max="24" width="16.36328125" bestFit="1" customWidth="1"/>
    <col min="25" max="25" width="21.36328125" bestFit="1" customWidth="1"/>
    <col min="26" max="26" width="21.36328125" customWidth="1"/>
    <col min="27" max="27" width="19.6328125" customWidth="1"/>
    <col min="28" max="28" width="18.6328125" customWidth="1"/>
    <col min="29" max="29" width="16.453125" bestFit="1" customWidth="1"/>
    <col min="30" max="30" width="16.453125" customWidth="1"/>
    <col min="31" max="31" width="36.36328125" bestFit="1" customWidth="1"/>
    <col min="32" max="32" width="49.453125" bestFit="1" customWidth="1"/>
    <col min="33" max="33" width="12.36328125" bestFit="1" customWidth="1"/>
    <col min="34" max="34" width="18.36328125" bestFit="1" customWidth="1"/>
    <col min="35" max="37" width="22.36328125" customWidth="1"/>
    <col min="38" max="38" width="26.453125" customWidth="1"/>
    <col min="39" max="39" width="15.36328125" bestFit="1" customWidth="1"/>
    <col min="40" max="40" width="21.36328125" bestFit="1" customWidth="1"/>
    <col min="41" max="41" width="27.54296875" bestFit="1" customWidth="1"/>
    <col min="42" max="42" width="27.54296875" customWidth="1"/>
    <col min="43" max="43" width="15.36328125" customWidth="1"/>
    <col min="44" max="44" width="20.54296875" customWidth="1"/>
    <col min="45" max="45" width="22.54296875" bestFit="1" customWidth="1"/>
    <col min="46" max="47" width="20.54296875" customWidth="1"/>
    <col min="48" max="48" width="10.453125" bestFit="1" customWidth="1"/>
    <col min="49" max="50" width="14.6328125" bestFit="1" customWidth="1"/>
    <col min="51" max="51" width="9.453125" bestFit="1" customWidth="1"/>
    <col min="52" max="52" width="50" bestFit="1" customWidth="1"/>
    <col min="54" max="54" width="28.453125" customWidth="1"/>
    <col min="55" max="55" width="10.36328125" bestFit="1" customWidth="1"/>
    <col min="65" max="65" width="12.36328125" bestFit="1" customWidth="1"/>
    <col min="72" max="72" width="24" bestFit="1" customWidth="1"/>
    <col min="73" max="73" width="25.36328125" bestFit="1" customWidth="1"/>
    <col min="74" max="74" width="23.54296875" bestFit="1" customWidth="1"/>
    <col min="75" max="75" width="24.6328125" bestFit="1" customWidth="1"/>
    <col min="76" max="76" width="23.6328125" bestFit="1" customWidth="1"/>
    <col min="82" max="82" width="23.54296875" bestFit="1" customWidth="1"/>
    <col min="85" max="85" width="17.453125" bestFit="1" customWidth="1"/>
  </cols>
  <sheetData>
    <row r="1" spans="2:51" ht="13.5" customHeight="1">
      <c r="H1" t="s">
        <v>494</v>
      </c>
      <c r="U1">
        <v>45726</v>
      </c>
      <c r="V1" t="s">
        <v>495</v>
      </c>
      <c r="W1">
        <v>2.2222222222222223E-2</v>
      </c>
    </row>
    <row r="2" spans="2:51" ht="16.5" customHeight="1" thickBot="1">
      <c r="B2" s="270"/>
      <c r="U2">
        <v>45718</v>
      </c>
      <c r="V2" t="s">
        <v>496</v>
      </c>
      <c r="W2">
        <v>1.7361111111111112E-2</v>
      </c>
      <c r="X2" s="253" t="s">
        <v>497</v>
      </c>
      <c r="Y2" s="254" t="s">
        <v>498</v>
      </c>
      <c r="Z2" s="255">
        <v>25.568000000000005</v>
      </c>
      <c r="AA2" s="256">
        <v>25.568000000000005</v>
      </c>
    </row>
    <row r="3" spans="2:51" ht="15.65" customHeight="1" thickBot="1">
      <c r="B3" s="366" t="s">
        <v>499</v>
      </c>
      <c r="C3" s="367"/>
      <c r="D3" s="367"/>
      <c r="E3" s="367"/>
      <c r="F3" s="367"/>
      <c r="G3" s="367"/>
      <c r="H3" s="367"/>
      <c r="I3" s="367"/>
      <c r="J3" s="368"/>
      <c r="K3" s="320"/>
      <c r="U3">
        <v>45718</v>
      </c>
      <c r="V3" t="s">
        <v>500</v>
      </c>
      <c r="W3">
        <v>0.45833333333333331</v>
      </c>
      <c r="X3" s="253" t="s">
        <v>497</v>
      </c>
      <c r="Y3" s="254" t="s">
        <v>498</v>
      </c>
      <c r="Z3" s="255">
        <v>19.087500000000002</v>
      </c>
      <c r="AA3" s="256">
        <v>19.087500000000002</v>
      </c>
    </row>
    <row r="4" spans="2:51" ht="15" customHeight="1" thickBot="1">
      <c r="B4" s="321" t="s">
        <v>501</v>
      </c>
      <c r="C4" s="322" t="s">
        <v>502</v>
      </c>
      <c r="D4" s="322" t="s">
        <v>503</v>
      </c>
      <c r="E4" s="369" t="s">
        <v>504</v>
      </c>
      <c r="F4" s="370"/>
      <c r="G4" s="369" t="s">
        <v>505</v>
      </c>
      <c r="H4" s="370"/>
      <c r="I4" s="369" t="s">
        <v>506</v>
      </c>
      <c r="J4" s="370"/>
      <c r="K4" s="322" t="s">
        <v>313</v>
      </c>
      <c r="U4">
        <v>45727</v>
      </c>
      <c r="V4" t="s">
        <v>507</v>
      </c>
      <c r="W4">
        <v>0.33333333333333331</v>
      </c>
      <c r="X4" s="253" t="s">
        <v>497</v>
      </c>
      <c r="Y4" s="254" t="s">
        <v>498</v>
      </c>
      <c r="Z4" s="255">
        <v>671.87999999999988</v>
      </c>
      <c r="AA4" s="256">
        <v>671.87999999999988</v>
      </c>
    </row>
    <row r="5" spans="2:51" ht="16.5" customHeight="1" thickBot="1">
      <c r="B5" s="323">
        <v>45902</v>
      </c>
      <c r="C5" s="324" t="s">
        <v>508</v>
      </c>
      <c r="D5" s="325" t="s">
        <v>509</v>
      </c>
      <c r="E5" s="371">
        <v>12</v>
      </c>
      <c r="F5" s="372"/>
      <c r="G5" s="371">
        <v>9</v>
      </c>
      <c r="H5" s="372"/>
      <c r="I5" s="371">
        <v>3</v>
      </c>
      <c r="J5" s="372"/>
      <c r="K5" s="325" t="s">
        <v>510</v>
      </c>
      <c r="M5">
        <f>COUNTIFS(E5:F24,"12")</f>
        <v>10</v>
      </c>
      <c r="U5">
        <v>45719</v>
      </c>
      <c r="V5" t="s">
        <v>496</v>
      </c>
      <c r="W5">
        <v>1.3194444444444444E-2</v>
      </c>
      <c r="X5" s="253" t="s">
        <v>497</v>
      </c>
      <c r="Y5" s="254" t="s">
        <v>498</v>
      </c>
      <c r="Z5" s="255">
        <v>293.18399999999997</v>
      </c>
      <c r="AA5" s="256">
        <v>293.18399999999997</v>
      </c>
      <c r="AX5" s="315"/>
      <c r="AY5" s="316"/>
    </row>
    <row r="6" spans="2:51" ht="13.25" customHeight="1" thickBot="1">
      <c r="B6" s="323">
        <v>45902</v>
      </c>
      <c r="C6" s="324" t="s">
        <v>511</v>
      </c>
      <c r="D6" s="325" t="s">
        <v>512</v>
      </c>
      <c r="E6" s="371">
        <v>3</v>
      </c>
      <c r="F6" s="372"/>
      <c r="G6" s="373"/>
      <c r="H6" s="374"/>
      <c r="I6" s="371">
        <v>3</v>
      </c>
      <c r="J6" s="372"/>
      <c r="K6" s="325" t="s">
        <v>513</v>
      </c>
      <c r="U6">
        <v>45721</v>
      </c>
      <c r="V6" t="s">
        <v>514</v>
      </c>
      <c r="W6">
        <v>4.583333333333333E-2</v>
      </c>
      <c r="X6" s="253" t="s">
        <v>497</v>
      </c>
      <c r="Y6" s="254" t="s">
        <v>498</v>
      </c>
      <c r="Z6" s="255">
        <v>15.181000000000001</v>
      </c>
      <c r="AA6" s="256">
        <v>15.181000000000001</v>
      </c>
      <c r="AX6" s="317"/>
      <c r="AY6" s="318"/>
    </row>
    <row r="7" spans="2:51" ht="13.25" customHeight="1" thickBot="1">
      <c r="B7" s="323">
        <v>45904</v>
      </c>
      <c r="C7" s="324" t="s">
        <v>511</v>
      </c>
      <c r="D7" s="325" t="s">
        <v>512</v>
      </c>
      <c r="E7" s="371">
        <v>3</v>
      </c>
      <c r="F7" s="372"/>
      <c r="G7" s="373"/>
      <c r="H7" s="374"/>
      <c r="I7" s="371">
        <v>3</v>
      </c>
      <c r="J7" s="372"/>
      <c r="K7" s="325" t="s">
        <v>513</v>
      </c>
      <c r="U7">
        <v>45724</v>
      </c>
      <c r="V7" t="s">
        <v>515</v>
      </c>
      <c r="W7">
        <v>2.013888888888889E-2</v>
      </c>
      <c r="X7" s="253" t="s">
        <v>497</v>
      </c>
      <c r="Y7" s="254" t="s">
        <v>498</v>
      </c>
      <c r="Z7" s="255">
        <v>52.733999999999995</v>
      </c>
      <c r="AA7" s="256">
        <v>52.733999999999995</v>
      </c>
      <c r="AX7" s="317"/>
      <c r="AY7" s="318"/>
    </row>
    <row r="8" spans="2:51" ht="28.5" customHeight="1" thickBot="1">
      <c r="B8" s="323">
        <v>45904</v>
      </c>
      <c r="C8" s="324" t="s">
        <v>516</v>
      </c>
      <c r="D8" s="325" t="s">
        <v>509</v>
      </c>
      <c r="E8" s="371">
        <v>12</v>
      </c>
      <c r="F8" s="372"/>
      <c r="G8" s="371">
        <v>9</v>
      </c>
      <c r="H8" s="372"/>
      <c r="I8" s="371">
        <v>3</v>
      </c>
      <c r="J8" s="372"/>
      <c r="K8" s="325" t="s">
        <v>510</v>
      </c>
      <c r="U8">
        <v>45738</v>
      </c>
      <c r="V8" t="s">
        <v>517</v>
      </c>
      <c r="W8">
        <v>2.8472222222222222E-2</v>
      </c>
      <c r="X8" s="253" t="s">
        <v>497</v>
      </c>
      <c r="Y8" s="254" t="s">
        <v>498</v>
      </c>
      <c r="Z8" s="255">
        <v>23.171000000000006</v>
      </c>
      <c r="AA8" s="256">
        <v>23.171000000000006</v>
      </c>
      <c r="AX8" s="317"/>
      <c r="AY8" s="318"/>
    </row>
    <row r="9" spans="2:51" ht="23.9" customHeight="1" thickBot="1">
      <c r="B9" s="323">
        <v>45906</v>
      </c>
      <c r="C9" s="324" t="s">
        <v>518</v>
      </c>
      <c r="D9" s="325" t="s">
        <v>509</v>
      </c>
      <c r="E9" s="371">
        <v>12</v>
      </c>
      <c r="F9" s="372"/>
      <c r="G9" s="371">
        <v>9</v>
      </c>
      <c r="H9" s="372"/>
      <c r="I9" s="371">
        <v>3</v>
      </c>
      <c r="J9" s="372"/>
      <c r="K9" s="325" t="s">
        <v>510</v>
      </c>
      <c r="U9">
        <v>45724</v>
      </c>
      <c r="V9" t="s">
        <v>515</v>
      </c>
      <c r="W9">
        <v>2.6388888888888889E-2</v>
      </c>
      <c r="X9" s="253" t="s">
        <v>497</v>
      </c>
      <c r="Y9" s="254" t="s">
        <v>498</v>
      </c>
      <c r="Z9" s="255">
        <v>32.759</v>
      </c>
      <c r="AA9" s="256">
        <v>32.759</v>
      </c>
      <c r="AX9" s="317"/>
      <c r="AY9" s="318"/>
    </row>
    <row r="10" spans="2:51" ht="23.9" customHeight="1" thickBot="1">
      <c r="B10" s="323">
        <v>45907</v>
      </c>
      <c r="C10" s="324" t="s">
        <v>511</v>
      </c>
      <c r="D10" s="325" t="s">
        <v>509</v>
      </c>
      <c r="E10" s="371">
        <v>3</v>
      </c>
      <c r="F10" s="372"/>
      <c r="G10" s="373"/>
      <c r="H10" s="374"/>
      <c r="I10" s="371">
        <v>3</v>
      </c>
      <c r="J10" s="372"/>
      <c r="K10" s="325" t="s">
        <v>513</v>
      </c>
      <c r="U10">
        <v>45734</v>
      </c>
      <c r="V10" t="s">
        <v>519</v>
      </c>
      <c r="W10">
        <v>6.1805555555555558E-2</v>
      </c>
      <c r="X10" s="253" t="s">
        <v>497</v>
      </c>
      <c r="Y10" s="254" t="s">
        <v>498</v>
      </c>
      <c r="Z10" s="255">
        <v>32.043499999999995</v>
      </c>
      <c r="AA10" s="256">
        <v>32.043499999999995</v>
      </c>
      <c r="AO10" s="40"/>
      <c r="AP10" s="40"/>
      <c r="AX10" s="317"/>
      <c r="AY10" s="318"/>
    </row>
    <row r="11" spans="2:51" ht="23.9" customHeight="1" thickBot="1">
      <c r="B11" s="323">
        <v>45908</v>
      </c>
      <c r="C11" s="324" t="s">
        <v>520</v>
      </c>
      <c r="D11" s="325" t="s">
        <v>509</v>
      </c>
      <c r="E11" s="371">
        <v>12</v>
      </c>
      <c r="F11" s="372"/>
      <c r="G11" s="371">
        <v>9</v>
      </c>
      <c r="H11" s="372"/>
      <c r="I11" s="371">
        <v>3</v>
      </c>
      <c r="J11" s="372"/>
      <c r="K11" s="325" t="s">
        <v>510</v>
      </c>
      <c r="U11">
        <v>45738</v>
      </c>
      <c r="V11" t="s">
        <v>521</v>
      </c>
      <c r="W11">
        <v>3.4027777777777775E-2</v>
      </c>
      <c r="X11" s="253" t="s">
        <v>497</v>
      </c>
      <c r="Y11" s="254" t="s">
        <v>498</v>
      </c>
      <c r="Z11" s="255">
        <v>75.049250000000001</v>
      </c>
      <c r="AA11" s="256">
        <v>75.049250000000001</v>
      </c>
      <c r="AE11" s="363" t="s">
        <v>522</v>
      </c>
      <c r="AF11" s="364"/>
      <c r="AG11" s="364"/>
      <c r="AH11" s="364"/>
      <c r="AI11" s="364"/>
      <c r="AJ11" s="364"/>
      <c r="AK11" s="364"/>
      <c r="AL11" s="364"/>
      <c r="AX11" s="317"/>
      <c r="AY11" s="318"/>
    </row>
    <row r="12" spans="2:51" ht="23.9" customHeight="1" thickBot="1">
      <c r="B12" s="323">
        <v>45909</v>
      </c>
      <c r="C12" s="324" t="s">
        <v>511</v>
      </c>
      <c r="D12" s="325" t="s">
        <v>512</v>
      </c>
      <c r="E12" s="371">
        <v>3</v>
      </c>
      <c r="F12" s="372"/>
      <c r="G12" s="373"/>
      <c r="H12" s="374"/>
      <c r="I12" s="371">
        <v>3</v>
      </c>
      <c r="J12" s="372"/>
      <c r="K12" s="325" t="s">
        <v>513</v>
      </c>
      <c r="U12">
        <v>6</v>
      </c>
      <c r="V12" t="s">
        <v>356</v>
      </c>
      <c r="W12" t="s">
        <v>394</v>
      </c>
      <c r="X12" s="253" t="s">
        <v>497</v>
      </c>
      <c r="Y12" s="254" t="s">
        <v>498</v>
      </c>
      <c r="Z12" s="255">
        <v>41.31924999999999</v>
      </c>
      <c r="AA12" s="256">
        <v>41.31924999999999</v>
      </c>
      <c r="AE12" s="221" t="s">
        <v>312</v>
      </c>
      <c r="AF12" s="221" t="s">
        <v>523</v>
      </c>
      <c r="AG12" s="221" t="s">
        <v>524</v>
      </c>
      <c r="AH12" s="221" t="s">
        <v>525</v>
      </c>
      <c r="AI12" s="221" t="s">
        <v>526</v>
      </c>
      <c r="AJ12" s="227"/>
      <c r="AK12" s="227"/>
      <c r="AL12" s="227" t="s">
        <v>527</v>
      </c>
      <c r="AX12" s="317"/>
      <c r="AY12" s="318"/>
    </row>
    <row r="13" spans="2:51" ht="36" customHeight="1" thickBot="1">
      <c r="B13" s="323">
        <v>45916</v>
      </c>
      <c r="C13" s="324" t="s">
        <v>516</v>
      </c>
      <c r="D13" s="325" t="s">
        <v>509</v>
      </c>
      <c r="E13" s="371">
        <v>12</v>
      </c>
      <c r="F13" s="372"/>
      <c r="G13" s="371">
        <v>9</v>
      </c>
      <c r="H13" s="372"/>
      <c r="I13" s="371">
        <v>3</v>
      </c>
      <c r="J13" s="372"/>
      <c r="K13" s="325" t="s">
        <v>510</v>
      </c>
      <c r="X13" s="250" t="s">
        <v>528</v>
      </c>
      <c r="Y13" s="251">
        <v>45717</v>
      </c>
      <c r="Z13" s="252" t="s">
        <v>529</v>
      </c>
      <c r="AA13" s="257">
        <v>1</v>
      </c>
      <c r="AB13" s="253" t="s">
        <v>497</v>
      </c>
      <c r="AC13" s="254" t="s">
        <v>530</v>
      </c>
      <c r="AD13" s="255">
        <v>-191.96</v>
      </c>
      <c r="AE13" s="256">
        <v>-191.96</v>
      </c>
      <c r="AI13" s="224" t="s">
        <v>531</v>
      </c>
      <c r="AJ13" s="223"/>
      <c r="AK13" s="223"/>
      <c r="AL13" s="223" t="s">
        <v>532</v>
      </c>
      <c r="AM13" s="226">
        <v>0.5</v>
      </c>
      <c r="AN13" s="228">
        <f t="shared" ref="AN13:AN19" si="0">AM13*24</f>
        <v>12</v>
      </c>
      <c r="AO13" s="225" t="s">
        <v>380</v>
      </c>
      <c r="AP13" s="306"/>
      <c r="AX13" s="317"/>
      <c r="AY13" s="318"/>
    </row>
    <row r="14" spans="2:51" ht="23.9" customHeight="1" thickBot="1">
      <c r="B14" s="323">
        <v>45916</v>
      </c>
      <c r="C14" s="324" t="s">
        <v>533</v>
      </c>
      <c r="D14" s="325" t="s">
        <v>534</v>
      </c>
      <c r="E14" s="371">
        <v>9</v>
      </c>
      <c r="F14" s="372"/>
      <c r="G14" s="371">
        <v>9</v>
      </c>
      <c r="H14" s="372"/>
      <c r="I14" s="373"/>
      <c r="J14" s="374"/>
      <c r="K14" s="325" t="s">
        <v>510</v>
      </c>
      <c r="X14" s="250"/>
      <c r="Y14" s="251"/>
      <c r="Z14" s="252"/>
      <c r="AA14" s="257"/>
      <c r="AB14" s="253"/>
      <c r="AC14" s="254"/>
      <c r="AD14" s="255"/>
      <c r="AE14" s="256"/>
      <c r="AI14" s="224"/>
      <c r="AJ14" s="223"/>
      <c r="AK14" s="223"/>
      <c r="AL14" s="223"/>
      <c r="AM14" s="226"/>
      <c r="AN14" s="228"/>
      <c r="AO14" s="225"/>
      <c r="AP14" s="306"/>
      <c r="AX14" s="317"/>
      <c r="AY14" s="318"/>
    </row>
    <row r="15" spans="2:51" ht="23.9" customHeight="1" thickBot="1">
      <c r="B15" s="323">
        <v>45917</v>
      </c>
      <c r="C15" s="324" t="s">
        <v>535</v>
      </c>
      <c r="D15" s="325" t="s">
        <v>536</v>
      </c>
      <c r="E15" s="371">
        <v>3.5</v>
      </c>
      <c r="F15" s="372"/>
      <c r="G15" s="371">
        <v>3.5</v>
      </c>
      <c r="H15" s="372"/>
      <c r="I15" s="373"/>
      <c r="J15" s="374"/>
      <c r="K15" s="325" t="s">
        <v>513</v>
      </c>
      <c r="X15" s="250"/>
      <c r="Y15" s="251"/>
      <c r="Z15" s="252"/>
      <c r="AA15" s="257"/>
      <c r="AB15" s="253"/>
      <c r="AC15" s="254"/>
      <c r="AD15" s="255"/>
      <c r="AE15" s="256"/>
      <c r="AI15" s="224"/>
      <c r="AJ15" s="223"/>
      <c r="AK15" s="223"/>
      <c r="AL15" s="223"/>
      <c r="AM15" s="226"/>
      <c r="AN15" s="228"/>
      <c r="AO15" s="225"/>
      <c r="AP15" s="306"/>
      <c r="AX15" s="317"/>
      <c r="AY15" s="318"/>
    </row>
    <row r="16" spans="2:51" ht="23.9" customHeight="1" thickBot="1">
      <c r="B16" s="323">
        <v>45919</v>
      </c>
      <c r="C16" s="324" t="s">
        <v>537</v>
      </c>
      <c r="D16" s="325" t="s">
        <v>509</v>
      </c>
      <c r="E16" s="371">
        <v>12</v>
      </c>
      <c r="F16" s="372"/>
      <c r="G16" s="371">
        <v>9</v>
      </c>
      <c r="H16" s="372"/>
      <c r="I16" s="371">
        <v>3</v>
      </c>
      <c r="J16" s="372"/>
      <c r="K16" s="325" t="s">
        <v>510</v>
      </c>
      <c r="X16" s="250"/>
      <c r="Y16" s="251"/>
      <c r="Z16" s="252"/>
      <c r="AA16" s="257"/>
      <c r="AB16" s="253"/>
      <c r="AC16" s="254"/>
      <c r="AD16" s="255"/>
      <c r="AE16" s="256"/>
      <c r="AI16" s="224"/>
      <c r="AJ16" s="223"/>
      <c r="AK16" s="223"/>
      <c r="AL16" s="223"/>
      <c r="AM16" s="226"/>
      <c r="AN16" s="228"/>
      <c r="AO16" s="225"/>
      <c r="AP16" s="306"/>
      <c r="AX16" s="317"/>
      <c r="AY16" s="318"/>
    </row>
    <row r="17" spans="2:60" ht="23.9" customHeight="1" thickBot="1">
      <c r="B17" s="323">
        <v>45921</v>
      </c>
      <c r="C17" s="324" t="s">
        <v>538</v>
      </c>
      <c r="D17" s="325" t="s">
        <v>539</v>
      </c>
      <c r="E17" s="371">
        <v>12</v>
      </c>
      <c r="F17" s="372"/>
      <c r="G17" s="371">
        <v>12</v>
      </c>
      <c r="H17" s="372"/>
      <c r="I17" s="373"/>
      <c r="J17" s="374"/>
      <c r="K17" s="325" t="s">
        <v>540</v>
      </c>
      <c r="X17" s="250"/>
      <c r="Y17" s="251"/>
      <c r="Z17" s="252"/>
      <c r="AA17" s="257"/>
      <c r="AB17" s="253"/>
      <c r="AC17" s="254"/>
      <c r="AD17" s="255"/>
      <c r="AE17" s="256"/>
      <c r="AI17" s="224"/>
      <c r="AJ17" s="223"/>
      <c r="AK17" s="223"/>
      <c r="AL17" s="223"/>
      <c r="AM17" s="226"/>
      <c r="AN17" s="228"/>
      <c r="AO17" s="225"/>
      <c r="AP17" s="306"/>
      <c r="AX17" s="317"/>
      <c r="AY17" s="318"/>
    </row>
    <row r="18" spans="2:60" ht="23.9" customHeight="1" thickBot="1">
      <c r="B18" s="323">
        <v>45921</v>
      </c>
      <c r="C18" s="324" t="s">
        <v>511</v>
      </c>
      <c r="D18" s="325" t="s">
        <v>509</v>
      </c>
      <c r="E18" s="371">
        <v>12</v>
      </c>
      <c r="F18" s="372"/>
      <c r="G18" s="371">
        <v>9</v>
      </c>
      <c r="H18" s="372"/>
      <c r="I18" s="371">
        <v>3</v>
      </c>
      <c r="J18" s="372"/>
      <c r="K18" s="325" t="s">
        <v>510</v>
      </c>
      <c r="U18">
        <v>1</v>
      </c>
      <c r="V18" t="s">
        <v>356</v>
      </c>
      <c r="W18" t="s">
        <v>394</v>
      </c>
      <c r="X18" s="250"/>
      <c r="Y18" s="251"/>
      <c r="Z18" s="252"/>
      <c r="AA18" s="257"/>
      <c r="AB18" s="253"/>
      <c r="AC18" s="254"/>
      <c r="AD18" s="255"/>
      <c r="AE18" s="256"/>
      <c r="AI18" s="224"/>
      <c r="AJ18" s="223"/>
      <c r="AK18" s="223"/>
      <c r="AL18" s="223"/>
      <c r="AM18" s="226"/>
      <c r="AN18" s="228"/>
      <c r="AO18" s="225"/>
      <c r="AP18" s="306"/>
      <c r="AX18" s="317"/>
      <c r="AY18" s="318"/>
    </row>
    <row r="19" spans="2:60" ht="23.9" customHeight="1" thickBot="1">
      <c r="B19" s="323">
        <v>45923</v>
      </c>
      <c r="C19" s="324" t="s">
        <v>511</v>
      </c>
      <c r="D19" s="325" t="s">
        <v>509</v>
      </c>
      <c r="E19" s="371">
        <v>12</v>
      </c>
      <c r="F19" s="372"/>
      <c r="G19" s="371">
        <v>9</v>
      </c>
      <c r="H19" s="372"/>
      <c r="I19" s="371">
        <v>3</v>
      </c>
      <c r="J19" s="372"/>
      <c r="K19" s="325" t="s">
        <v>510</v>
      </c>
      <c r="X19" s="250" t="s">
        <v>528</v>
      </c>
      <c r="Y19" s="251">
        <v>45721</v>
      </c>
      <c r="Z19" s="252" t="s">
        <v>529</v>
      </c>
      <c r="AA19" s="257">
        <v>1</v>
      </c>
      <c r="AB19" s="253" t="s">
        <v>497</v>
      </c>
      <c r="AC19" s="254" t="s">
        <v>530</v>
      </c>
      <c r="AD19" s="255">
        <v>-191.96</v>
      </c>
      <c r="AE19" s="256">
        <v>-191.96</v>
      </c>
      <c r="AI19" s="224" t="s">
        <v>531</v>
      </c>
      <c r="AJ19" s="223"/>
      <c r="AK19" s="223"/>
      <c r="AL19" s="223" t="s">
        <v>532</v>
      </c>
      <c r="AM19" s="226">
        <v>0.5</v>
      </c>
      <c r="AN19" s="228">
        <f t="shared" si="0"/>
        <v>12</v>
      </c>
      <c r="AO19" s="225" t="s">
        <v>380</v>
      </c>
      <c r="AP19" s="306"/>
      <c r="AX19" s="319"/>
      <c r="AY19" s="319"/>
    </row>
    <row r="20" spans="2:60" ht="23.9" customHeight="1" thickBot="1">
      <c r="B20" s="323">
        <v>45924</v>
      </c>
      <c r="C20" s="324" t="s">
        <v>511</v>
      </c>
      <c r="D20" s="325" t="s">
        <v>512</v>
      </c>
      <c r="E20" s="371">
        <v>3</v>
      </c>
      <c r="F20" s="372"/>
      <c r="G20" s="373"/>
      <c r="H20" s="374"/>
      <c r="I20" s="371">
        <v>3</v>
      </c>
      <c r="J20" s="372"/>
      <c r="K20" s="325" t="s">
        <v>510</v>
      </c>
      <c r="X20" s="250"/>
      <c r="Y20" s="251"/>
      <c r="Z20" s="252"/>
      <c r="AA20" s="257"/>
      <c r="AB20" s="253"/>
      <c r="AC20" s="254"/>
      <c r="AD20" s="255"/>
      <c r="AE20" s="256"/>
      <c r="AI20" s="224"/>
      <c r="AJ20" s="223"/>
      <c r="AK20" s="223"/>
      <c r="AL20" s="223"/>
      <c r="AM20" s="226"/>
      <c r="AN20" s="228"/>
      <c r="AO20" s="225"/>
      <c r="AP20" s="306"/>
      <c r="AX20" s="315"/>
      <c r="AY20" s="316"/>
    </row>
    <row r="21" spans="2:60" ht="23.9" customHeight="1" thickBot="1">
      <c r="B21" s="323">
        <v>45927</v>
      </c>
      <c r="C21" s="324" t="s">
        <v>541</v>
      </c>
      <c r="D21" s="325" t="s">
        <v>539</v>
      </c>
      <c r="E21" s="371">
        <v>12</v>
      </c>
      <c r="F21" s="372"/>
      <c r="G21" s="371">
        <v>12</v>
      </c>
      <c r="H21" s="372"/>
      <c r="I21" s="373"/>
      <c r="J21" s="374"/>
      <c r="K21" s="325" t="s">
        <v>540</v>
      </c>
      <c r="X21" s="250"/>
      <c r="Y21" s="251"/>
      <c r="Z21" s="252"/>
      <c r="AA21" s="257"/>
      <c r="AB21" s="253"/>
      <c r="AC21" s="254"/>
      <c r="AD21" s="255"/>
      <c r="AE21" s="256"/>
      <c r="AI21" s="224"/>
      <c r="AJ21" s="223"/>
      <c r="AK21" s="223"/>
      <c r="AL21" s="223"/>
      <c r="AM21" s="226"/>
      <c r="AN21" s="228"/>
      <c r="AO21" s="225"/>
      <c r="AP21" s="306"/>
      <c r="AX21" s="317"/>
      <c r="AY21" s="318"/>
    </row>
    <row r="22" spans="2:60" ht="23.9" customHeight="1" thickBot="1">
      <c r="B22" s="323">
        <v>45927</v>
      </c>
      <c r="C22" s="324" t="s">
        <v>542</v>
      </c>
      <c r="D22" s="325" t="s">
        <v>543</v>
      </c>
      <c r="E22" s="371">
        <v>8.5</v>
      </c>
      <c r="F22" s="372"/>
      <c r="G22" s="373"/>
      <c r="H22" s="374"/>
      <c r="I22" s="371">
        <v>8.5</v>
      </c>
      <c r="J22" s="372"/>
      <c r="K22" s="325" t="s">
        <v>510</v>
      </c>
      <c r="X22" s="250"/>
      <c r="Y22" s="251"/>
      <c r="Z22" s="252"/>
      <c r="AA22" s="257"/>
      <c r="AB22" s="253"/>
      <c r="AC22" s="254"/>
      <c r="AD22" s="255"/>
      <c r="AE22" s="256"/>
      <c r="AI22" s="224"/>
      <c r="AJ22" s="223"/>
      <c r="AK22" s="223"/>
      <c r="AL22" s="223"/>
      <c r="AM22" s="226"/>
      <c r="AN22" s="228"/>
      <c r="AO22" s="225"/>
      <c r="AP22" s="306"/>
    </row>
    <row r="23" spans="2:60" ht="23.9" customHeight="1" thickBot="1">
      <c r="B23" s="323">
        <v>45928</v>
      </c>
      <c r="C23" s="324" t="s">
        <v>542</v>
      </c>
      <c r="D23" s="325" t="s">
        <v>544</v>
      </c>
      <c r="E23" s="371">
        <v>5</v>
      </c>
      <c r="F23" s="372"/>
      <c r="G23" s="373"/>
      <c r="H23" s="374"/>
      <c r="I23" s="371">
        <v>5</v>
      </c>
      <c r="J23" s="372"/>
      <c r="K23" s="325" t="s">
        <v>510</v>
      </c>
      <c r="X23" s="250"/>
      <c r="Y23" s="251"/>
      <c r="Z23" s="252"/>
      <c r="AA23" s="257"/>
      <c r="AB23" s="253"/>
      <c r="AC23" s="254"/>
      <c r="AD23" s="255"/>
      <c r="AE23" s="256"/>
      <c r="AI23" s="224"/>
      <c r="AJ23" s="223"/>
      <c r="AK23" s="223"/>
      <c r="AL23" s="223"/>
      <c r="AM23" s="226"/>
      <c r="AN23" s="228"/>
      <c r="AO23" s="225"/>
      <c r="AP23" s="306"/>
    </row>
    <row r="24" spans="2:60" ht="23.9" customHeight="1" thickBot="1">
      <c r="B24" s="323">
        <v>45929</v>
      </c>
      <c r="C24" s="324" t="s">
        <v>545</v>
      </c>
      <c r="D24" s="325" t="s">
        <v>546</v>
      </c>
      <c r="E24" s="371">
        <v>6.5</v>
      </c>
      <c r="F24" s="372"/>
      <c r="G24" s="371" t="s">
        <v>547</v>
      </c>
      <c r="H24" s="372"/>
      <c r="I24" s="371">
        <v>3</v>
      </c>
      <c r="J24" s="372"/>
      <c r="K24" s="325" t="s">
        <v>513</v>
      </c>
      <c r="X24" s="250"/>
      <c r="Y24" s="251"/>
      <c r="Z24" s="252"/>
      <c r="AA24" s="257"/>
      <c r="AB24" s="253"/>
      <c r="AC24" s="254"/>
      <c r="AD24" s="255"/>
      <c r="AE24" s="256"/>
      <c r="AI24" s="224"/>
      <c r="AJ24" s="223"/>
      <c r="AK24" s="223"/>
      <c r="AL24" s="223"/>
      <c r="AM24" s="226"/>
      <c r="AN24" s="228"/>
      <c r="AO24" s="225"/>
      <c r="AP24" s="306"/>
    </row>
    <row r="25" spans="2:60" ht="23.9" customHeight="1" thickBot="1">
      <c r="B25" s="377" t="s">
        <v>548</v>
      </c>
      <c r="C25" s="378"/>
      <c r="D25" s="378"/>
      <c r="E25" s="379"/>
      <c r="F25" s="375" t="s">
        <v>549</v>
      </c>
      <c r="G25" s="376"/>
      <c r="H25" s="375" t="s">
        <v>550</v>
      </c>
      <c r="I25" s="376"/>
      <c r="J25" s="326" t="s">
        <v>550</v>
      </c>
      <c r="K25" s="326"/>
      <c r="X25" s="250"/>
      <c r="Y25" s="251"/>
      <c r="Z25" s="252"/>
      <c r="AA25" s="257"/>
      <c r="AB25" s="253"/>
      <c r="AC25" s="254"/>
      <c r="AD25" s="255"/>
      <c r="AE25" s="256"/>
      <c r="AI25" s="224"/>
      <c r="AJ25" s="223"/>
      <c r="AK25" s="223"/>
      <c r="AL25" s="223"/>
      <c r="AM25" s="226"/>
      <c r="AN25" s="228"/>
      <c r="AO25" s="225"/>
      <c r="AP25" s="306"/>
      <c r="BH25">
        <v>343.82</v>
      </c>
    </row>
    <row r="26" spans="2:60" ht="23.9" customHeight="1" thickBot="1">
      <c r="B26" s="380"/>
      <c r="C26" s="381"/>
      <c r="D26" s="381"/>
      <c r="E26" s="382"/>
      <c r="F26" s="375">
        <v>167.5</v>
      </c>
      <c r="G26" s="376"/>
      <c r="H26" s="375">
        <v>108.5</v>
      </c>
      <c r="I26" s="376"/>
      <c r="J26" s="326">
        <v>55.5</v>
      </c>
      <c r="K26" s="326"/>
      <c r="BH26">
        <v>424.17</v>
      </c>
    </row>
    <row r="27" spans="2:60" ht="23.9" customHeight="1" thickBot="1">
      <c r="B27" s="327"/>
      <c r="C27" s="328"/>
      <c r="D27" s="328"/>
      <c r="E27" s="328"/>
      <c r="F27" s="328"/>
      <c r="G27" s="328"/>
      <c r="H27" s="328"/>
      <c r="I27" s="328"/>
      <c r="J27" s="328"/>
      <c r="K27" s="329"/>
      <c r="BH27">
        <v>144.69</v>
      </c>
    </row>
    <row r="28" spans="2:60" ht="23.9" customHeight="1">
      <c r="B28" s="270"/>
      <c r="BH28">
        <v>424.17</v>
      </c>
    </row>
    <row r="29" spans="2:60" ht="23.9" customHeight="1" thickBot="1">
      <c r="B29" s="270"/>
    </row>
    <row r="30" spans="2:60" ht="23.9" customHeight="1" thickBot="1">
      <c r="B30" s="366" t="s">
        <v>551</v>
      </c>
      <c r="C30" s="367"/>
      <c r="D30" s="367"/>
      <c r="E30" s="367"/>
      <c r="F30" s="367"/>
      <c r="G30" s="368"/>
      <c r="H30" s="320"/>
    </row>
    <row r="31" spans="2:60" ht="23.9" customHeight="1" thickBot="1">
      <c r="B31" s="330" t="s">
        <v>501</v>
      </c>
      <c r="C31" s="331" t="s">
        <v>502</v>
      </c>
      <c r="D31" s="331" t="s">
        <v>503</v>
      </c>
      <c r="E31" s="331" t="s">
        <v>504</v>
      </c>
      <c r="F31" s="331" t="s">
        <v>505</v>
      </c>
      <c r="G31" s="331" t="s">
        <v>506</v>
      </c>
      <c r="H31" s="331"/>
    </row>
    <row r="32" spans="2:60" ht="23.9" customHeight="1" thickBot="1">
      <c r="B32" s="323">
        <v>45903</v>
      </c>
      <c r="C32" s="324" t="s">
        <v>552</v>
      </c>
      <c r="D32" s="324" t="s">
        <v>544</v>
      </c>
      <c r="E32" s="325">
        <v>5</v>
      </c>
      <c r="F32" s="324"/>
      <c r="G32" s="324">
        <v>5</v>
      </c>
      <c r="H32" s="325" t="s">
        <v>553</v>
      </c>
    </row>
    <row r="33" spans="2:60" ht="23.9" customHeight="1" thickBot="1">
      <c r="B33" s="323">
        <v>45903</v>
      </c>
      <c r="C33" s="324" t="s">
        <v>554</v>
      </c>
      <c r="D33" s="324" t="s">
        <v>512</v>
      </c>
      <c r="E33" s="325">
        <v>3</v>
      </c>
      <c r="F33" s="324"/>
      <c r="G33" s="324">
        <v>3</v>
      </c>
      <c r="H33" s="325" t="s">
        <v>555</v>
      </c>
      <c r="Q33">
        <v>1</v>
      </c>
      <c r="R33" t="s">
        <v>356</v>
      </c>
      <c r="S33" t="s">
        <v>394</v>
      </c>
      <c r="T33" t="s">
        <v>528</v>
      </c>
      <c r="U33">
        <v>45723</v>
      </c>
      <c r="V33" t="s">
        <v>529</v>
      </c>
      <c r="W33">
        <v>1</v>
      </c>
    </row>
    <row r="34" spans="2:60" ht="23.9" customHeight="1" thickBot="1">
      <c r="B34" s="323">
        <v>45904</v>
      </c>
      <c r="C34" s="324" t="s">
        <v>556</v>
      </c>
      <c r="D34" s="324" t="s">
        <v>557</v>
      </c>
      <c r="E34" s="325">
        <v>8</v>
      </c>
      <c r="F34" s="324">
        <v>8.5</v>
      </c>
      <c r="G34" s="324"/>
      <c r="H34" s="325" t="s">
        <v>558</v>
      </c>
      <c r="Q34">
        <v>1</v>
      </c>
      <c r="R34" t="s">
        <v>356</v>
      </c>
      <c r="S34" t="s">
        <v>394</v>
      </c>
      <c r="T34" t="s">
        <v>528</v>
      </c>
      <c r="U34">
        <v>45724</v>
      </c>
      <c r="V34" t="s">
        <v>529</v>
      </c>
      <c r="W34">
        <v>1</v>
      </c>
      <c r="X34" s="253" t="s">
        <v>497</v>
      </c>
      <c r="Y34" s="254" t="s">
        <v>530</v>
      </c>
      <c r="Z34" s="255">
        <v>-191.96</v>
      </c>
      <c r="AA34" s="256">
        <v>-191.96</v>
      </c>
      <c r="AE34" s="224" t="s">
        <v>376</v>
      </c>
      <c r="AF34" s="223" t="s">
        <v>559</v>
      </c>
      <c r="AG34" s="222">
        <v>45873</v>
      </c>
      <c r="AH34" s="223" t="s">
        <v>560</v>
      </c>
      <c r="AI34" s="226">
        <v>0.35416666666666669</v>
      </c>
      <c r="AJ34" s="226"/>
      <c r="AK34" s="226"/>
      <c r="AL34" s="228">
        <f>AI34*24</f>
        <v>8.5</v>
      </c>
    </row>
    <row r="35" spans="2:60" ht="23.9" customHeight="1" thickBot="1">
      <c r="B35" s="323">
        <v>45905</v>
      </c>
      <c r="C35" s="324" t="s">
        <v>561</v>
      </c>
      <c r="D35" s="324" t="s">
        <v>544</v>
      </c>
      <c r="E35" s="325">
        <v>5</v>
      </c>
      <c r="F35" s="324"/>
      <c r="G35" s="324">
        <v>5</v>
      </c>
      <c r="H35" s="325" t="s">
        <v>555</v>
      </c>
      <c r="Q35">
        <v>1</v>
      </c>
      <c r="R35" t="s">
        <v>356</v>
      </c>
      <c r="S35" t="s">
        <v>394</v>
      </c>
      <c r="T35" t="s">
        <v>528</v>
      </c>
      <c r="U35">
        <v>45729</v>
      </c>
      <c r="V35" t="s">
        <v>562</v>
      </c>
      <c r="W35">
        <v>1</v>
      </c>
      <c r="X35" s="253" t="s">
        <v>497</v>
      </c>
      <c r="Y35" s="254" t="s">
        <v>530</v>
      </c>
      <c r="Z35" s="255">
        <v>-191.96</v>
      </c>
      <c r="AA35" s="256">
        <v>-191.96</v>
      </c>
      <c r="AE35" s="224" t="s">
        <v>376</v>
      </c>
      <c r="AF35" s="223" t="s">
        <v>559</v>
      </c>
      <c r="AG35" s="222">
        <v>45893</v>
      </c>
      <c r="AH35" s="223" t="s">
        <v>563</v>
      </c>
      <c r="AI35" s="226">
        <v>0.5</v>
      </c>
      <c r="AJ35" s="226"/>
      <c r="AK35" s="226"/>
      <c r="AL35" s="228">
        <f>AI35*24</f>
        <v>12</v>
      </c>
    </row>
    <row r="36" spans="2:60" ht="23.9" customHeight="1" thickBot="1">
      <c r="B36" s="323">
        <v>45906</v>
      </c>
      <c r="C36" s="324" t="s">
        <v>564</v>
      </c>
      <c r="D36" s="324" t="s">
        <v>557</v>
      </c>
      <c r="E36" s="325" t="s">
        <v>565</v>
      </c>
      <c r="F36" s="324" t="s">
        <v>565</v>
      </c>
      <c r="G36" s="324"/>
      <c r="H36" s="325" t="s">
        <v>558</v>
      </c>
      <c r="X36" s="253" t="s">
        <v>497</v>
      </c>
      <c r="Y36" s="254" t="s">
        <v>530</v>
      </c>
      <c r="Z36" s="255">
        <v>-191.96</v>
      </c>
      <c r="AA36" s="256">
        <v>-191.96</v>
      </c>
      <c r="AE36" s="224" t="s">
        <v>566</v>
      </c>
      <c r="AF36" s="223" t="s">
        <v>567</v>
      </c>
      <c r="AG36" s="219">
        <v>45872</v>
      </c>
      <c r="AH36" s="223" t="s">
        <v>568</v>
      </c>
      <c r="AI36" s="226">
        <v>0.5</v>
      </c>
      <c r="AJ36" s="226"/>
      <c r="AK36" s="226"/>
      <c r="AL36" s="228">
        <f>AI36*24</f>
        <v>12</v>
      </c>
    </row>
    <row r="37" spans="2:60" ht="23.9" customHeight="1" thickBot="1">
      <c r="B37" s="323">
        <v>45906</v>
      </c>
      <c r="C37" s="324" t="s">
        <v>569</v>
      </c>
      <c r="D37" s="324" t="s">
        <v>509</v>
      </c>
      <c r="E37" s="325">
        <v>12</v>
      </c>
      <c r="F37" s="324">
        <v>9</v>
      </c>
      <c r="G37" s="324">
        <v>3</v>
      </c>
      <c r="H37" s="325" t="s">
        <v>570</v>
      </c>
      <c r="Q37">
        <v>6</v>
      </c>
      <c r="R37" t="s">
        <v>356</v>
      </c>
      <c r="S37" t="s">
        <v>394</v>
      </c>
      <c r="T37" t="s">
        <v>528</v>
      </c>
      <c r="U37">
        <v>45730</v>
      </c>
      <c r="V37" t="s">
        <v>562</v>
      </c>
      <c r="W37">
        <v>1</v>
      </c>
      <c r="X37" s="253"/>
      <c r="Y37" s="254"/>
      <c r="Z37" s="255"/>
      <c r="AA37" s="256"/>
      <c r="AE37" s="224"/>
      <c r="AF37" s="223"/>
      <c r="AG37" s="219"/>
      <c r="AH37" s="223"/>
      <c r="AI37" s="226"/>
      <c r="AJ37" s="226"/>
      <c r="AK37" s="226"/>
      <c r="AL37" s="228"/>
    </row>
    <row r="38" spans="2:60" ht="23.9" customHeight="1" thickBot="1">
      <c r="B38" s="323">
        <v>45907</v>
      </c>
      <c r="C38" s="324" t="s">
        <v>571</v>
      </c>
      <c r="D38" s="324" t="s">
        <v>512</v>
      </c>
      <c r="E38" s="325">
        <v>3</v>
      </c>
      <c r="F38" s="324"/>
      <c r="G38" s="324">
        <v>3</v>
      </c>
      <c r="H38" s="325" t="s">
        <v>555</v>
      </c>
      <c r="L38" t="s">
        <v>572</v>
      </c>
      <c r="Q38">
        <v>1</v>
      </c>
      <c r="R38" t="s">
        <v>356</v>
      </c>
      <c r="S38" t="s">
        <v>394</v>
      </c>
      <c r="T38" t="s">
        <v>528</v>
      </c>
      <c r="U38">
        <v>45732</v>
      </c>
      <c r="V38" t="s">
        <v>562</v>
      </c>
      <c r="W38">
        <v>1</v>
      </c>
      <c r="X38" s="253" t="s">
        <v>497</v>
      </c>
      <c r="Y38" s="254" t="s">
        <v>530</v>
      </c>
      <c r="Z38" s="255">
        <v>-191.96</v>
      </c>
      <c r="AA38" s="256">
        <v>-191.96</v>
      </c>
      <c r="AE38" s="224" t="s">
        <v>566</v>
      </c>
      <c r="AF38" s="223" t="s">
        <v>567</v>
      </c>
      <c r="AG38" s="219">
        <v>45874</v>
      </c>
      <c r="AH38" s="223" t="s">
        <v>568</v>
      </c>
      <c r="AI38" s="226">
        <v>0.5</v>
      </c>
      <c r="AJ38" s="226"/>
      <c r="AK38" s="226"/>
      <c r="AL38" s="228">
        <f t="shared" ref="AL38:AL51" si="1">AI38*24</f>
        <v>12</v>
      </c>
    </row>
    <row r="39" spans="2:60" ht="23.9" customHeight="1" thickBot="1">
      <c r="B39" s="323">
        <v>45908</v>
      </c>
      <c r="C39" s="324" t="s">
        <v>573</v>
      </c>
      <c r="D39" s="324" t="s">
        <v>509</v>
      </c>
      <c r="E39" s="325">
        <v>12</v>
      </c>
      <c r="F39" s="324">
        <v>9</v>
      </c>
      <c r="G39" s="324">
        <v>3</v>
      </c>
      <c r="H39" s="325" t="s">
        <v>570</v>
      </c>
      <c r="L39">
        <v>43.230920134153834</v>
      </c>
      <c r="R39" t="s">
        <v>356</v>
      </c>
      <c r="S39" t="s">
        <v>394</v>
      </c>
      <c r="T39" t="s">
        <v>528</v>
      </c>
      <c r="U39">
        <v>45733</v>
      </c>
      <c r="V39" t="s">
        <v>562</v>
      </c>
      <c r="W39">
        <v>1</v>
      </c>
      <c r="X39" s="253" t="s">
        <v>497</v>
      </c>
      <c r="Y39" s="254" t="s">
        <v>530</v>
      </c>
      <c r="Z39" s="255">
        <v>-191.96</v>
      </c>
      <c r="AA39" s="256">
        <v>-191.96</v>
      </c>
      <c r="AE39" s="224" t="s">
        <v>376</v>
      </c>
      <c r="AF39" s="223" t="s">
        <v>574</v>
      </c>
      <c r="AG39" s="222">
        <v>45871</v>
      </c>
      <c r="AH39" s="223" t="s">
        <v>575</v>
      </c>
      <c r="AI39" s="226">
        <v>0.125</v>
      </c>
      <c r="AJ39" s="226"/>
      <c r="AK39" s="226"/>
      <c r="AL39" s="228">
        <f t="shared" si="1"/>
        <v>3</v>
      </c>
      <c r="BH39">
        <v>71032.21521436864</v>
      </c>
    </row>
    <row r="40" spans="2:60" ht="23.9" customHeight="1" thickBot="1">
      <c r="B40" s="323">
        <v>45910</v>
      </c>
      <c r="C40" s="324" t="s">
        <v>576</v>
      </c>
      <c r="D40" s="324" t="s">
        <v>557</v>
      </c>
      <c r="E40" s="325">
        <v>8.5</v>
      </c>
      <c r="F40" s="324">
        <v>8.5</v>
      </c>
      <c r="G40" s="324"/>
      <c r="H40" s="325" t="s">
        <v>558</v>
      </c>
      <c r="L40">
        <v>43.230920134153834</v>
      </c>
      <c r="R40" t="s">
        <v>356</v>
      </c>
      <c r="S40" t="s">
        <v>394</v>
      </c>
      <c r="T40" t="s">
        <v>528</v>
      </c>
      <c r="U40">
        <v>45735</v>
      </c>
      <c r="V40" t="s">
        <v>529</v>
      </c>
      <c r="W40">
        <v>1</v>
      </c>
      <c r="X40" s="253" t="s">
        <v>497</v>
      </c>
      <c r="Y40" s="254" t="s">
        <v>530</v>
      </c>
      <c r="Z40" s="255">
        <v>-191.96</v>
      </c>
      <c r="AA40" s="256">
        <v>-191.96</v>
      </c>
      <c r="AE40" s="224" t="s">
        <v>376</v>
      </c>
      <c r="AF40" s="223" t="s">
        <v>577</v>
      </c>
      <c r="AG40" s="222">
        <v>45898</v>
      </c>
      <c r="AH40" s="223" t="s">
        <v>575</v>
      </c>
      <c r="AI40" s="226">
        <v>0.125</v>
      </c>
      <c r="AJ40" s="226"/>
      <c r="AK40" s="226"/>
      <c r="AL40" s="228">
        <f t="shared" si="1"/>
        <v>3</v>
      </c>
      <c r="BH40">
        <v>70770.2</v>
      </c>
    </row>
    <row r="41" spans="2:60" ht="23.9" customHeight="1" thickBot="1">
      <c r="B41" s="323">
        <v>45912</v>
      </c>
      <c r="C41" s="324" t="s">
        <v>576</v>
      </c>
      <c r="D41" s="324" t="s">
        <v>557</v>
      </c>
      <c r="E41" s="325">
        <v>8.5</v>
      </c>
      <c r="F41" s="324">
        <v>8.5</v>
      </c>
      <c r="G41" s="324"/>
      <c r="H41" s="325" t="s">
        <v>558</v>
      </c>
      <c r="L41">
        <v>35.800803041522819</v>
      </c>
      <c r="R41" t="s">
        <v>356</v>
      </c>
      <c r="S41" t="s">
        <v>394</v>
      </c>
      <c r="T41" t="s">
        <v>528</v>
      </c>
      <c r="U41">
        <v>45741</v>
      </c>
      <c r="V41" t="s">
        <v>529</v>
      </c>
      <c r="W41">
        <v>1</v>
      </c>
      <c r="X41" s="253" t="s">
        <v>497</v>
      </c>
      <c r="Y41" s="254" t="s">
        <v>530</v>
      </c>
      <c r="Z41" s="255">
        <v>-191.96</v>
      </c>
      <c r="AA41" s="256">
        <v>-191.96</v>
      </c>
      <c r="AE41" s="224" t="s">
        <v>376</v>
      </c>
      <c r="AF41" s="223" t="s">
        <v>574</v>
      </c>
      <c r="AG41" s="222">
        <v>45873</v>
      </c>
      <c r="AH41" s="223" t="s">
        <v>575</v>
      </c>
      <c r="AI41" s="226">
        <v>0.125</v>
      </c>
      <c r="AJ41" s="226"/>
      <c r="AK41" s="226"/>
      <c r="AL41" s="228">
        <f t="shared" si="1"/>
        <v>3</v>
      </c>
      <c r="BH41">
        <f>BH39-BH40</f>
        <v>262.01521436864277</v>
      </c>
    </row>
    <row r="42" spans="2:60" ht="23.9" customHeight="1" thickBot="1">
      <c r="B42" s="323">
        <v>45912</v>
      </c>
      <c r="C42" s="324" t="s">
        <v>578</v>
      </c>
      <c r="D42" s="324" t="s">
        <v>579</v>
      </c>
      <c r="E42" s="325">
        <v>12</v>
      </c>
      <c r="F42" s="324"/>
      <c r="G42" s="324">
        <v>12</v>
      </c>
      <c r="H42" s="325" t="s">
        <v>555</v>
      </c>
      <c r="L42">
        <v>51.877104160984601</v>
      </c>
      <c r="R42" t="s">
        <v>356</v>
      </c>
      <c r="S42" t="s">
        <v>394</v>
      </c>
      <c r="T42" t="s">
        <v>528</v>
      </c>
      <c r="U42">
        <v>45745</v>
      </c>
      <c r="V42" t="s">
        <v>529</v>
      </c>
      <c r="W42">
        <v>1</v>
      </c>
      <c r="X42" s="253" t="s">
        <v>497</v>
      </c>
      <c r="Y42" s="254" t="s">
        <v>530</v>
      </c>
      <c r="Z42" s="255">
        <v>-191.96</v>
      </c>
      <c r="AA42" s="256">
        <v>-191.96</v>
      </c>
      <c r="AE42" s="224" t="s">
        <v>376</v>
      </c>
      <c r="AF42" s="223" t="s">
        <v>580</v>
      </c>
      <c r="AG42" s="222">
        <v>45877</v>
      </c>
      <c r="AH42" s="223" t="s">
        <v>581</v>
      </c>
      <c r="AI42" s="226">
        <v>0.375</v>
      </c>
      <c r="AJ42" s="226"/>
      <c r="AK42" s="226"/>
      <c r="AL42" s="228">
        <f t="shared" si="1"/>
        <v>9</v>
      </c>
    </row>
    <row r="43" spans="2:60" ht="23.9" customHeight="1" thickBot="1">
      <c r="B43" s="323">
        <v>45915</v>
      </c>
      <c r="C43" s="324" t="s">
        <v>582</v>
      </c>
      <c r="D43" s="324" t="s">
        <v>512</v>
      </c>
      <c r="E43" s="325">
        <v>3</v>
      </c>
      <c r="F43" s="324"/>
      <c r="G43" s="324">
        <v>3</v>
      </c>
      <c r="H43" s="325" t="s">
        <v>570</v>
      </c>
      <c r="L43">
        <v>74.860321131206632</v>
      </c>
      <c r="R43" t="s">
        <v>356</v>
      </c>
      <c r="S43" t="s">
        <v>394</v>
      </c>
      <c r="T43" t="s">
        <v>528</v>
      </c>
      <c r="U43">
        <v>45746</v>
      </c>
      <c r="V43" t="s">
        <v>529</v>
      </c>
      <c r="W43">
        <v>1</v>
      </c>
      <c r="X43" s="253" t="s">
        <v>497</v>
      </c>
      <c r="Y43" s="254" t="s">
        <v>530</v>
      </c>
      <c r="Z43" s="255">
        <v>-191.96</v>
      </c>
      <c r="AA43" s="256">
        <v>-191.96</v>
      </c>
      <c r="AE43" s="224" t="s">
        <v>376</v>
      </c>
      <c r="AF43" s="223" t="s">
        <v>583</v>
      </c>
      <c r="AG43" s="222">
        <v>45893</v>
      </c>
      <c r="AH43" s="223" t="s">
        <v>581</v>
      </c>
      <c r="AI43" s="226">
        <v>0.375</v>
      </c>
      <c r="AJ43" s="226"/>
      <c r="AK43" s="226"/>
      <c r="AL43" s="228">
        <f t="shared" si="1"/>
        <v>9</v>
      </c>
    </row>
    <row r="44" spans="2:60" ht="23.9" customHeight="1" thickBot="1">
      <c r="B44" s="323">
        <v>45917</v>
      </c>
      <c r="C44" s="324" t="s">
        <v>584</v>
      </c>
      <c r="D44" s="324" t="s">
        <v>534</v>
      </c>
      <c r="E44" s="325">
        <v>9</v>
      </c>
      <c r="F44" s="324">
        <v>9</v>
      </c>
      <c r="G44" s="324"/>
      <c r="H44" s="325" t="s">
        <v>570</v>
      </c>
      <c r="L44">
        <v>54.607384659861452</v>
      </c>
      <c r="X44" s="253" t="s">
        <v>497</v>
      </c>
      <c r="Y44" s="254" t="s">
        <v>530</v>
      </c>
      <c r="Z44" s="255">
        <v>-191.96</v>
      </c>
      <c r="AA44" s="256">
        <v>-191.96</v>
      </c>
      <c r="AE44" s="224" t="s">
        <v>376</v>
      </c>
      <c r="AF44" s="223" t="s">
        <v>583</v>
      </c>
      <c r="AG44" s="222">
        <v>45871</v>
      </c>
      <c r="AH44" s="223" t="s">
        <v>581</v>
      </c>
      <c r="AI44" s="226">
        <v>0.375</v>
      </c>
      <c r="AJ44" s="226"/>
      <c r="AK44" s="226"/>
      <c r="AL44" s="228">
        <f t="shared" si="1"/>
        <v>9</v>
      </c>
    </row>
    <row r="45" spans="2:60" ht="25.25" customHeight="1" thickBot="1">
      <c r="B45" s="323">
        <v>45917</v>
      </c>
      <c r="C45" s="324" t="s">
        <v>585</v>
      </c>
      <c r="D45" s="324" t="s">
        <v>509</v>
      </c>
      <c r="E45" s="325">
        <v>12</v>
      </c>
      <c r="F45" s="324">
        <v>9</v>
      </c>
      <c r="G45" s="324">
        <v>3</v>
      </c>
      <c r="H45" s="325" t="s">
        <v>570</v>
      </c>
      <c r="L45">
        <v>43.230920134153834</v>
      </c>
      <c r="X45" s="240"/>
      <c r="Y45" s="202"/>
      <c r="AE45" s="224" t="s">
        <v>376</v>
      </c>
      <c r="AF45" s="223" t="s">
        <v>580</v>
      </c>
      <c r="AG45" s="222">
        <v>45872</v>
      </c>
      <c r="AH45" s="223" t="s">
        <v>568</v>
      </c>
      <c r="AI45" s="226">
        <v>0.5</v>
      </c>
      <c r="AJ45" s="226"/>
      <c r="AK45" s="226"/>
      <c r="AL45" s="228">
        <f t="shared" si="1"/>
        <v>12</v>
      </c>
    </row>
    <row r="46" spans="2:60" ht="25.25" customHeight="1" thickBot="1">
      <c r="B46" s="323">
        <v>45918</v>
      </c>
      <c r="C46" s="324" t="s">
        <v>586</v>
      </c>
      <c r="D46" s="324" t="s">
        <v>579</v>
      </c>
      <c r="E46" s="325">
        <v>12</v>
      </c>
      <c r="F46" s="324"/>
      <c r="G46" s="324">
        <v>12</v>
      </c>
      <c r="H46" s="325" t="s">
        <v>555</v>
      </c>
      <c r="X46" s="240"/>
      <c r="Y46" s="202"/>
      <c r="AE46" s="224" t="s">
        <v>376</v>
      </c>
      <c r="AF46" s="223" t="s">
        <v>587</v>
      </c>
      <c r="AG46" s="222">
        <v>45874</v>
      </c>
      <c r="AH46" s="223" t="s">
        <v>568</v>
      </c>
      <c r="AI46" s="226">
        <v>0.5</v>
      </c>
      <c r="AJ46" s="226"/>
      <c r="AK46" s="226"/>
      <c r="AL46" s="228">
        <f t="shared" si="1"/>
        <v>12</v>
      </c>
    </row>
    <row r="47" spans="2:60" ht="25.25" customHeight="1" thickBot="1">
      <c r="B47" s="323">
        <v>45919</v>
      </c>
      <c r="C47" s="324" t="s">
        <v>588</v>
      </c>
      <c r="D47" s="324" t="s">
        <v>512</v>
      </c>
      <c r="E47" s="325">
        <v>3</v>
      </c>
      <c r="F47" s="324"/>
      <c r="G47" s="324">
        <v>3</v>
      </c>
      <c r="H47" s="325" t="s">
        <v>553</v>
      </c>
      <c r="X47" s="240"/>
      <c r="Y47" s="202"/>
      <c r="AE47" s="224" t="s">
        <v>376</v>
      </c>
      <c r="AF47" s="223" t="s">
        <v>580</v>
      </c>
      <c r="AG47" s="222">
        <v>45876</v>
      </c>
      <c r="AH47" s="223" t="s">
        <v>568</v>
      </c>
      <c r="AI47" s="226">
        <v>0.5</v>
      </c>
      <c r="AJ47" s="226"/>
      <c r="AK47" s="226"/>
      <c r="AL47" s="228">
        <f t="shared" si="1"/>
        <v>12</v>
      </c>
    </row>
    <row r="48" spans="2:60" ht="25.25" customHeight="1" thickBot="1">
      <c r="B48" s="323">
        <v>45922</v>
      </c>
      <c r="C48" s="324" t="s">
        <v>589</v>
      </c>
      <c r="D48" s="324" t="s">
        <v>579</v>
      </c>
      <c r="E48" s="325">
        <v>12</v>
      </c>
      <c r="F48" s="324"/>
      <c r="G48" s="324">
        <v>12</v>
      </c>
      <c r="H48" s="325" t="s">
        <v>555</v>
      </c>
      <c r="X48" s="240"/>
      <c r="Y48" s="202"/>
      <c r="AE48" s="224" t="s">
        <v>376</v>
      </c>
      <c r="AF48" s="223" t="s">
        <v>583</v>
      </c>
      <c r="AG48" s="222">
        <v>45876</v>
      </c>
      <c r="AH48" s="223" t="s">
        <v>568</v>
      </c>
      <c r="AI48" s="226">
        <v>0.5</v>
      </c>
      <c r="AJ48" s="226"/>
      <c r="AK48" s="226"/>
      <c r="AL48" s="228">
        <f t="shared" si="1"/>
        <v>12</v>
      </c>
    </row>
    <row r="49" spans="2:52" ht="25.25" customHeight="1" thickBot="1">
      <c r="B49" s="323">
        <v>45923</v>
      </c>
      <c r="C49" s="324" t="s">
        <v>585</v>
      </c>
      <c r="D49" s="324" t="s">
        <v>509</v>
      </c>
      <c r="E49" s="325">
        <v>12</v>
      </c>
      <c r="F49" s="324">
        <v>9</v>
      </c>
      <c r="G49" s="324">
        <v>3</v>
      </c>
      <c r="H49" s="325" t="s">
        <v>570</v>
      </c>
      <c r="X49" s="240"/>
      <c r="Y49" s="202"/>
      <c r="AE49" s="224" t="s">
        <v>376</v>
      </c>
      <c r="AF49" s="223" t="s">
        <v>580</v>
      </c>
      <c r="AG49" s="222">
        <v>45870</v>
      </c>
      <c r="AH49" s="223" t="s">
        <v>568</v>
      </c>
      <c r="AI49" s="226">
        <v>0.5</v>
      </c>
      <c r="AJ49" s="226"/>
      <c r="AK49" s="226"/>
      <c r="AL49" s="228">
        <f t="shared" si="1"/>
        <v>12</v>
      </c>
    </row>
    <row r="50" spans="2:52" ht="25.25" customHeight="1" thickBot="1">
      <c r="B50" s="323">
        <v>45924</v>
      </c>
      <c r="C50" s="324" t="s">
        <v>590</v>
      </c>
      <c r="D50" s="324" t="s">
        <v>579</v>
      </c>
      <c r="E50" s="325">
        <v>12</v>
      </c>
      <c r="F50" s="324"/>
      <c r="G50" s="324">
        <v>12</v>
      </c>
      <c r="H50" s="325" t="s">
        <v>555</v>
      </c>
      <c r="X50" s="240"/>
      <c r="Y50" s="202"/>
      <c r="AE50" s="224" t="s">
        <v>376</v>
      </c>
      <c r="AF50" s="223" t="s">
        <v>580</v>
      </c>
      <c r="AG50" s="222">
        <v>45885</v>
      </c>
      <c r="AH50" s="223" t="s">
        <v>591</v>
      </c>
      <c r="AI50" s="226">
        <v>0.125</v>
      </c>
      <c r="AJ50" s="226"/>
      <c r="AK50" s="226"/>
      <c r="AL50" s="228">
        <f t="shared" si="1"/>
        <v>3</v>
      </c>
    </row>
    <row r="51" spans="2:52" ht="25.25" customHeight="1" thickBot="1">
      <c r="B51" s="323">
        <v>45925</v>
      </c>
      <c r="C51" s="324" t="s">
        <v>584</v>
      </c>
      <c r="D51" s="324" t="s">
        <v>539</v>
      </c>
      <c r="E51" s="325">
        <v>12</v>
      </c>
      <c r="F51" s="324">
        <v>12</v>
      </c>
      <c r="G51" s="324"/>
      <c r="H51" s="325" t="s">
        <v>592</v>
      </c>
      <c r="X51" s="240"/>
      <c r="Y51" s="202"/>
      <c r="AE51" s="224" t="s">
        <v>376</v>
      </c>
      <c r="AF51" s="223" t="s">
        <v>583</v>
      </c>
      <c r="AG51" s="222">
        <v>45886</v>
      </c>
      <c r="AH51" s="223" t="s">
        <v>591</v>
      </c>
      <c r="AI51" s="226">
        <v>0.125</v>
      </c>
      <c r="AJ51" s="226"/>
      <c r="AK51" s="226"/>
      <c r="AL51" s="228">
        <f t="shared" si="1"/>
        <v>3</v>
      </c>
    </row>
    <row r="52" spans="2:52" ht="25.25" customHeight="1" thickBot="1">
      <c r="B52" s="323">
        <v>45925</v>
      </c>
      <c r="C52" s="324" t="s">
        <v>590</v>
      </c>
      <c r="D52" s="324" t="s">
        <v>579</v>
      </c>
      <c r="E52" s="325">
        <v>12</v>
      </c>
      <c r="F52" s="324"/>
      <c r="G52" s="324">
        <v>12</v>
      </c>
      <c r="H52" s="325" t="s">
        <v>555</v>
      </c>
      <c r="X52" s="240"/>
      <c r="Y52" s="202"/>
    </row>
    <row r="53" spans="2:52" ht="25.25" customHeight="1" thickBot="1">
      <c r="B53" s="323">
        <v>45927</v>
      </c>
      <c r="C53" s="324" t="s">
        <v>585</v>
      </c>
      <c r="D53" s="324" t="s">
        <v>509</v>
      </c>
      <c r="E53" s="325">
        <v>12</v>
      </c>
      <c r="F53" s="324">
        <v>9</v>
      </c>
      <c r="G53" s="324">
        <v>3</v>
      </c>
      <c r="H53" s="325" t="s">
        <v>570</v>
      </c>
      <c r="X53" s="240"/>
      <c r="Y53" s="202"/>
      <c r="AG53" s="202">
        <v>0.12083333333333333</v>
      </c>
      <c r="AH53" s="6">
        <f>AG53*24</f>
        <v>2.9</v>
      </c>
      <c r="AU53" s="354" t="s">
        <v>593</v>
      </c>
      <c r="AV53" s="355"/>
      <c r="AW53" s="355"/>
      <c r="AX53" s="355"/>
      <c r="AY53" s="355"/>
      <c r="AZ53" s="356"/>
    </row>
    <row r="54" spans="2:52" ht="25.25" customHeight="1" thickBot="1">
      <c r="B54" s="323">
        <v>45927</v>
      </c>
      <c r="C54" s="324" t="s">
        <v>594</v>
      </c>
      <c r="D54" s="324" t="s">
        <v>546</v>
      </c>
      <c r="E54" s="325">
        <v>6.5</v>
      </c>
      <c r="F54" s="324" t="s">
        <v>547</v>
      </c>
      <c r="G54" s="324">
        <v>3</v>
      </c>
      <c r="H54" s="325" t="s">
        <v>570</v>
      </c>
      <c r="AU54" s="272" t="s">
        <v>312</v>
      </c>
      <c r="AV54" s="273" t="s">
        <v>595</v>
      </c>
      <c r="AW54" s="273" t="s">
        <v>313</v>
      </c>
      <c r="AX54" s="273" t="s">
        <v>596</v>
      </c>
      <c r="AY54" s="273" t="s">
        <v>597</v>
      </c>
      <c r="AZ54" s="273" t="s">
        <v>598</v>
      </c>
    </row>
    <row r="55" spans="2:52" ht="25.25" customHeight="1" thickBot="1">
      <c r="B55" s="323">
        <v>45928</v>
      </c>
      <c r="C55" s="324" t="s">
        <v>590</v>
      </c>
      <c r="D55" s="324" t="s">
        <v>544</v>
      </c>
      <c r="E55" s="325">
        <v>5</v>
      </c>
      <c r="F55" s="324"/>
      <c r="G55" s="324">
        <v>5</v>
      </c>
      <c r="H55" s="325" t="s">
        <v>555</v>
      </c>
      <c r="AQ55" s="271" t="s">
        <v>599</v>
      </c>
      <c r="AU55" s="274" t="s">
        <v>413</v>
      </c>
      <c r="AV55" s="275">
        <v>45901</v>
      </c>
      <c r="AW55" s="276" t="s">
        <v>600</v>
      </c>
      <c r="AX55" s="276" t="s">
        <v>601</v>
      </c>
      <c r="AY55" s="277">
        <v>0.5</v>
      </c>
      <c r="AZ55" s="278" t="s">
        <v>602</v>
      </c>
    </row>
    <row r="56" spans="2:52" ht="25.25" customHeight="1" thickBot="1">
      <c r="B56" s="323">
        <v>45929</v>
      </c>
      <c r="C56" s="324" t="s">
        <v>594</v>
      </c>
      <c r="D56" s="324" t="s">
        <v>546</v>
      </c>
      <c r="E56" s="325">
        <v>6.5</v>
      </c>
      <c r="F56" s="324" t="s">
        <v>547</v>
      </c>
      <c r="G56" s="324">
        <v>3</v>
      </c>
      <c r="H56" s="325" t="s">
        <v>570</v>
      </c>
      <c r="AQ56" s="270"/>
      <c r="AU56" s="274" t="s">
        <v>413</v>
      </c>
      <c r="AV56" s="279">
        <v>45901</v>
      </c>
      <c r="AW56" s="276" t="s">
        <v>603</v>
      </c>
      <c r="AX56" s="276" t="s">
        <v>604</v>
      </c>
      <c r="AY56" s="277">
        <v>4.1666666666666666E-3</v>
      </c>
      <c r="AZ56" s="276" t="s">
        <v>605</v>
      </c>
    </row>
    <row r="57" spans="2:52" ht="25.25" customHeight="1" thickBot="1">
      <c r="B57" s="323">
        <v>45930</v>
      </c>
      <c r="C57" s="324" t="s">
        <v>590</v>
      </c>
      <c r="D57" s="324" t="s">
        <v>544</v>
      </c>
      <c r="E57" s="325">
        <v>5</v>
      </c>
      <c r="F57" s="324"/>
      <c r="G57" s="324">
        <v>5</v>
      </c>
      <c r="H57" s="325" t="s">
        <v>555</v>
      </c>
      <c r="AQ57" s="270" t="s">
        <v>606</v>
      </c>
      <c r="AR57">
        <v>1</v>
      </c>
      <c r="AU57" s="274" t="s">
        <v>413</v>
      </c>
      <c r="AV57" s="279">
        <v>45901</v>
      </c>
      <c r="AW57" s="276" t="s">
        <v>603</v>
      </c>
      <c r="AX57" s="276" t="s">
        <v>607</v>
      </c>
      <c r="AY57" s="277">
        <v>1.1111111111111112E-2</v>
      </c>
      <c r="AZ57" s="276" t="s">
        <v>608</v>
      </c>
    </row>
    <row r="58" spans="2:52" ht="25.25" customHeight="1" thickBot="1">
      <c r="B58" s="377" t="s">
        <v>548</v>
      </c>
      <c r="C58" s="378"/>
      <c r="D58" s="379"/>
      <c r="E58" s="326" t="s">
        <v>549</v>
      </c>
      <c r="F58" s="326" t="s">
        <v>550</v>
      </c>
      <c r="G58" s="326" t="s">
        <v>550</v>
      </c>
      <c r="H58" s="326"/>
      <c r="AQ58" s="270"/>
      <c r="AU58" s="274" t="s">
        <v>413</v>
      </c>
      <c r="AV58" s="279">
        <v>45901</v>
      </c>
      <c r="AW58" s="276" t="s">
        <v>603</v>
      </c>
      <c r="AX58" s="276" t="s">
        <v>609</v>
      </c>
      <c r="AY58" s="277">
        <v>6.9444444444444441E-3</v>
      </c>
      <c r="AZ58" s="276" t="s">
        <v>610</v>
      </c>
    </row>
    <row r="59" spans="2:52" ht="25.25" customHeight="1" thickBot="1">
      <c r="B59" s="380"/>
      <c r="C59" s="381"/>
      <c r="D59" s="382"/>
      <c r="E59" s="326">
        <v>211.5</v>
      </c>
      <c r="F59" s="326">
        <v>91.5</v>
      </c>
      <c r="G59" s="326">
        <v>113</v>
      </c>
      <c r="H59" s="326"/>
      <c r="AQ59" s="270" t="s">
        <v>611</v>
      </c>
      <c r="AR59">
        <v>1</v>
      </c>
      <c r="AU59" s="274" t="s">
        <v>413</v>
      </c>
      <c r="AV59" s="279">
        <v>45902</v>
      </c>
      <c r="AW59" s="276" t="s">
        <v>600</v>
      </c>
      <c r="AX59" s="276" t="s">
        <v>612</v>
      </c>
      <c r="AY59" s="277">
        <v>6.9444444444444447E-4</v>
      </c>
      <c r="AZ59" s="276" t="s">
        <v>613</v>
      </c>
    </row>
    <row r="60" spans="2:52" ht="25.25" customHeight="1" thickBot="1">
      <c r="B60" s="375" t="s">
        <v>614</v>
      </c>
      <c r="C60" s="383"/>
      <c r="D60" s="383"/>
      <c r="E60" s="376"/>
      <c r="F60" s="332"/>
      <c r="G60" s="332"/>
      <c r="H60" s="329"/>
      <c r="AQ60" s="270"/>
      <c r="AU60" s="274" t="s">
        <v>413</v>
      </c>
      <c r="AV60" s="279">
        <v>45902</v>
      </c>
      <c r="AW60" s="276" t="s">
        <v>603</v>
      </c>
      <c r="AX60" s="276" t="s">
        <v>615</v>
      </c>
      <c r="AY60" s="277">
        <v>2.0833333333333333E-3</v>
      </c>
      <c r="AZ60" s="276" t="s">
        <v>616</v>
      </c>
    </row>
    <row r="61" spans="2:52" ht="25.25" customHeight="1" thickBot="1">
      <c r="B61" s="270"/>
      <c r="AQ61" s="270" t="s">
        <v>617</v>
      </c>
      <c r="AU61" s="274" t="s">
        <v>413</v>
      </c>
      <c r="AV61" s="279">
        <v>45902</v>
      </c>
      <c r="AW61" s="276" t="s">
        <v>603</v>
      </c>
      <c r="AX61" s="276" t="s">
        <v>618</v>
      </c>
      <c r="AY61" s="277">
        <v>2.0833333333333333E-3</v>
      </c>
      <c r="AZ61" s="276" t="s">
        <v>616</v>
      </c>
    </row>
    <row r="62" spans="2:52" ht="25.25" customHeight="1" thickBot="1">
      <c r="D62" s="270"/>
      <c r="E62" s="270"/>
      <c r="F62" s="270"/>
      <c r="G62" s="270"/>
      <c r="H62" s="270"/>
      <c r="I62" s="270"/>
      <c r="J62" s="258"/>
      <c r="AA62" s="36"/>
      <c r="AQ62" s="270"/>
      <c r="AU62" s="274" t="s">
        <v>413</v>
      </c>
      <c r="AV62" s="279">
        <v>45903</v>
      </c>
      <c r="AW62" s="276" t="s">
        <v>603</v>
      </c>
      <c r="AX62" s="276" t="s">
        <v>619</v>
      </c>
      <c r="AY62" s="277">
        <v>5.5555555555555558E-3</v>
      </c>
      <c r="AZ62" s="276" t="s">
        <v>620</v>
      </c>
    </row>
    <row r="63" spans="2:52" ht="25.25" customHeight="1" thickBot="1">
      <c r="D63" s="270"/>
      <c r="E63" s="270"/>
      <c r="F63" s="270"/>
      <c r="G63" s="270"/>
      <c r="H63" s="270"/>
      <c r="I63" s="270"/>
      <c r="J63" s="258"/>
      <c r="W63" s="229" t="s">
        <v>621</v>
      </c>
      <c r="AA63" s="36"/>
      <c r="AQ63" s="270" t="s">
        <v>622</v>
      </c>
      <c r="AU63" s="274" t="s">
        <v>413</v>
      </c>
      <c r="AV63" s="279">
        <v>45903</v>
      </c>
      <c r="AW63" s="276" t="s">
        <v>603</v>
      </c>
      <c r="AX63" s="276" t="s">
        <v>623</v>
      </c>
      <c r="AY63" s="277">
        <v>6.9444444444444441E-3</v>
      </c>
      <c r="AZ63" s="276" t="s">
        <v>624</v>
      </c>
    </row>
    <row r="64" spans="2:52" ht="25.25" customHeight="1" thickBot="1">
      <c r="D64" s="270"/>
      <c r="E64" s="270"/>
      <c r="F64" s="270"/>
      <c r="G64" s="270"/>
      <c r="H64" s="270"/>
      <c r="I64" s="270"/>
      <c r="J64" s="258"/>
      <c r="W64" s="230" t="s">
        <v>625</v>
      </c>
      <c r="AA64" s="36"/>
      <c r="AB64" s="237" t="s">
        <v>312</v>
      </c>
      <c r="AC64" s="237" t="s">
        <v>313</v>
      </c>
      <c r="AD64" s="237" t="s">
        <v>596</v>
      </c>
      <c r="AE64" s="244" t="s">
        <v>626</v>
      </c>
      <c r="AF64" s="237" t="s">
        <v>627</v>
      </c>
      <c r="AG64" s="237" t="s">
        <v>628</v>
      </c>
      <c r="AH64" s="237" t="s">
        <v>629</v>
      </c>
      <c r="AI64" s="244" t="s">
        <v>630</v>
      </c>
      <c r="AJ64" s="244"/>
      <c r="AK64" s="244"/>
      <c r="AL64" s="244" t="s">
        <v>275</v>
      </c>
      <c r="AQ64" s="270"/>
      <c r="AU64" s="274" t="s">
        <v>413</v>
      </c>
      <c r="AV64" s="279">
        <v>45904</v>
      </c>
      <c r="AW64" s="276" t="s">
        <v>600</v>
      </c>
      <c r="AX64" s="276" t="s">
        <v>631</v>
      </c>
      <c r="AY64" s="277">
        <v>2.7777777777777779E-3</v>
      </c>
      <c r="AZ64" s="276" t="s">
        <v>632</v>
      </c>
    </row>
    <row r="65" spans="2:52" ht="25.25" customHeight="1" thickBot="1">
      <c r="D65" s="270"/>
      <c r="E65" s="270"/>
      <c r="F65" s="270"/>
      <c r="G65" s="270"/>
      <c r="H65" s="270"/>
      <c r="I65" s="270"/>
      <c r="J65" s="258"/>
      <c r="W65" s="230" t="s">
        <v>633</v>
      </c>
      <c r="Z65" s="36">
        <v>45931</v>
      </c>
      <c r="AA65" s="36"/>
      <c r="AB65" s="238" t="s">
        <v>634</v>
      </c>
      <c r="AC65" s="238" t="s">
        <v>399</v>
      </c>
      <c r="AD65" s="238" t="s">
        <v>635</v>
      </c>
      <c r="AE65" s="203">
        <v>45901</v>
      </c>
      <c r="AF65" s="241">
        <v>14</v>
      </c>
      <c r="AG65" s="238">
        <v>1</v>
      </c>
      <c r="AH65" s="239" t="e">
        <f>(#REF!/30.417)*AF65</f>
        <v>#REF!</v>
      </c>
      <c r="AI65" s="259">
        <v>0.02</v>
      </c>
      <c r="AJ65" s="259"/>
      <c r="AK65" s="259"/>
      <c r="AL65" s="239" t="e">
        <f>AH65+(AH65*AI65)</f>
        <v>#REF!</v>
      </c>
      <c r="AQ65" s="271" t="s">
        <v>636</v>
      </c>
      <c r="AU65" s="274" t="s">
        <v>413</v>
      </c>
      <c r="AV65" s="279">
        <v>45905</v>
      </c>
      <c r="AW65" s="276" t="s">
        <v>603</v>
      </c>
      <c r="AX65" s="276" t="s">
        <v>637</v>
      </c>
      <c r="AY65" s="277">
        <v>1.1805555555555555E-2</v>
      </c>
      <c r="AZ65" s="276" t="s">
        <v>638</v>
      </c>
    </row>
    <row r="66" spans="2:52" ht="25.25" customHeight="1" thickBot="1">
      <c r="D66" s="270"/>
      <c r="E66" s="270"/>
      <c r="F66" s="270"/>
      <c r="G66" s="270"/>
      <c r="H66" s="270"/>
      <c r="I66" s="270"/>
      <c r="J66" s="258"/>
      <c r="W66" s="230" t="s">
        <v>639</v>
      </c>
      <c r="Z66" s="36">
        <v>45932</v>
      </c>
      <c r="AA66" s="36"/>
      <c r="AB66" s="238" t="s">
        <v>634</v>
      </c>
      <c r="AC66" s="238" t="s">
        <v>399</v>
      </c>
      <c r="AD66" s="238" t="s">
        <v>635</v>
      </c>
      <c r="AE66" s="203">
        <v>45931</v>
      </c>
      <c r="AF66" s="241">
        <v>31</v>
      </c>
      <c r="AG66" s="238">
        <v>1</v>
      </c>
      <c r="AH66" s="239">
        <v>5931.2058624444371</v>
      </c>
      <c r="AI66" s="259">
        <v>0.02</v>
      </c>
      <c r="AJ66" s="259"/>
      <c r="AK66" s="259"/>
      <c r="AL66" s="239">
        <f>AH66+(AH66*AI66)</f>
        <v>6049.8299796933261</v>
      </c>
      <c r="AU66" s="274" t="s">
        <v>413</v>
      </c>
      <c r="AV66" s="279">
        <v>45906</v>
      </c>
      <c r="AW66" s="276" t="s">
        <v>600</v>
      </c>
      <c r="AX66" s="276" t="s">
        <v>640</v>
      </c>
      <c r="AY66" s="277">
        <v>7.6388888888888886E-3</v>
      </c>
      <c r="AZ66" s="276" t="s">
        <v>641</v>
      </c>
    </row>
    <row r="67" spans="2:52" ht="25.25" customHeight="1" thickBot="1">
      <c r="D67" s="270"/>
      <c r="E67" s="270"/>
      <c r="F67" s="270"/>
      <c r="G67" s="270"/>
      <c r="H67" s="270"/>
      <c r="I67" s="270"/>
      <c r="J67" s="258"/>
      <c r="R67" s="188"/>
      <c r="W67" s="231" t="s">
        <v>642</v>
      </c>
      <c r="Z67" s="36">
        <v>45933</v>
      </c>
      <c r="AA67" s="36"/>
      <c r="AB67" s="238" t="s">
        <v>634</v>
      </c>
      <c r="AC67" s="238" t="s">
        <v>399</v>
      </c>
      <c r="AD67" s="238" t="s">
        <v>635</v>
      </c>
      <c r="AE67" s="203">
        <v>45962</v>
      </c>
      <c r="AF67" s="241">
        <v>30</v>
      </c>
      <c r="AG67" s="238">
        <v>1</v>
      </c>
      <c r="AH67" s="239">
        <v>5931.2058624444371</v>
      </c>
      <c r="AI67" s="259">
        <v>0.02</v>
      </c>
      <c r="AJ67" s="259"/>
      <c r="AK67" s="259"/>
      <c r="AL67" s="239">
        <f>AH67+(AH67*AI67)</f>
        <v>6049.8299796933261</v>
      </c>
      <c r="AU67" s="274" t="s">
        <v>413</v>
      </c>
      <c r="AV67" s="279">
        <v>45907</v>
      </c>
      <c r="AW67" s="276" t="s">
        <v>603</v>
      </c>
      <c r="AX67" s="276" t="s">
        <v>643</v>
      </c>
      <c r="AY67" s="277">
        <v>1.0416666666666666E-2</v>
      </c>
      <c r="AZ67" s="276" t="s">
        <v>610</v>
      </c>
    </row>
    <row r="68" spans="2:52" ht="25.25" customHeight="1" thickBot="1">
      <c r="D68" s="270"/>
      <c r="E68" s="270"/>
      <c r="F68" s="270"/>
      <c r="G68" s="270"/>
      <c r="H68" s="270"/>
      <c r="I68" s="270"/>
      <c r="J68" s="258"/>
      <c r="Q68">
        <v>2.5</v>
      </c>
      <c r="R68" s="187"/>
      <c r="W68" s="230"/>
      <c r="Z68" s="36">
        <v>45934</v>
      </c>
      <c r="AA68" s="36"/>
      <c r="AB68" s="238" t="s">
        <v>634</v>
      </c>
      <c r="AC68" s="238" t="s">
        <v>399</v>
      </c>
      <c r="AD68" s="238" t="s">
        <v>635</v>
      </c>
      <c r="AE68" s="203">
        <v>45992</v>
      </c>
      <c r="AF68" s="241">
        <v>31</v>
      </c>
      <c r="AG68" s="238">
        <v>1</v>
      </c>
      <c r="AH68" s="239">
        <v>5931.2058624444371</v>
      </c>
      <c r="AI68" s="259">
        <v>0.02</v>
      </c>
      <c r="AJ68" s="259"/>
      <c r="AK68" s="259"/>
      <c r="AL68" s="239">
        <f>AH68+(AH68*AI68)</f>
        <v>6049.8299796933261</v>
      </c>
      <c r="AU68" s="274" t="s">
        <v>413</v>
      </c>
      <c r="AV68" s="279">
        <v>45907</v>
      </c>
      <c r="AW68" s="276" t="s">
        <v>603</v>
      </c>
      <c r="AX68" s="276" t="s">
        <v>623</v>
      </c>
      <c r="AY68" s="277">
        <v>6.9444444444444441E-3</v>
      </c>
      <c r="AZ68" s="276" t="s">
        <v>638</v>
      </c>
    </row>
    <row r="69" spans="2:52" ht="25.25" customHeight="1" thickBot="1">
      <c r="D69" s="270"/>
      <c r="E69" s="270"/>
      <c r="F69" s="270"/>
      <c r="G69" s="270"/>
      <c r="H69" s="270"/>
      <c r="I69" s="270"/>
      <c r="J69" s="258"/>
      <c r="W69" s="233"/>
      <c r="Z69" s="36">
        <v>45935</v>
      </c>
      <c r="AG69" s="237" t="s">
        <v>431</v>
      </c>
      <c r="AH69" s="260" t="e">
        <f>SUM(AH65:AH68)</f>
        <v>#REF!</v>
      </c>
      <c r="AI69" s="202"/>
      <c r="AJ69" s="202"/>
      <c r="AK69" s="202"/>
      <c r="AL69" s="260" t="e">
        <f>SUM(AL65:AL68)</f>
        <v>#REF!</v>
      </c>
      <c r="AU69" s="274" t="s">
        <v>413</v>
      </c>
      <c r="AV69" s="279">
        <v>45907</v>
      </c>
      <c r="AW69" s="276" t="s">
        <v>603</v>
      </c>
      <c r="AX69" s="276" t="s">
        <v>644</v>
      </c>
      <c r="AY69" s="277">
        <v>6.2500000000000003E-3</v>
      </c>
      <c r="AZ69" s="276" t="s">
        <v>610</v>
      </c>
    </row>
    <row r="70" spans="2:52" ht="25.25" customHeight="1" thickBot="1">
      <c r="W70" s="229" t="s">
        <v>645</v>
      </c>
      <c r="Z70" s="36">
        <v>45936</v>
      </c>
      <c r="AA70" s="36"/>
      <c r="AH70" s="202"/>
      <c r="AI70" s="202"/>
      <c r="AJ70" s="202"/>
      <c r="AK70" s="202"/>
      <c r="AU70" s="274" t="s">
        <v>413</v>
      </c>
      <c r="AV70" s="275">
        <v>45908</v>
      </c>
      <c r="AW70" s="276" t="s">
        <v>603</v>
      </c>
      <c r="AX70" s="276" t="s">
        <v>646</v>
      </c>
      <c r="AY70" s="277">
        <v>4.8611111111111112E-3</v>
      </c>
      <c r="AZ70" s="276" t="s">
        <v>638</v>
      </c>
    </row>
    <row r="71" spans="2:52" ht="25.25" customHeight="1" thickBot="1">
      <c r="W71" s="230" t="s">
        <v>647</v>
      </c>
      <c r="Z71" s="36">
        <v>45937</v>
      </c>
      <c r="AA71" s="36"/>
      <c r="AH71" s="202"/>
      <c r="AI71" s="36">
        <v>45917</v>
      </c>
      <c r="AJ71" s="36"/>
      <c r="AK71" s="36"/>
      <c r="AU71" s="274" t="s">
        <v>413</v>
      </c>
      <c r="AV71" s="279">
        <v>45909</v>
      </c>
      <c r="AW71" s="276" t="s">
        <v>603</v>
      </c>
      <c r="AX71" s="276" t="s">
        <v>648</v>
      </c>
      <c r="AY71" s="277">
        <v>1.3888888888888889E-3</v>
      </c>
      <c r="AZ71" s="276" t="s">
        <v>649</v>
      </c>
    </row>
    <row r="72" spans="2:52" ht="25.25" customHeight="1" thickBot="1">
      <c r="B72" s="308" t="s">
        <v>501</v>
      </c>
      <c r="C72" s="309" t="s">
        <v>650</v>
      </c>
      <c r="D72" s="309" t="s">
        <v>503</v>
      </c>
      <c r="E72" s="309" t="s">
        <v>504</v>
      </c>
      <c r="W72" s="233"/>
      <c r="Z72" s="36">
        <v>45938</v>
      </c>
      <c r="AA72" s="36"/>
      <c r="AI72" s="36">
        <v>45918</v>
      </c>
      <c r="AJ72" s="36"/>
      <c r="AK72" s="36"/>
      <c r="AU72" s="274" t="s">
        <v>413</v>
      </c>
      <c r="AV72" s="279">
        <v>45909</v>
      </c>
      <c r="AW72" s="276" t="s">
        <v>603</v>
      </c>
      <c r="AX72" s="276" t="s">
        <v>623</v>
      </c>
      <c r="AY72" s="277">
        <v>6.9444444444444441E-3</v>
      </c>
      <c r="AZ72" s="276" t="s">
        <v>624</v>
      </c>
    </row>
    <row r="73" spans="2:52" ht="25.25" customHeight="1" thickBot="1">
      <c r="B73" s="310">
        <v>45902</v>
      </c>
      <c r="C73" s="311" t="s">
        <v>651</v>
      </c>
      <c r="D73" s="311" t="s">
        <v>509</v>
      </c>
      <c r="E73" s="311">
        <v>12</v>
      </c>
      <c r="W73" s="233" t="s">
        <v>652</v>
      </c>
      <c r="Z73" s="36">
        <v>45939</v>
      </c>
      <c r="AA73" s="36"/>
      <c r="AI73" s="36">
        <v>45919</v>
      </c>
      <c r="AJ73" s="36"/>
      <c r="AK73" s="36"/>
      <c r="AU73" s="274" t="s">
        <v>413</v>
      </c>
      <c r="AV73" s="279">
        <v>45909</v>
      </c>
      <c r="AW73" s="276" t="s">
        <v>603</v>
      </c>
      <c r="AX73" s="276" t="s">
        <v>653</v>
      </c>
      <c r="AY73" s="277">
        <v>4.1666666666666666E-3</v>
      </c>
      <c r="AZ73" s="276" t="s">
        <v>624</v>
      </c>
    </row>
    <row r="74" spans="2:52" ht="25.25" customHeight="1" thickBot="1">
      <c r="B74" s="312">
        <v>45902</v>
      </c>
      <c r="C74" s="313" t="s">
        <v>654</v>
      </c>
      <c r="D74" s="313" t="s">
        <v>512</v>
      </c>
      <c r="E74" s="313">
        <v>3</v>
      </c>
      <c r="H74" s="365" t="s">
        <v>655</v>
      </c>
      <c r="I74" s="365"/>
      <c r="J74" s="365"/>
      <c r="K74" s="365"/>
      <c r="L74" s="365"/>
      <c r="M74" s="365"/>
      <c r="N74" s="365"/>
      <c r="O74" s="365"/>
      <c r="P74" s="365"/>
      <c r="Q74" s="365"/>
      <c r="R74" s="365"/>
      <c r="S74" s="365"/>
      <c r="T74" s="365"/>
      <c r="W74" s="230" t="s">
        <v>656</v>
      </c>
      <c r="Z74" s="36">
        <v>45940</v>
      </c>
      <c r="AA74" s="36"/>
      <c r="AI74" s="36">
        <v>45920</v>
      </c>
      <c r="AJ74" s="36"/>
      <c r="AK74" s="36"/>
      <c r="AU74" s="274" t="s">
        <v>413</v>
      </c>
      <c r="AV74" s="279">
        <v>45910</v>
      </c>
      <c r="AW74" s="276" t="s">
        <v>600</v>
      </c>
      <c r="AX74" s="276" t="s">
        <v>631</v>
      </c>
      <c r="AY74" s="277">
        <v>2.7777777777777779E-3</v>
      </c>
      <c r="AZ74" s="276" t="s">
        <v>641</v>
      </c>
    </row>
    <row r="75" spans="2:52" ht="25.25" customHeight="1" thickBot="1">
      <c r="B75" s="312">
        <v>45904</v>
      </c>
      <c r="C75" s="313" t="s">
        <v>654</v>
      </c>
      <c r="D75" s="313" t="s">
        <v>512</v>
      </c>
      <c r="E75" s="313">
        <v>3</v>
      </c>
      <c r="H75" s="189" t="s">
        <v>657</v>
      </c>
      <c r="I75" s="189" t="s">
        <v>658</v>
      </c>
      <c r="J75" s="189"/>
      <c r="K75" s="189" t="s">
        <v>659</v>
      </c>
      <c r="L75" s="189" t="s">
        <v>660</v>
      </c>
      <c r="M75" s="189" t="s">
        <v>503</v>
      </c>
      <c r="N75" s="189"/>
      <c r="O75" s="189"/>
      <c r="P75" s="189"/>
      <c r="Q75" s="189" t="s">
        <v>661</v>
      </c>
      <c r="R75" s="189" t="s">
        <v>662</v>
      </c>
      <c r="S75" s="189" t="s">
        <v>663</v>
      </c>
      <c r="T75" s="189" t="s">
        <v>664</v>
      </c>
      <c r="W75" s="230" t="s">
        <v>665</v>
      </c>
      <c r="Z75" s="36">
        <v>45941</v>
      </c>
      <c r="AA75" s="36"/>
      <c r="AH75" s="218"/>
      <c r="AI75" s="36">
        <v>45921</v>
      </c>
      <c r="AJ75" s="36"/>
      <c r="AK75" s="36"/>
      <c r="AU75" s="274" t="s">
        <v>413</v>
      </c>
      <c r="AV75" s="279">
        <v>45911</v>
      </c>
      <c r="AW75" s="276" t="s">
        <v>603</v>
      </c>
      <c r="AX75" s="276" t="s">
        <v>666</v>
      </c>
      <c r="AY75" s="277">
        <v>8.3333333333333332E-3</v>
      </c>
      <c r="AZ75" s="276" t="s">
        <v>638</v>
      </c>
    </row>
    <row r="76" spans="2:52" ht="25.25" customHeight="1" thickBot="1">
      <c r="B76" s="312">
        <v>45904</v>
      </c>
      <c r="C76" s="313" t="s">
        <v>651</v>
      </c>
      <c r="D76" s="313" t="s">
        <v>509</v>
      </c>
      <c r="E76" s="313">
        <v>12</v>
      </c>
      <c r="H76" s="190">
        <v>1</v>
      </c>
      <c r="I76" s="191">
        <v>45870</v>
      </c>
      <c r="J76" s="191"/>
      <c r="K76" s="192" t="s">
        <v>667</v>
      </c>
      <c r="L76" s="193" t="s">
        <v>668</v>
      </c>
      <c r="M76" s="194" t="s">
        <v>669</v>
      </c>
      <c r="N76" s="194"/>
      <c r="O76" s="194"/>
      <c r="P76" s="194"/>
      <c r="Q76" s="195" t="s">
        <v>670</v>
      </c>
      <c r="R76" s="196" t="s">
        <v>671</v>
      </c>
      <c r="S76" s="193"/>
      <c r="T76" s="196">
        <v>8</v>
      </c>
      <c r="W76" s="230" t="s">
        <v>672</v>
      </c>
      <c r="Z76" s="36">
        <v>45942</v>
      </c>
      <c r="AA76" s="36"/>
      <c r="AH76" s="218"/>
      <c r="AI76" s="36">
        <v>45922</v>
      </c>
      <c r="AJ76" s="36"/>
      <c r="AK76" s="36"/>
      <c r="AN76" s="300" t="s">
        <v>673</v>
      </c>
      <c r="AO76" s="300" t="s">
        <v>674</v>
      </c>
      <c r="AP76" s="300"/>
      <c r="AQ76" s="300" t="s">
        <v>329</v>
      </c>
      <c r="AR76" s="202"/>
      <c r="AU76" s="274" t="s">
        <v>413</v>
      </c>
      <c r="AV76" s="279">
        <v>45911</v>
      </c>
      <c r="AW76" s="276" t="s">
        <v>603</v>
      </c>
      <c r="AX76" s="276" t="s">
        <v>675</v>
      </c>
      <c r="AY76" s="277">
        <v>3.472222222222222E-3</v>
      </c>
      <c r="AZ76" s="276" t="s">
        <v>638</v>
      </c>
    </row>
    <row r="77" spans="2:52" ht="25.25" customHeight="1" thickBot="1">
      <c r="B77" s="312">
        <v>45906</v>
      </c>
      <c r="C77" s="313" t="s">
        <v>651</v>
      </c>
      <c r="D77" s="313" t="s">
        <v>509</v>
      </c>
      <c r="E77" s="313">
        <v>12</v>
      </c>
      <c r="H77" s="190">
        <v>2</v>
      </c>
      <c r="I77" s="191">
        <v>45873</v>
      </c>
      <c r="J77" s="191"/>
      <c r="K77" s="192" t="s">
        <v>676</v>
      </c>
      <c r="L77" s="193" t="s">
        <v>668</v>
      </c>
      <c r="M77" s="194" t="s">
        <v>677</v>
      </c>
      <c r="N77" s="194"/>
      <c r="O77" s="194"/>
      <c r="P77" s="194"/>
      <c r="Q77" s="195" t="s">
        <v>670</v>
      </c>
      <c r="R77" s="196" t="s">
        <v>671</v>
      </c>
      <c r="S77" s="193"/>
      <c r="T77" s="196">
        <v>8</v>
      </c>
      <c r="W77" s="231" t="s">
        <v>678</v>
      </c>
      <c r="Z77" s="36">
        <v>45943</v>
      </c>
      <c r="AA77" s="36"/>
      <c r="AH77" s="218"/>
      <c r="AI77" s="36">
        <v>45923</v>
      </c>
      <c r="AJ77" s="36"/>
      <c r="AK77" s="36"/>
      <c r="AN77" s="302">
        <v>64357.000784620963</v>
      </c>
      <c r="AO77" s="302">
        <v>52157.992749377969</v>
      </c>
      <c r="AP77" s="302"/>
      <c r="AQ77" s="302">
        <f>AN77-AO77</f>
        <v>12199.008035242994</v>
      </c>
      <c r="AR77" s="202"/>
      <c r="AS77" s="202"/>
      <c r="AT77" s="202"/>
      <c r="AU77" s="274" t="s">
        <v>413</v>
      </c>
      <c r="AV77" s="275">
        <v>45911</v>
      </c>
      <c r="AW77" s="276" t="s">
        <v>603</v>
      </c>
      <c r="AX77" s="276" t="s">
        <v>679</v>
      </c>
      <c r="AY77" s="277">
        <v>1.3888888888888889E-3</v>
      </c>
      <c r="AZ77" s="276" t="s">
        <v>680</v>
      </c>
    </row>
    <row r="78" spans="2:52" ht="25.25" customHeight="1" thickBot="1">
      <c r="B78" s="312">
        <v>45907</v>
      </c>
      <c r="C78" s="313" t="s">
        <v>654</v>
      </c>
      <c r="D78" s="313" t="s">
        <v>509</v>
      </c>
      <c r="E78" s="313">
        <v>3</v>
      </c>
      <c r="H78" s="190">
        <v>3</v>
      </c>
      <c r="I78" s="191">
        <v>45874</v>
      </c>
      <c r="J78" s="191"/>
      <c r="K78" s="192" t="s">
        <v>681</v>
      </c>
      <c r="L78" s="193" t="s">
        <v>634</v>
      </c>
      <c r="M78" s="194" t="s">
        <v>682</v>
      </c>
      <c r="N78" s="194"/>
      <c r="O78" s="194"/>
      <c r="P78" s="194"/>
      <c r="Q78" s="195" t="s">
        <v>670</v>
      </c>
      <c r="R78" s="196" t="s">
        <v>671</v>
      </c>
      <c r="S78" s="193"/>
      <c r="T78" s="196">
        <v>12</v>
      </c>
      <c r="W78" s="233"/>
      <c r="Z78" s="36">
        <v>45944</v>
      </c>
      <c r="AA78" s="36"/>
      <c r="AH78" s="220"/>
      <c r="AI78" s="36">
        <v>45924</v>
      </c>
      <c r="AJ78" s="36"/>
      <c r="AK78" s="36"/>
      <c r="AO78" s="202"/>
      <c r="AP78" s="202"/>
      <c r="AQ78" s="202"/>
      <c r="AR78" s="202"/>
      <c r="AS78" s="202"/>
      <c r="AT78" s="202"/>
      <c r="AU78" s="274" t="s">
        <v>413</v>
      </c>
      <c r="AV78" s="279">
        <v>45911</v>
      </c>
      <c r="AW78" s="276" t="s">
        <v>600</v>
      </c>
      <c r="AX78" s="276" t="s">
        <v>683</v>
      </c>
      <c r="AY78" s="277">
        <v>2.7777777777777779E-3</v>
      </c>
      <c r="AZ78" s="278" t="s">
        <v>602</v>
      </c>
    </row>
    <row r="79" spans="2:52" ht="25.25" customHeight="1" thickBot="1">
      <c r="B79" s="312">
        <v>45908</v>
      </c>
      <c r="C79" s="313" t="s">
        <v>651</v>
      </c>
      <c r="D79" s="313" t="s">
        <v>509</v>
      </c>
      <c r="E79" s="313">
        <v>12</v>
      </c>
      <c r="H79" s="190">
        <v>4</v>
      </c>
      <c r="I79" s="191">
        <v>45874</v>
      </c>
      <c r="J79" s="191"/>
      <c r="K79" s="192" t="s">
        <v>676</v>
      </c>
      <c r="L79" s="193" t="s">
        <v>634</v>
      </c>
      <c r="M79" s="194" t="s">
        <v>677</v>
      </c>
      <c r="N79" s="194"/>
      <c r="O79" s="194"/>
      <c r="P79" s="194"/>
      <c r="Q79" s="195" t="s">
        <v>670</v>
      </c>
      <c r="R79" s="196" t="s">
        <v>671</v>
      </c>
      <c r="S79" s="193"/>
      <c r="T79" s="196">
        <v>8</v>
      </c>
      <c r="W79" s="230"/>
      <c r="Z79" s="36">
        <v>45945</v>
      </c>
      <c r="AA79" s="36"/>
      <c r="AH79" s="220"/>
      <c r="AI79" s="36">
        <v>45925</v>
      </c>
      <c r="AJ79" s="36"/>
      <c r="AK79" s="36"/>
      <c r="AQ79" s="6"/>
      <c r="AR79" s="6"/>
      <c r="AS79" s="202"/>
      <c r="AU79" s="274" t="s">
        <v>413</v>
      </c>
      <c r="AV79" s="275">
        <v>45912</v>
      </c>
      <c r="AW79" s="276" t="s">
        <v>603</v>
      </c>
      <c r="AX79" s="276" t="s">
        <v>619</v>
      </c>
      <c r="AY79" s="277">
        <v>5.5555555555555558E-3</v>
      </c>
      <c r="AZ79" s="276" t="s">
        <v>641</v>
      </c>
    </row>
    <row r="80" spans="2:52" ht="25.25" customHeight="1" thickBot="1">
      <c r="B80" s="312">
        <v>45909</v>
      </c>
      <c r="C80" s="313" t="s">
        <v>654</v>
      </c>
      <c r="D80" s="313" t="s">
        <v>512</v>
      </c>
      <c r="E80" s="313">
        <v>3</v>
      </c>
      <c r="H80" s="190">
        <v>5</v>
      </c>
      <c r="I80" s="191">
        <v>45875</v>
      </c>
      <c r="J80" s="191"/>
      <c r="K80" s="192" t="s">
        <v>676</v>
      </c>
      <c r="L80" s="193" t="s">
        <v>668</v>
      </c>
      <c r="M80" s="194" t="s">
        <v>677</v>
      </c>
      <c r="N80" s="194"/>
      <c r="O80" s="194"/>
      <c r="P80" s="194"/>
      <c r="Q80" s="195" t="s">
        <v>670</v>
      </c>
      <c r="R80" s="196" t="s">
        <v>671</v>
      </c>
      <c r="S80" s="193"/>
      <c r="T80" s="196">
        <v>8</v>
      </c>
      <c r="W80" s="233" t="s">
        <v>684</v>
      </c>
      <c r="Z80" s="36">
        <v>45946</v>
      </c>
      <c r="AA80" s="36"/>
      <c r="AI80" s="36">
        <v>45926</v>
      </c>
      <c r="AJ80" s="36"/>
      <c r="AK80" s="36"/>
      <c r="AR80" s="218"/>
      <c r="AS80" s="202"/>
      <c r="AU80" s="274" t="s">
        <v>413</v>
      </c>
      <c r="AV80" s="279">
        <v>45912</v>
      </c>
      <c r="AW80" s="276" t="s">
        <v>600</v>
      </c>
      <c r="AX80" s="276" t="s">
        <v>685</v>
      </c>
      <c r="AY80" s="277">
        <v>1.0416666666666666E-2</v>
      </c>
      <c r="AZ80" s="276" t="s">
        <v>616</v>
      </c>
    </row>
    <row r="81" spans="2:52" ht="25.25" customHeight="1" thickBot="1">
      <c r="B81" s="312">
        <v>45916</v>
      </c>
      <c r="C81" s="313" t="s">
        <v>651</v>
      </c>
      <c r="D81" s="313" t="s">
        <v>509</v>
      </c>
      <c r="E81" s="313">
        <v>12</v>
      </c>
      <c r="H81" s="190">
        <v>6</v>
      </c>
      <c r="I81" s="191">
        <v>45876</v>
      </c>
      <c r="J81" s="191"/>
      <c r="K81" s="192" t="s">
        <v>681</v>
      </c>
      <c r="L81" s="193" t="s">
        <v>634</v>
      </c>
      <c r="M81" s="194" t="s">
        <v>682</v>
      </c>
      <c r="N81" s="194"/>
      <c r="O81" s="194"/>
      <c r="P81" s="194"/>
      <c r="Q81" s="195" t="s">
        <v>670</v>
      </c>
      <c r="R81" s="196" t="s">
        <v>671</v>
      </c>
      <c r="S81" s="193"/>
      <c r="T81" s="196">
        <v>12</v>
      </c>
      <c r="W81" s="230" t="s">
        <v>686</v>
      </c>
      <c r="Z81" s="36">
        <v>45947</v>
      </c>
      <c r="AA81" s="36"/>
      <c r="AI81" s="36">
        <v>45927</v>
      </c>
      <c r="AJ81" s="36"/>
      <c r="AK81" s="36"/>
      <c r="AL81" s="186" t="s">
        <v>485</v>
      </c>
      <c r="AM81" s="300" t="s">
        <v>687</v>
      </c>
      <c r="AN81" s="300" t="s">
        <v>688</v>
      </c>
      <c r="AO81" s="182" t="s">
        <v>689</v>
      </c>
      <c r="AP81" s="182"/>
      <c r="AQ81" s="301" t="s">
        <v>273</v>
      </c>
      <c r="AR81" s="6">
        <f>AR80*24</f>
        <v>0</v>
      </c>
      <c r="AS81" s="202">
        <v>1.1111111111111112E-2</v>
      </c>
      <c r="AU81" s="274" t="s">
        <v>413</v>
      </c>
      <c r="AV81" s="279">
        <v>45913</v>
      </c>
      <c r="AW81" s="276" t="s">
        <v>603</v>
      </c>
      <c r="AX81" s="280" t="s">
        <v>690</v>
      </c>
      <c r="AY81" s="277">
        <v>9.0277777777777769E-3</v>
      </c>
      <c r="AZ81" s="276" t="s">
        <v>691</v>
      </c>
    </row>
    <row r="82" spans="2:52" ht="25.25" customHeight="1" thickBot="1">
      <c r="B82" s="312">
        <v>45916</v>
      </c>
      <c r="C82" s="313" t="s">
        <v>692</v>
      </c>
      <c r="D82" s="313" t="s">
        <v>534</v>
      </c>
      <c r="E82" s="313">
        <v>9</v>
      </c>
      <c r="H82" s="190">
        <v>7</v>
      </c>
      <c r="I82" s="191">
        <v>45878</v>
      </c>
      <c r="J82" s="191"/>
      <c r="K82" s="192" t="s">
        <v>681</v>
      </c>
      <c r="L82" s="193" t="s">
        <v>668</v>
      </c>
      <c r="M82" s="194" t="s">
        <v>682</v>
      </c>
      <c r="N82" s="194"/>
      <c r="O82" s="194"/>
      <c r="P82" s="194"/>
      <c r="Q82" s="195" t="s">
        <v>670</v>
      </c>
      <c r="R82" s="196" t="s">
        <v>671</v>
      </c>
      <c r="S82" s="193"/>
      <c r="T82" s="196">
        <v>12</v>
      </c>
      <c r="W82" s="233"/>
      <c r="Z82" s="36">
        <v>45948</v>
      </c>
      <c r="AA82" s="36"/>
      <c r="AI82" s="36">
        <v>45928</v>
      </c>
      <c r="AJ82" s="36"/>
      <c r="AK82" s="36"/>
      <c r="AL82" s="137" t="s">
        <v>35</v>
      </c>
      <c r="AM82" s="302">
        <v>12461.141519566572</v>
      </c>
      <c r="AN82" s="302">
        <f>AM82/30.44</f>
        <v>409.36732981493338</v>
      </c>
      <c r="AO82" s="304">
        <v>10</v>
      </c>
      <c r="AP82" s="304"/>
      <c r="AQ82" s="169">
        <f>AN82*AO82</f>
        <v>4093.6732981493337</v>
      </c>
      <c r="AR82" s="6">
        <f>AR81*24</f>
        <v>0</v>
      </c>
      <c r="AS82" s="202">
        <v>1.3888888888888888E-2</v>
      </c>
      <c r="AU82" s="274" t="s">
        <v>413</v>
      </c>
      <c r="AV82" s="279">
        <v>45914</v>
      </c>
      <c r="AW82" s="276" t="s">
        <v>600</v>
      </c>
      <c r="AX82" s="276" t="s">
        <v>693</v>
      </c>
      <c r="AY82" s="277">
        <v>5.5555555555555558E-3</v>
      </c>
      <c r="AZ82" s="276" t="s">
        <v>613</v>
      </c>
    </row>
    <row r="83" spans="2:52" ht="25.25" customHeight="1" thickBot="1">
      <c r="B83" s="312">
        <v>45917</v>
      </c>
      <c r="C83" s="313" t="s">
        <v>654</v>
      </c>
      <c r="D83" s="313" t="s">
        <v>536</v>
      </c>
      <c r="E83" s="313">
        <v>3.5</v>
      </c>
      <c r="H83" s="190">
        <v>8</v>
      </c>
      <c r="I83" s="191">
        <v>45880</v>
      </c>
      <c r="J83" s="191"/>
      <c r="K83" s="192" t="s">
        <v>667</v>
      </c>
      <c r="L83" s="193" t="s">
        <v>668</v>
      </c>
      <c r="M83" s="194" t="s">
        <v>669</v>
      </c>
      <c r="N83" s="194"/>
      <c r="O83" s="194"/>
      <c r="P83" s="194"/>
      <c r="Q83" s="195" t="s">
        <v>670</v>
      </c>
      <c r="R83" s="196" t="s">
        <v>671</v>
      </c>
      <c r="S83" s="193"/>
      <c r="T83" s="196">
        <v>8</v>
      </c>
      <c r="W83" s="233" t="s">
        <v>694</v>
      </c>
      <c r="Z83" s="36">
        <v>45949</v>
      </c>
      <c r="AA83" s="36"/>
      <c r="AI83" s="36">
        <v>45929</v>
      </c>
      <c r="AJ83" s="36"/>
      <c r="AK83" s="36"/>
      <c r="AL83" s="137" t="s">
        <v>164</v>
      </c>
      <c r="AM83" s="302">
        <v>6254.8923681827418</v>
      </c>
      <c r="AN83" s="302">
        <f>AM83/30.44</f>
        <v>205.48266649746193</v>
      </c>
      <c r="AO83" s="304">
        <v>10</v>
      </c>
      <c r="AP83" s="304"/>
      <c r="AQ83" s="169">
        <f>AN83*AO83</f>
        <v>2054.8266649746192</v>
      </c>
      <c r="AS83" s="202"/>
      <c r="AU83" s="274" t="s">
        <v>413</v>
      </c>
      <c r="AV83" s="279">
        <v>45914</v>
      </c>
      <c r="AW83" s="276" t="s">
        <v>603</v>
      </c>
      <c r="AX83" s="280" t="s">
        <v>695</v>
      </c>
      <c r="AY83" s="277">
        <v>6.2500000000000003E-3</v>
      </c>
      <c r="AZ83" s="276" t="s">
        <v>620</v>
      </c>
    </row>
    <row r="84" spans="2:52" ht="25.25" customHeight="1" thickBot="1">
      <c r="B84" s="312">
        <v>45919</v>
      </c>
      <c r="C84" s="313" t="s">
        <v>654</v>
      </c>
      <c r="D84" s="313" t="s">
        <v>509</v>
      </c>
      <c r="E84" s="313">
        <v>12</v>
      </c>
      <c r="H84" s="190">
        <v>9</v>
      </c>
      <c r="I84" s="191">
        <v>45880</v>
      </c>
      <c r="J84" s="191"/>
      <c r="K84" s="192" t="s">
        <v>681</v>
      </c>
      <c r="L84" s="193" t="s">
        <v>634</v>
      </c>
      <c r="M84" s="194" t="s">
        <v>682</v>
      </c>
      <c r="N84" s="194"/>
      <c r="O84" s="194"/>
      <c r="P84" s="194"/>
      <c r="Q84" s="195" t="s">
        <v>670</v>
      </c>
      <c r="R84" s="196" t="s">
        <v>671</v>
      </c>
      <c r="S84" s="193"/>
      <c r="T84" s="196">
        <v>12</v>
      </c>
      <c r="W84" s="230" t="s">
        <v>696</v>
      </c>
      <c r="Z84" s="36">
        <v>45950</v>
      </c>
      <c r="AI84" s="36">
        <v>45930</v>
      </c>
      <c r="AJ84" s="36"/>
      <c r="AK84" s="36"/>
      <c r="AS84" s="202"/>
      <c r="AU84" s="274" t="s">
        <v>413</v>
      </c>
      <c r="AV84" s="279">
        <v>45915</v>
      </c>
      <c r="AW84" s="276" t="s">
        <v>600</v>
      </c>
      <c r="AX84" s="276" t="s">
        <v>697</v>
      </c>
      <c r="AY84" s="277">
        <v>9.0277777777777769E-3</v>
      </c>
      <c r="AZ84" s="276" t="s">
        <v>698</v>
      </c>
    </row>
    <row r="85" spans="2:52" ht="25.25" customHeight="1" thickBot="1">
      <c r="B85" s="312">
        <v>45921</v>
      </c>
      <c r="C85" s="313" t="s">
        <v>699</v>
      </c>
      <c r="D85" s="313" t="s">
        <v>539</v>
      </c>
      <c r="E85" s="313">
        <v>12</v>
      </c>
      <c r="H85" s="190">
        <v>10</v>
      </c>
      <c r="I85" s="191">
        <v>45881</v>
      </c>
      <c r="J85" s="191"/>
      <c r="K85" s="192" t="s">
        <v>667</v>
      </c>
      <c r="L85" s="193" t="s">
        <v>634</v>
      </c>
      <c r="M85" s="194" t="s">
        <v>669</v>
      </c>
      <c r="N85" s="194"/>
      <c r="O85" s="194"/>
      <c r="P85" s="194"/>
      <c r="Q85" s="195" t="s">
        <v>670</v>
      </c>
      <c r="R85" s="196" t="s">
        <v>671</v>
      </c>
      <c r="S85" s="193"/>
      <c r="T85" s="196">
        <v>8</v>
      </c>
      <c r="W85" s="230" t="s">
        <v>700</v>
      </c>
      <c r="Z85" s="36">
        <v>45951</v>
      </c>
      <c r="AU85" s="274" t="s">
        <v>413</v>
      </c>
      <c r="AV85" s="279">
        <v>45915</v>
      </c>
      <c r="AW85" s="276" t="s">
        <v>600</v>
      </c>
      <c r="AX85" s="276" t="s">
        <v>701</v>
      </c>
      <c r="AY85" s="277">
        <v>7.6388888888888886E-3</v>
      </c>
      <c r="AZ85" s="278" t="s">
        <v>602</v>
      </c>
    </row>
    <row r="86" spans="2:52" ht="25.25" customHeight="1" thickBot="1">
      <c r="B86" s="312">
        <v>45921</v>
      </c>
      <c r="C86" s="313" t="s">
        <v>654</v>
      </c>
      <c r="D86" s="313" t="s">
        <v>509</v>
      </c>
      <c r="E86" s="313">
        <v>12</v>
      </c>
      <c r="H86" s="190">
        <v>11</v>
      </c>
      <c r="I86" s="191">
        <v>45882</v>
      </c>
      <c r="J86" s="191"/>
      <c r="K86" s="192" t="s">
        <v>681</v>
      </c>
      <c r="L86" s="193" t="s">
        <v>668</v>
      </c>
      <c r="M86" s="194" t="s">
        <v>682</v>
      </c>
      <c r="N86" s="194"/>
      <c r="O86" s="194"/>
      <c r="P86" s="194"/>
      <c r="Q86" s="195" t="s">
        <v>670</v>
      </c>
      <c r="R86" s="196" t="s">
        <v>671</v>
      </c>
      <c r="S86" s="193"/>
      <c r="T86" s="196">
        <v>12</v>
      </c>
      <c r="W86" s="233"/>
      <c r="Z86" s="36">
        <v>45952</v>
      </c>
      <c r="AI86" s="297" t="s">
        <v>702</v>
      </c>
      <c r="AJ86" s="298"/>
      <c r="AK86" s="298"/>
      <c r="AL86" s="299"/>
      <c r="AU86" s="274" t="s">
        <v>413</v>
      </c>
      <c r="AV86" s="279">
        <v>45915</v>
      </c>
      <c r="AW86" s="276" t="s">
        <v>603</v>
      </c>
      <c r="AX86" s="280" t="s">
        <v>646</v>
      </c>
      <c r="AY86" s="277">
        <v>4.8611111111111112E-3</v>
      </c>
      <c r="AZ86" s="276" t="s">
        <v>680</v>
      </c>
    </row>
    <row r="87" spans="2:52" ht="25.25" customHeight="1" thickBot="1">
      <c r="B87" s="312">
        <v>45923</v>
      </c>
      <c r="C87" s="313" t="s">
        <v>654</v>
      </c>
      <c r="D87" s="313" t="s">
        <v>509</v>
      </c>
      <c r="E87" s="313">
        <v>12</v>
      </c>
      <c r="H87" s="190">
        <v>12</v>
      </c>
      <c r="I87" s="191">
        <v>45883</v>
      </c>
      <c r="J87" s="191"/>
      <c r="K87" s="192" t="s">
        <v>681</v>
      </c>
      <c r="L87" s="193" t="s">
        <v>634</v>
      </c>
      <c r="M87" s="194" t="s">
        <v>682</v>
      </c>
      <c r="N87" s="194"/>
      <c r="O87" s="194"/>
      <c r="P87" s="194"/>
      <c r="Q87" s="195" t="s">
        <v>670</v>
      </c>
      <c r="R87" s="196" t="s">
        <v>671</v>
      </c>
      <c r="S87" s="193"/>
      <c r="T87" s="196">
        <v>12</v>
      </c>
      <c r="W87" s="230"/>
      <c r="Z87" s="36">
        <v>45953</v>
      </c>
      <c r="AI87" s="237" t="s">
        <v>324</v>
      </c>
      <c r="AJ87" s="237" t="s">
        <v>319</v>
      </c>
      <c r="AK87" s="237" t="s">
        <v>703</v>
      </c>
      <c r="AL87" s="237" t="s">
        <v>704</v>
      </c>
      <c r="AU87" s="274" t="s">
        <v>413</v>
      </c>
      <c r="AV87" s="279">
        <v>45916</v>
      </c>
      <c r="AW87" s="276" t="s">
        <v>603</v>
      </c>
      <c r="AX87" s="280" t="s">
        <v>695</v>
      </c>
      <c r="AY87" s="277">
        <v>6.2500000000000003E-3</v>
      </c>
      <c r="AZ87" s="276" t="s">
        <v>705</v>
      </c>
    </row>
    <row r="88" spans="2:52" ht="25.25" customHeight="1" thickBot="1">
      <c r="B88" s="312">
        <v>45924</v>
      </c>
      <c r="C88" s="313" t="s">
        <v>654</v>
      </c>
      <c r="D88" s="313" t="s">
        <v>512</v>
      </c>
      <c r="E88" s="313">
        <v>3</v>
      </c>
      <c r="H88" s="190">
        <v>13</v>
      </c>
      <c r="I88" s="191">
        <v>45884</v>
      </c>
      <c r="J88" s="191"/>
      <c r="K88" s="192" t="s">
        <v>681</v>
      </c>
      <c r="L88" s="193" t="s">
        <v>668</v>
      </c>
      <c r="M88" s="194" t="s">
        <v>682</v>
      </c>
      <c r="N88" s="194"/>
      <c r="O88" s="194"/>
      <c r="P88" s="194"/>
      <c r="Q88" s="195" t="s">
        <v>670</v>
      </c>
      <c r="R88" s="196" t="s">
        <v>671</v>
      </c>
      <c r="S88" s="193"/>
      <c r="T88" s="196">
        <v>12</v>
      </c>
      <c r="W88" s="229" t="s">
        <v>706</v>
      </c>
      <c r="Z88" s="36">
        <v>45954</v>
      </c>
      <c r="AI88" s="246">
        <v>64357</v>
      </c>
      <c r="AJ88" s="241">
        <v>30</v>
      </c>
      <c r="AK88" s="247">
        <v>406.63360117476645</v>
      </c>
      <c r="AL88" s="246">
        <f>AJ88*AK88</f>
        <v>12199.008035242994</v>
      </c>
      <c r="AU88" s="274" t="s">
        <v>413</v>
      </c>
      <c r="AV88" s="279">
        <v>45917</v>
      </c>
      <c r="AW88" s="276" t="s">
        <v>600</v>
      </c>
      <c r="AX88" s="276" t="s">
        <v>707</v>
      </c>
      <c r="AY88" s="277">
        <v>8.3333333333333332E-3</v>
      </c>
      <c r="AZ88" s="278" t="s">
        <v>602</v>
      </c>
    </row>
    <row r="89" spans="2:52" ht="25.25" customHeight="1" thickBot="1">
      <c r="B89" s="312">
        <v>45927</v>
      </c>
      <c r="C89" s="313" t="s">
        <v>699</v>
      </c>
      <c r="D89" s="313" t="s">
        <v>539</v>
      </c>
      <c r="E89" s="313">
        <v>12</v>
      </c>
      <c r="H89" s="190">
        <v>14</v>
      </c>
      <c r="I89" s="191">
        <v>45885</v>
      </c>
      <c r="J89" s="191"/>
      <c r="K89" s="192" t="s">
        <v>667</v>
      </c>
      <c r="L89" s="193" t="s">
        <v>634</v>
      </c>
      <c r="M89" s="194" t="s">
        <v>669</v>
      </c>
      <c r="N89" s="194"/>
      <c r="O89" s="194"/>
      <c r="P89" s="194"/>
      <c r="Q89" s="195" t="s">
        <v>670</v>
      </c>
      <c r="R89" s="196" t="s">
        <v>671</v>
      </c>
      <c r="S89" s="193"/>
      <c r="T89" s="196">
        <v>8</v>
      </c>
      <c r="W89" s="230" t="s">
        <v>708</v>
      </c>
      <c r="Z89" s="36">
        <v>45955</v>
      </c>
      <c r="AK89" s="40"/>
      <c r="AL89" s="40"/>
      <c r="AR89" s="43">
        <v>53231</v>
      </c>
      <c r="AU89" s="274" t="s">
        <v>413</v>
      </c>
      <c r="AV89" s="279">
        <v>45918</v>
      </c>
      <c r="AW89" s="276" t="s">
        <v>603</v>
      </c>
      <c r="AX89" s="276" t="s">
        <v>623</v>
      </c>
      <c r="AY89" s="281">
        <v>6.9444444444444441E-3</v>
      </c>
      <c r="AZ89" s="276" t="s">
        <v>620</v>
      </c>
    </row>
    <row r="90" spans="2:52" ht="25.25" customHeight="1" thickBot="1">
      <c r="B90" s="312">
        <v>45927</v>
      </c>
      <c r="C90" s="313" t="s">
        <v>709</v>
      </c>
      <c r="D90" s="313" t="s">
        <v>543</v>
      </c>
      <c r="E90" s="313">
        <v>8.5</v>
      </c>
      <c r="H90" s="190">
        <v>15</v>
      </c>
      <c r="I90" s="191">
        <v>45885</v>
      </c>
      <c r="J90" s="191"/>
      <c r="K90" s="192" t="s">
        <v>667</v>
      </c>
      <c r="L90" s="193" t="s">
        <v>668</v>
      </c>
      <c r="M90" s="194" t="s">
        <v>669</v>
      </c>
      <c r="N90" s="194"/>
      <c r="O90" s="194"/>
      <c r="P90" s="194"/>
      <c r="Q90" s="195" t="s">
        <v>670</v>
      </c>
      <c r="R90" s="196" t="s">
        <v>671</v>
      </c>
      <c r="S90" s="193"/>
      <c r="T90" s="196">
        <v>8</v>
      </c>
      <c r="W90" s="230" t="s">
        <v>710</v>
      </c>
      <c r="Z90" s="36">
        <v>45956</v>
      </c>
      <c r="AU90" s="274" t="s">
        <v>413</v>
      </c>
      <c r="AV90" s="279">
        <v>45919</v>
      </c>
      <c r="AW90" s="276" t="s">
        <v>600</v>
      </c>
      <c r="AX90" s="276" t="s">
        <v>711</v>
      </c>
      <c r="AY90" s="282">
        <v>2.0833333333333333E-3</v>
      </c>
      <c r="AZ90" s="278" t="s">
        <v>602</v>
      </c>
    </row>
    <row r="91" spans="2:52" ht="25.25" customHeight="1" thickBot="1">
      <c r="B91" s="312">
        <v>45928</v>
      </c>
      <c r="C91" s="313" t="s">
        <v>709</v>
      </c>
      <c r="D91" s="313" t="s">
        <v>544</v>
      </c>
      <c r="E91" s="313">
        <v>5</v>
      </c>
      <c r="H91" s="190">
        <v>16</v>
      </c>
      <c r="I91" s="191">
        <v>45886</v>
      </c>
      <c r="J91" s="191"/>
      <c r="K91" s="192" t="s">
        <v>667</v>
      </c>
      <c r="L91" s="193" t="s">
        <v>634</v>
      </c>
      <c r="M91" s="194" t="s">
        <v>669</v>
      </c>
      <c r="N91" s="194"/>
      <c r="O91" s="194"/>
      <c r="P91" s="194"/>
      <c r="Q91" s="195" t="s">
        <v>670</v>
      </c>
      <c r="R91" s="196" t="s">
        <v>671</v>
      </c>
      <c r="S91" s="193"/>
      <c r="T91" s="196">
        <v>8</v>
      </c>
      <c r="W91" s="230" t="s">
        <v>712</v>
      </c>
      <c r="Z91" s="36">
        <v>45957</v>
      </c>
      <c r="AU91" s="274" t="s">
        <v>413</v>
      </c>
      <c r="AV91" s="279">
        <v>45919</v>
      </c>
      <c r="AW91" s="276" t="s">
        <v>603</v>
      </c>
      <c r="AX91" s="276" t="s">
        <v>713</v>
      </c>
      <c r="AY91" s="282">
        <v>1.6666666666666666E-2</v>
      </c>
      <c r="AZ91" s="276" t="s">
        <v>680</v>
      </c>
    </row>
    <row r="92" spans="2:52" ht="25.25" customHeight="1" thickBot="1">
      <c r="B92" s="312">
        <v>45929</v>
      </c>
      <c r="C92" s="313" t="s">
        <v>654</v>
      </c>
      <c r="D92" s="313" t="s">
        <v>546</v>
      </c>
      <c r="E92" s="313">
        <v>6.5</v>
      </c>
      <c r="F92" s="202">
        <v>4.791666666666667E-2</v>
      </c>
      <c r="H92" s="190">
        <v>17</v>
      </c>
      <c r="I92" s="191">
        <v>45887</v>
      </c>
      <c r="J92" s="191"/>
      <c r="K92" s="192" t="s">
        <v>667</v>
      </c>
      <c r="L92" s="193" t="s">
        <v>668</v>
      </c>
      <c r="M92" s="194" t="s">
        <v>669</v>
      </c>
      <c r="N92" s="194"/>
      <c r="O92" s="194"/>
      <c r="P92" s="194"/>
      <c r="Q92" s="195" t="s">
        <v>670</v>
      </c>
      <c r="R92" s="196" t="s">
        <v>671</v>
      </c>
      <c r="S92" s="193"/>
      <c r="T92" s="196">
        <v>8</v>
      </c>
      <c r="W92" s="230" t="s">
        <v>714</v>
      </c>
      <c r="Z92" s="36">
        <v>45958</v>
      </c>
      <c r="AU92" s="274" t="s">
        <v>413</v>
      </c>
      <c r="AV92" s="279">
        <v>45920</v>
      </c>
      <c r="AW92" s="276" t="s">
        <v>603</v>
      </c>
      <c r="AX92" s="276" t="s">
        <v>619</v>
      </c>
      <c r="AY92" s="282">
        <v>5.5555555555555558E-3</v>
      </c>
      <c r="AZ92" s="276" t="s">
        <v>705</v>
      </c>
    </row>
    <row r="93" spans="2:52" ht="25.25" customHeight="1" thickBot="1">
      <c r="B93" s="357" t="s">
        <v>548</v>
      </c>
      <c r="C93" s="358"/>
      <c r="D93" s="359"/>
      <c r="E93" s="309" t="s">
        <v>549</v>
      </c>
      <c r="F93" s="6">
        <f>F92*24</f>
        <v>1.1500000000000001</v>
      </c>
      <c r="H93" s="190">
        <v>18</v>
      </c>
      <c r="I93" s="191">
        <v>45888</v>
      </c>
      <c r="J93" s="191"/>
      <c r="K93" s="192" t="s">
        <v>667</v>
      </c>
      <c r="L93" s="193" t="s">
        <v>634</v>
      </c>
      <c r="M93" s="194" t="s">
        <v>669</v>
      </c>
      <c r="N93" s="194"/>
      <c r="O93" s="194"/>
      <c r="P93" s="194"/>
      <c r="Q93" s="195" t="s">
        <v>670</v>
      </c>
      <c r="R93" s="196" t="s">
        <v>671</v>
      </c>
      <c r="S93" s="193"/>
      <c r="T93" s="196">
        <v>8</v>
      </c>
      <c r="W93" s="230"/>
      <c r="Z93" s="36">
        <v>45959</v>
      </c>
      <c r="AU93" s="274" t="s">
        <v>413</v>
      </c>
      <c r="AV93" s="279">
        <v>45921</v>
      </c>
      <c r="AW93" s="276" t="s">
        <v>603</v>
      </c>
      <c r="AX93" s="276" t="s">
        <v>715</v>
      </c>
      <c r="AY93" s="282">
        <v>2.7777777777777776E-2</v>
      </c>
      <c r="AZ93" s="276" t="s">
        <v>680</v>
      </c>
    </row>
    <row r="94" spans="2:52" ht="25.25" customHeight="1" thickBot="1">
      <c r="B94" s="360"/>
      <c r="C94" s="361"/>
      <c r="D94" s="362"/>
      <c r="E94" s="314">
        <v>167.5</v>
      </c>
      <c r="H94" s="190">
        <v>19</v>
      </c>
      <c r="I94" s="191">
        <v>45888</v>
      </c>
      <c r="J94" s="191"/>
      <c r="K94" s="192" t="s">
        <v>681</v>
      </c>
      <c r="L94" s="193" t="s">
        <v>634</v>
      </c>
      <c r="M94" s="194" t="s">
        <v>682</v>
      </c>
      <c r="N94" s="194"/>
      <c r="O94" s="194"/>
      <c r="P94" s="194"/>
      <c r="Q94" s="195" t="s">
        <v>670</v>
      </c>
      <c r="R94" s="196" t="s">
        <v>671</v>
      </c>
      <c r="S94" s="193"/>
      <c r="T94" s="196">
        <v>12</v>
      </c>
      <c r="W94" s="233" t="s">
        <v>716</v>
      </c>
      <c r="Z94" s="36">
        <v>45960</v>
      </c>
      <c r="AU94" s="274" t="s">
        <v>413</v>
      </c>
      <c r="AV94" s="279">
        <v>45921</v>
      </c>
      <c r="AW94" s="276" t="s">
        <v>603</v>
      </c>
      <c r="AX94" s="276" t="s">
        <v>717</v>
      </c>
      <c r="AY94" s="282">
        <v>2.7777777777777776E-2</v>
      </c>
      <c r="AZ94" s="276" t="s">
        <v>680</v>
      </c>
    </row>
    <row r="95" spans="2:52" ht="25.25" customHeight="1" thickBot="1">
      <c r="H95" s="190">
        <v>20</v>
      </c>
      <c r="I95" s="191">
        <v>45889</v>
      </c>
      <c r="J95" s="191"/>
      <c r="K95" s="192" t="s">
        <v>667</v>
      </c>
      <c r="L95" s="193" t="s">
        <v>634</v>
      </c>
      <c r="M95" s="194" t="s">
        <v>669</v>
      </c>
      <c r="N95" s="194"/>
      <c r="O95" s="194"/>
      <c r="P95" s="194"/>
      <c r="Q95" s="195" t="s">
        <v>670</v>
      </c>
      <c r="R95" s="196" t="s">
        <v>671</v>
      </c>
      <c r="S95" s="193"/>
      <c r="T95" s="196">
        <v>8</v>
      </c>
      <c r="W95" s="230" t="s">
        <v>718</v>
      </c>
      <c r="Z95" s="36">
        <v>45961</v>
      </c>
      <c r="AU95" s="274" t="s">
        <v>413</v>
      </c>
      <c r="AV95" s="279">
        <v>45921</v>
      </c>
      <c r="AW95" s="276" t="s">
        <v>603</v>
      </c>
      <c r="AX95" s="276" t="s">
        <v>719</v>
      </c>
      <c r="AY95" s="282">
        <v>6.9444444444444441E-3</v>
      </c>
      <c r="AZ95" s="276" t="s">
        <v>720</v>
      </c>
    </row>
    <row r="96" spans="2:52" ht="25.25" customHeight="1" thickBot="1">
      <c r="C96">
        <v>177436.67</v>
      </c>
      <c r="D96">
        <v>-53231</v>
      </c>
      <c r="H96" s="190">
        <v>21</v>
      </c>
      <c r="I96" s="191">
        <v>45893</v>
      </c>
      <c r="J96" s="191"/>
      <c r="K96" s="192" t="s">
        <v>667</v>
      </c>
      <c r="L96" s="193" t="s">
        <v>634</v>
      </c>
      <c r="M96" s="194" t="s">
        <v>669</v>
      </c>
      <c r="N96" s="194"/>
      <c r="O96" s="194"/>
      <c r="P96" s="194"/>
      <c r="Q96" s="195" t="s">
        <v>670</v>
      </c>
      <c r="R96" s="196" t="s">
        <v>671</v>
      </c>
      <c r="S96" s="193"/>
      <c r="T96" s="196">
        <v>8</v>
      </c>
      <c r="W96" s="232"/>
      <c r="AU96" s="274" t="s">
        <v>413</v>
      </c>
      <c r="AV96" s="279">
        <v>45922</v>
      </c>
      <c r="AW96" s="276" t="s">
        <v>721</v>
      </c>
      <c r="AX96" s="276" t="s">
        <v>722</v>
      </c>
      <c r="AY96" s="282">
        <v>1.9444444444444445E-2</v>
      </c>
      <c r="AZ96" s="276" t="s">
        <v>723</v>
      </c>
    </row>
    <row r="97" spans="8:52" ht="25.25" customHeight="1" thickBot="1">
      <c r="H97" s="190">
        <v>22</v>
      </c>
      <c r="I97" s="191">
        <v>45896</v>
      </c>
      <c r="J97" s="191"/>
      <c r="K97" s="192" t="s">
        <v>681</v>
      </c>
      <c r="L97" s="193" t="s">
        <v>668</v>
      </c>
      <c r="M97" s="194" t="s">
        <v>682</v>
      </c>
      <c r="N97" s="194"/>
      <c r="O97" s="194"/>
      <c r="P97" s="194"/>
      <c r="Q97" s="195" t="s">
        <v>670</v>
      </c>
      <c r="R97" s="196" t="s">
        <v>671</v>
      </c>
      <c r="S97" s="193"/>
      <c r="T97" s="196">
        <v>12</v>
      </c>
      <c r="W97" s="232"/>
      <c r="AU97" s="274" t="s">
        <v>413</v>
      </c>
      <c r="AV97" s="279">
        <v>45922</v>
      </c>
      <c r="AW97" s="276" t="s">
        <v>603</v>
      </c>
      <c r="AX97" s="276" t="s">
        <v>695</v>
      </c>
      <c r="AY97" s="282">
        <v>6.2500000000000003E-3</v>
      </c>
      <c r="AZ97" s="276" t="s">
        <v>620</v>
      </c>
    </row>
    <row r="98" spans="8:52" ht="25.25" customHeight="1" thickBot="1">
      <c r="H98" s="190">
        <v>23</v>
      </c>
      <c r="I98" s="191">
        <v>45899</v>
      </c>
      <c r="J98" s="191"/>
      <c r="K98" s="192" t="s">
        <v>667</v>
      </c>
      <c r="L98" s="193" t="s">
        <v>634</v>
      </c>
      <c r="M98" s="194" t="s">
        <v>669</v>
      </c>
      <c r="N98" s="194"/>
      <c r="O98" s="194"/>
      <c r="P98" s="194"/>
      <c r="Q98" s="195" t="s">
        <v>670</v>
      </c>
      <c r="R98" s="196" t="s">
        <v>671</v>
      </c>
      <c r="S98" s="193"/>
      <c r="T98" s="196">
        <v>8</v>
      </c>
      <c r="W98" s="229" t="s">
        <v>724</v>
      </c>
      <c r="AU98" s="274" t="s">
        <v>413</v>
      </c>
      <c r="AV98" s="283">
        <v>45923</v>
      </c>
      <c r="AW98" s="284" t="s">
        <v>603</v>
      </c>
      <c r="AX98" s="284" t="s">
        <v>725</v>
      </c>
      <c r="AY98" s="282">
        <v>2.6388888888888889E-2</v>
      </c>
      <c r="AZ98" s="284" t="s">
        <v>680</v>
      </c>
    </row>
    <row r="99" spans="8:52" ht="25.25" customHeight="1" thickBot="1">
      <c r="H99" s="197"/>
      <c r="I99" s="198"/>
      <c r="J99" s="198"/>
      <c r="K99" s="199"/>
      <c r="L99" s="199"/>
      <c r="M99" s="199"/>
      <c r="N99" s="199"/>
      <c r="O99" s="199"/>
      <c r="P99" s="199"/>
      <c r="Q99" s="199"/>
      <c r="R99" s="199"/>
      <c r="S99" s="199"/>
      <c r="T99" s="200">
        <v>220</v>
      </c>
      <c r="W99" s="234" t="s">
        <v>726</v>
      </c>
      <c r="AU99" s="274" t="s">
        <v>413</v>
      </c>
      <c r="AV99" s="285">
        <v>45924</v>
      </c>
      <c r="AW99" s="286" t="s">
        <v>603</v>
      </c>
      <c r="AX99" s="286" t="s">
        <v>604</v>
      </c>
      <c r="AY99" s="287">
        <v>4.1666666666666666E-3</v>
      </c>
      <c r="AZ99" s="288" t="s">
        <v>705</v>
      </c>
    </row>
    <row r="100" spans="8:52" ht="25.25" customHeight="1" thickBot="1">
      <c r="W100" s="234" t="s">
        <v>727</v>
      </c>
      <c r="AU100" s="274" t="s">
        <v>413</v>
      </c>
      <c r="AV100" s="279">
        <v>45925</v>
      </c>
      <c r="AW100" s="286" t="s">
        <v>603</v>
      </c>
      <c r="AX100" s="286" t="s">
        <v>607</v>
      </c>
      <c r="AY100" s="281">
        <v>1.1111111111111112E-2</v>
      </c>
      <c r="AZ100" s="284" t="s">
        <v>680</v>
      </c>
    </row>
    <row r="101" spans="8:52" ht="25.25" customHeight="1" thickBot="1">
      <c r="W101" s="234" t="s">
        <v>728</v>
      </c>
      <c r="AU101" s="274" t="s">
        <v>413</v>
      </c>
      <c r="AV101" s="279">
        <v>45925</v>
      </c>
      <c r="AW101" s="288" t="s">
        <v>721</v>
      </c>
      <c r="AX101" s="288" t="s">
        <v>729</v>
      </c>
      <c r="AY101" s="282">
        <v>5.5555555555555558E-3</v>
      </c>
      <c r="AZ101" s="288" t="s">
        <v>723</v>
      </c>
    </row>
    <row r="102" spans="8:52" ht="25.25" customHeight="1" thickBot="1">
      <c r="W102" s="234" t="s">
        <v>730</v>
      </c>
      <c r="AU102" s="274" t="s">
        <v>413</v>
      </c>
      <c r="AV102" s="279">
        <v>45925</v>
      </c>
      <c r="AW102" s="284" t="s">
        <v>603</v>
      </c>
      <c r="AX102" s="284" t="s">
        <v>607</v>
      </c>
      <c r="AY102" s="282">
        <v>1.1111111111111112E-2</v>
      </c>
      <c r="AZ102" s="284" t="s">
        <v>680</v>
      </c>
    </row>
    <row r="103" spans="8:52" ht="25.25" customHeight="1" thickBot="1">
      <c r="W103" s="234" t="s">
        <v>731</v>
      </c>
      <c r="AS103">
        <v>168.77</v>
      </c>
      <c r="AT103">
        <v>12199.008035242994</v>
      </c>
      <c r="AU103" s="274" t="s">
        <v>413</v>
      </c>
      <c r="AV103" s="279">
        <v>45926</v>
      </c>
      <c r="AW103" s="288" t="s">
        <v>721</v>
      </c>
      <c r="AX103" s="288" t="s">
        <v>732</v>
      </c>
      <c r="AY103" s="282">
        <v>3.472222222222222E-3</v>
      </c>
      <c r="AZ103" s="288" t="s">
        <v>723</v>
      </c>
    </row>
    <row r="104" spans="8:52" ht="25.25" customHeight="1" thickBot="1">
      <c r="W104" s="234" t="s">
        <v>733</v>
      </c>
      <c r="AU104" s="274" t="s">
        <v>413</v>
      </c>
      <c r="AV104" s="279">
        <v>45927</v>
      </c>
      <c r="AW104" s="284" t="s">
        <v>603</v>
      </c>
      <c r="AX104" s="276" t="s">
        <v>734</v>
      </c>
      <c r="AY104" s="282">
        <v>4.1666666666666666E-3</v>
      </c>
      <c r="AZ104" s="276" t="s">
        <v>735</v>
      </c>
    </row>
    <row r="105" spans="8:52" ht="25.25" customHeight="1" thickBot="1">
      <c r="W105" s="234" t="s">
        <v>736</v>
      </c>
      <c r="AT105" s="40">
        <f>AT103+AS103</f>
        <v>12367.778035242995</v>
      </c>
      <c r="AU105" s="274" t="s">
        <v>413</v>
      </c>
      <c r="AV105" s="283">
        <v>45927</v>
      </c>
      <c r="AW105" s="286" t="s">
        <v>603</v>
      </c>
      <c r="AX105" s="284" t="s">
        <v>646</v>
      </c>
      <c r="AY105" s="282">
        <v>4.8611111111111112E-3</v>
      </c>
      <c r="AZ105" s="276" t="s">
        <v>737</v>
      </c>
    </row>
    <row r="106" spans="8:52" ht="25.25" customHeight="1" thickBot="1">
      <c r="W106" s="234"/>
      <c r="AU106" s="289" t="s">
        <v>413</v>
      </c>
      <c r="AV106" s="290">
        <v>45928</v>
      </c>
      <c r="AW106" s="291" t="s">
        <v>603</v>
      </c>
      <c r="AX106" s="292" t="s">
        <v>607</v>
      </c>
      <c r="AY106" s="293">
        <v>1.1111111111111112E-2</v>
      </c>
      <c r="AZ106" s="276" t="s">
        <v>705</v>
      </c>
    </row>
    <row r="107" spans="8:52" ht="25.25" customHeight="1">
      <c r="W107" s="233" t="s">
        <v>738</v>
      </c>
    </row>
    <row r="108" spans="8:52" ht="25.25" customHeight="1" thickBot="1">
      <c r="W108" s="230" t="s">
        <v>739</v>
      </c>
    </row>
    <row r="109" spans="8:52" ht="25.25" customHeight="1" thickTop="1" thickBot="1">
      <c r="J109" s="335" t="s">
        <v>0</v>
      </c>
      <c r="K109" s="335" t="s">
        <v>22</v>
      </c>
      <c r="L109" s="335" t="s">
        <v>740</v>
      </c>
      <c r="M109" s="336" t="s">
        <v>741</v>
      </c>
      <c r="N109" s="337" t="s">
        <v>742</v>
      </c>
      <c r="O109" s="337" t="s">
        <v>743</v>
      </c>
      <c r="P109" s="333" t="s">
        <v>744</v>
      </c>
      <c r="W109" s="230"/>
    </row>
    <row r="110" spans="8:52" ht="29" customHeight="1" thickBot="1">
      <c r="J110" s="334" t="s">
        <v>745</v>
      </c>
      <c r="K110" s="334" t="s">
        <v>30</v>
      </c>
      <c r="L110" s="334" t="s">
        <v>746</v>
      </c>
      <c r="M110" s="334" t="s">
        <v>747</v>
      </c>
      <c r="N110" s="338" t="s">
        <v>748</v>
      </c>
      <c r="O110" s="339">
        <v>99311.068305911889</v>
      </c>
      <c r="P110" s="340">
        <f>O110</f>
        <v>99311.068305911889</v>
      </c>
      <c r="W110" s="234"/>
      <c r="AP110" s="294" t="s">
        <v>12</v>
      </c>
      <c r="AQ110" s="294" t="s">
        <v>27</v>
      </c>
      <c r="AR110" s="294" t="s">
        <v>749</v>
      </c>
      <c r="AS110" s="294" t="s">
        <v>750</v>
      </c>
      <c r="AT110" s="294" t="s">
        <v>751</v>
      </c>
      <c r="AU110" s="294" t="s">
        <v>329</v>
      </c>
    </row>
    <row r="111" spans="8:52" ht="29" customHeight="1" thickBot="1">
      <c r="J111" s="334" t="s">
        <v>745</v>
      </c>
      <c r="K111" s="334" t="s">
        <v>30</v>
      </c>
      <c r="L111" s="334" t="s">
        <v>752</v>
      </c>
      <c r="M111" s="334" t="s">
        <v>753</v>
      </c>
      <c r="N111" s="339">
        <v>38222.107198327154</v>
      </c>
      <c r="O111" s="339">
        <v>127253.96402817272</v>
      </c>
      <c r="P111" s="340">
        <f>SUM(N111,O111)</f>
        <v>165476.07122649986</v>
      </c>
      <c r="W111" s="234"/>
      <c r="AP111" s="274" t="s">
        <v>30</v>
      </c>
      <c r="AQ111" s="274" t="s">
        <v>68</v>
      </c>
      <c r="AR111" s="307">
        <v>177436.67</v>
      </c>
      <c r="AS111" s="274">
        <v>21</v>
      </c>
      <c r="AT111" s="307">
        <f>(AR111/30)*AS111</f>
        <v>124205.66900000001</v>
      </c>
      <c r="AU111" s="307">
        <f>AR111-AT111</f>
        <v>53231.001000000004</v>
      </c>
    </row>
    <row r="112" spans="8:52" ht="29" customHeight="1" thickBot="1">
      <c r="W112" s="235" t="s">
        <v>754</v>
      </c>
      <c r="AP112" s="274" t="s">
        <v>755</v>
      </c>
      <c r="AQ112" s="274" t="s">
        <v>68</v>
      </c>
      <c r="AR112" s="307">
        <v>11198.58</v>
      </c>
      <c r="AS112" s="274">
        <v>21</v>
      </c>
      <c r="AT112" s="307">
        <f>(AR112/30)*AS112</f>
        <v>7839.0060000000003</v>
      </c>
      <c r="AU112" s="307">
        <f>AR112-AT112</f>
        <v>3359.5739999999996</v>
      </c>
    </row>
    <row r="113" spans="23:23" ht="29" customHeight="1">
      <c r="W113" s="230" t="s">
        <v>756</v>
      </c>
    </row>
    <row r="114" spans="23:23" ht="29" customHeight="1">
      <c r="W114" s="232"/>
    </row>
    <row r="115" spans="23:23" ht="15" customHeight="1">
      <c r="W115" s="232"/>
    </row>
    <row r="116" spans="23:23" ht="15" customHeight="1">
      <c r="W116" s="229" t="s">
        <v>757</v>
      </c>
    </row>
    <row r="117" spans="23:23" ht="15" customHeight="1">
      <c r="W117" s="232" t="s">
        <v>758</v>
      </c>
    </row>
    <row r="118" spans="23:23" ht="15" customHeight="1">
      <c r="W118" s="232" t="s">
        <v>759</v>
      </c>
    </row>
    <row r="119" spans="23:23" ht="15" customHeight="1">
      <c r="W119" s="232" t="s">
        <v>760</v>
      </c>
    </row>
    <row r="120" spans="23:23" ht="15" customHeight="1">
      <c r="W120" s="232" t="s">
        <v>761</v>
      </c>
    </row>
    <row r="121" spans="23:23" ht="15" customHeight="1">
      <c r="W121" s="236"/>
    </row>
    <row r="122" spans="23:23" ht="15" customHeight="1"/>
    <row r="123" spans="23:23" ht="14.9" customHeight="1"/>
    <row r="124" spans="23:23" ht="25.4" customHeight="1"/>
    <row r="125" spans="23:23" ht="25.4" customHeight="1"/>
    <row r="126" spans="23:23" ht="25.4" customHeight="1"/>
    <row r="127" spans="23:23" ht="25.4" customHeight="1"/>
    <row r="128" spans="23:23" ht="25.4" customHeight="1"/>
    <row r="129" ht="25.4" customHeight="1"/>
    <row r="130" ht="25.4" customHeight="1"/>
    <row r="131" ht="25.4" customHeight="1"/>
    <row r="132" ht="25.4" customHeight="1"/>
    <row r="133" ht="25.4" customHeight="1"/>
    <row r="134" ht="25.4" customHeight="1"/>
    <row r="135" ht="25.4" customHeight="1"/>
    <row r="136" ht="25.4" customHeight="1"/>
    <row r="137" ht="25.4" customHeight="1"/>
    <row r="138" ht="25.4" customHeight="1"/>
    <row r="140" ht="25.4" customHeight="1"/>
    <row r="148" spans="1:30" ht="17.149999999999999" customHeight="1" thickBot="1"/>
    <row r="149" spans="1:30" ht="15" customHeight="1" thickBot="1">
      <c r="A149" s="182" t="s">
        <v>312</v>
      </c>
      <c r="B149" s="182" t="s">
        <v>313</v>
      </c>
      <c r="C149" s="206" t="s">
        <v>597</v>
      </c>
      <c r="E149" s="209" t="s">
        <v>312</v>
      </c>
      <c r="F149" s="209" t="s">
        <v>313</v>
      </c>
      <c r="G149" s="210" t="s">
        <v>597</v>
      </c>
      <c r="I149" s="182" t="s">
        <v>312</v>
      </c>
      <c r="J149" s="182"/>
      <c r="K149" s="182" t="s">
        <v>313</v>
      </c>
      <c r="L149" s="206" t="s">
        <v>597</v>
      </c>
      <c r="X149" s="182" t="s">
        <v>312</v>
      </c>
      <c r="Y149" s="182" t="s">
        <v>313</v>
      </c>
      <c r="Z149" s="182"/>
      <c r="AA149" s="206" t="s">
        <v>597</v>
      </c>
      <c r="AB149" s="185" t="s">
        <v>311</v>
      </c>
      <c r="AC149" s="186" t="s">
        <v>312</v>
      </c>
      <c r="AD149" s="209"/>
    </row>
    <row r="150" spans="1:30" ht="39.5" thickBot="1">
      <c r="A150" s="129" t="s">
        <v>413</v>
      </c>
      <c r="B150" s="129" t="s">
        <v>600</v>
      </c>
      <c r="C150" s="207">
        <v>2.7777777777777776E-2</v>
      </c>
      <c r="E150" s="211" t="s">
        <v>762</v>
      </c>
      <c r="F150" s="211" t="s">
        <v>763</v>
      </c>
      <c r="G150" s="212">
        <v>1.3888888888888889E-3</v>
      </c>
      <c r="I150" s="129" t="s">
        <v>531</v>
      </c>
      <c r="J150" s="129"/>
      <c r="K150" s="129" t="s">
        <v>764</v>
      </c>
      <c r="L150" s="207">
        <v>4.8611111111111112E-3</v>
      </c>
      <c r="X150" s="129" t="s">
        <v>531</v>
      </c>
      <c r="Y150" s="129" t="s">
        <v>764</v>
      </c>
      <c r="Z150" s="129"/>
      <c r="AA150" s="207">
        <v>4.8611111111111112E-3</v>
      </c>
      <c r="AB150" s="203"/>
      <c r="AC150" s="131"/>
      <c r="AD150" s="242"/>
    </row>
    <row r="151" spans="1:30" ht="29.9" customHeight="1" thickBot="1">
      <c r="A151" s="183" t="s">
        <v>413</v>
      </c>
      <c r="B151" s="183" t="s">
        <v>600</v>
      </c>
      <c r="C151" s="207">
        <v>6.9444444444444447E-4</v>
      </c>
      <c r="E151" s="211" t="s">
        <v>765</v>
      </c>
      <c r="F151" s="211" t="s">
        <v>721</v>
      </c>
      <c r="G151" s="212">
        <v>1.3888888888888889E-3</v>
      </c>
      <c r="I151" s="183" t="s">
        <v>531</v>
      </c>
      <c r="J151" s="183"/>
      <c r="K151" s="183" t="s">
        <v>764</v>
      </c>
      <c r="L151" s="207">
        <v>9.7222222222222224E-3</v>
      </c>
      <c r="X151" s="129" t="s">
        <v>413</v>
      </c>
      <c r="Y151" s="129" t="s">
        <v>600</v>
      </c>
      <c r="Z151" s="129"/>
      <c r="AA151" s="207">
        <v>2.7777777777777776E-2</v>
      </c>
      <c r="AB151" s="203"/>
      <c r="AC151" s="131"/>
      <c r="AD151" s="242"/>
    </row>
    <row r="152" spans="1:30" ht="39.5" thickBot="1">
      <c r="A152" s="183" t="s">
        <v>413</v>
      </c>
      <c r="B152" s="183" t="s">
        <v>603</v>
      </c>
      <c r="C152" s="207">
        <v>2.7777777777777779E-3</v>
      </c>
      <c r="F152" s="215" t="s">
        <v>766</v>
      </c>
      <c r="G152" s="216">
        <f>SUM(G139:G151)</f>
        <v>2.7777777777777779E-3</v>
      </c>
      <c r="I152" s="183" t="s">
        <v>531</v>
      </c>
      <c r="J152" s="183"/>
      <c r="K152" s="183" t="s">
        <v>767</v>
      </c>
      <c r="L152" s="207">
        <v>2.7777777777777779E-3</v>
      </c>
      <c r="X152" s="183" t="s">
        <v>413</v>
      </c>
      <c r="Y152" s="183" t="s">
        <v>600</v>
      </c>
      <c r="Z152" s="113"/>
      <c r="AA152" s="207">
        <v>6.9444444444444447E-4</v>
      </c>
      <c r="AB152" s="203"/>
      <c r="AC152" s="131"/>
      <c r="AD152" s="242"/>
    </row>
    <row r="153" spans="1:30" ht="39.5" thickBot="1">
      <c r="A153" s="183" t="s">
        <v>413</v>
      </c>
      <c r="B153" s="183" t="s">
        <v>603</v>
      </c>
      <c r="C153" s="207">
        <v>1.3194444444444444E-2</v>
      </c>
      <c r="F153" s="215" t="s">
        <v>768</v>
      </c>
      <c r="G153" s="217">
        <v>4</v>
      </c>
      <c r="I153" s="183" t="s">
        <v>531</v>
      </c>
      <c r="J153" s="183"/>
      <c r="K153" s="183" t="s">
        <v>764</v>
      </c>
      <c r="L153" s="207">
        <v>1.3888888888888888E-2</v>
      </c>
      <c r="X153" s="183" t="s">
        <v>413</v>
      </c>
      <c r="Y153" s="183" t="s">
        <v>603</v>
      </c>
      <c r="Z153" s="113"/>
      <c r="AA153" s="207">
        <v>2.7777777777777779E-3</v>
      </c>
      <c r="AB153" s="203"/>
      <c r="AC153" s="131"/>
      <c r="AD153" s="242"/>
    </row>
    <row r="154" spans="1:30" ht="29.9" customHeight="1" thickBot="1">
      <c r="A154" s="183" t="s">
        <v>413</v>
      </c>
      <c r="B154" s="183" t="s">
        <v>600</v>
      </c>
      <c r="C154" s="207">
        <v>0.15277777777777779</v>
      </c>
      <c r="I154" s="183" t="s">
        <v>531</v>
      </c>
      <c r="J154" s="183"/>
      <c r="K154" s="183" t="s">
        <v>764</v>
      </c>
      <c r="L154" s="207">
        <v>1.2500000000000001E-2</v>
      </c>
      <c r="X154" s="183" t="s">
        <v>413</v>
      </c>
      <c r="Y154" s="183" t="s">
        <v>603</v>
      </c>
      <c r="Z154" s="113"/>
      <c r="AA154" s="207">
        <v>1.3194444444444444E-2</v>
      </c>
      <c r="AB154" s="204"/>
      <c r="AC154" s="205"/>
      <c r="AD154" s="243"/>
    </row>
    <row r="155" spans="1:30" ht="39.5" thickBot="1">
      <c r="A155" s="183" t="s">
        <v>413</v>
      </c>
      <c r="B155" s="183" t="s">
        <v>603</v>
      </c>
      <c r="C155" s="207">
        <v>1.6666666666666666E-2</v>
      </c>
      <c r="I155" s="183" t="s">
        <v>531</v>
      </c>
      <c r="J155" s="183"/>
      <c r="K155" s="183" t="s">
        <v>764</v>
      </c>
      <c r="L155" s="207">
        <v>1.0416666666666666E-2</v>
      </c>
      <c r="X155" s="183" t="s">
        <v>413</v>
      </c>
      <c r="Y155" s="183" t="s">
        <v>600</v>
      </c>
      <c r="Z155" s="113"/>
      <c r="AA155" s="207">
        <v>0.15277777777777779</v>
      </c>
    </row>
    <row r="156" spans="1:30" ht="29.15" customHeight="1" thickBot="1">
      <c r="A156" s="183" t="s">
        <v>413</v>
      </c>
      <c r="B156" s="183" t="s">
        <v>600</v>
      </c>
      <c r="C156" s="207">
        <v>6.9444444444444447E-4</v>
      </c>
      <c r="I156" s="183" t="s">
        <v>531</v>
      </c>
      <c r="J156" s="183"/>
      <c r="K156" s="183" t="s">
        <v>764</v>
      </c>
      <c r="L156" s="207">
        <v>0.18055555555555555</v>
      </c>
      <c r="X156" s="183" t="s">
        <v>413</v>
      </c>
      <c r="Y156" s="183" t="s">
        <v>603</v>
      </c>
      <c r="Z156" s="113"/>
      <c r="AA156" s="207">
        <v>1.6666666666666666E-2</v>
      </c>
    </row>
    <row r="157" spans="1:30" ht="39.5" thickBot="1">
      <c r="A157" s="183" t="s">
        <v>413</v>
      </c>
      <c r="B157" s="183" t="s">
        <v>603</v>
      </c>
      <c r="C157" s="207">
        <v>3.472222222222222E-3</v>
      </c>
      <c r="I157" s="183" t="s">
        <v>531</v>
      </c>
      <c r="J157" s="183"/>
      <c r="K157" s="183" t="s">
        <v>764</v>
      </c>
      <c r="L157" s="207">
        <v>0.16666666666666666</v>
      </c>
      <c r="X157" s="183" t="s">
        <v>413</v>
      </c>
      <c r="Y157" s="183" t="s">
        <v>600</v>
      </c>
      <c r="Z157" s="113"/>
      <c r="AA157" s="207">
        <v>6.9444444444444447E-4</v>
      </c>
    </row>
    <row r="158" spans="1:30" ht="39.5" thickBot="1">
      <c r="A158" s="183" t="s">
        <v>413</v>
      </c>
      <c r="B158" s="183" t="s">
        <v>603</v>
      </c>
      <c r="C158" s="207">
        <v>3.472222222222222E-3</v>
      </c>
      <c r="I158" s="183" t="s">
        <v>531</v>
      </c>
      <c r="J158" s="183"/>
      <c r="K158" s="183" t="s">
        <v>764</v>
      </c>
      <c r="L158" s="207">
        <v>1.3888888888888889E-3</v>
      </c>
      <c r="X158" s="183" t="s">
        <v>413</v>
      </c>
      <c r="Y158" s="183" t="s">
        <v>603</v>
      </c>
      <c r="Z158" s="113"/>
      <c r="AA158" s="207">
        <v>3.472222222222222E-3</v>
      </c>
    </row>
    <row r="159" spans="1:30" ht="39.5" thickBot="1">
      <c r="A159" s="183" t="s">
        <v>413</v>
      </c>
      <c r="B159" s="183" t="s">
        <v>603</v>
      </c>
      <c r="C159" s="207">
        <v>3.472222222222222E-3</v>
      </c>
      <c r="I159" s="183" t="s">
        <v>531</v>
      </c>
      <c r="J159" s="183"/>
      <c r="K159" s="183" t="s">
        <v>764</v>
      </c>
      <c r="L159" s="207">
        <v>1.3194444444444444E-2</v>
      </c>
      <c r="X159" s="183" t="s">
        <v>413</v>
      </c>
      <c r="Y159" s="183" t="s">
        <v>603</v>
      </c>
      <c r="Z159" s="113"/>
      <c r="AA159" s="207">
        <v>3.472222222222222E-3</v>
      </c>
    </row>
    <row r="160" spans="1:30" ht="39.5" thickBot="1">
      <c r="A160" s="183" t="s">
        <v>413</v>
      </c>
      <c r="B160" s="183" t="s">
        <v>603</v>
      </c>
      <c r="C160" s="207">
        <v>4.8611111111111112E-3</v>
      </c>
      <c r="I160" s="183" t="s">
        <v>531</v>
      </c>
      <c r="J160" s="183"/>
      <c r="K160" s="183" t="s">
        <v>764</v>
      </c>
      <c r="L160" s="207">
        <v>1.0416666666666666E-2</v>
      </c>
      <c r="X160" s="183" t="s">
        <v>413</v>
      </c>
      <c r="Y160" s="183" t="s">
        <v>603</v>
      </c>
      <c r="Z160" s="113"/>
      <c r="AA160" s="207">
        <v>3.472222222222222E-3</v>
      </c>
    </row>
    <row r="161" spans="1:27" ht="39.5" thickBot="1">
      <c r="A161" s="183" t="s">
        <v>413</v>
      </c>
      <c r="B161" s="183" t="s">
        <v>603</v>
      </c>
      <c r="C161" s="207">
        <v>2.0833333333333333E-3</v>
      </c>
      <c r="I161" s="183" t="s">
        <v>531</v>
      </c>
      <c r="J161" s="183"/>
      <c r="K161" s="183" t="s">
        <v>764</v>
      </c>
      <c r="L161" s="207">
        <v>2.1527777777777778E-2</v>
      </c>
      <c r="X161" s="183" t="s">
        <v>413</v>
      </c>
      <c r="Y161" s="183" t="s">
        <v>603</v>
      </c>
      <c r="Z161" s="113"/>
      <c r="AA161" s="207">
        <v>4.8611111111111112E-3</v>
      </c>
    </row>
    <row r="162" spans="1:27" ht="39.5" thickBot="1">
      <c r="A162" s="183" t="s">
        <v>413</v>
      </c>
      <c r="B162" s="183" t="s">
        <v>603</v>
      </c>
      <c r="C162" s="207">
        <v>2.0833333333333333E-3</v>
      </c>
      <c r="E162" s="183"/>
      <c r="F162" s="183"/>
      <c r="G162" s="207"/>
      <c r="I162" s="213" t="s">
        <v>531</v>
      </c>
      <c r="J162" s="213"/>
      <c r="K162" s="213" t="s">
        <v>764</v>
      </c>
      <c r="L162" s="214">
        <v>0.33333333333333331</v>
      </c>
      <c r="X162" s="183" t="s">
        <v>762</v>
      </c>
      <c r="Y162" s="183" t="s">
        <v>763</v>
      </c>
      <c r="Z162" s="113"/>
      <c r="AA162" s="207">
        <v>1.3888888888888889E-3</v>
      </c>
    </row>
    <row r="163" spans="1:27" ht="39.5" thickBot="1">
      <c r="A163" s="183" t="s">
        <v>413</v>
      </c>
      <c r="B163" s="183" t="s">
        <v>603</v>
      </c>
      <c r="C163" s="207">
        <v>1.3888888888888889E-3</v>
      </c>
      <c r="E163" s="183"/>
      <c r="F163" s="183"/>
      <c r="G163" s="207"/>
      <c r="K163" s="171" t="s">
        <v>766</v>
      </c>
      <c r="L163" s="208">
        <f>SUM(L150:L161)</f>
        <v>0.44791666666666669</v>
      </c>
      <c r="X163" s="183" t="s">
        <v>413</v>
      </c>
      <c r="Y163" s="183" t="s">
        <v>603</v>
      </c>
      <c r="Z163" s="113"/>
      <c r="AA163" s="207">
        <v>2.0833333333333333E-3</v>
      </c>
    </row>
    <row r="164" spans="1:27" ht="39.5" thickBot="1">
      <c r="A164" s="183" t="s">
        <v>413</v>
      </c>
      <c r="B164" s="183" t="s">
        <v>603</v>
      </c>
      <c r="C164" s="207">
        <v>6.9444444444444447E-4</v>
      </c>
      <c r="K164" s="171" t="s">
        <v>769</v>
      </c>
      <c r="L164" s="174">
        <v>1</v>
      </c>
      <c r="X164" s="183" t="s">
        <v>413</v>
      </c>
      <c r="Y164" s="183" t="s">
        <v>603</v>
      </c>
      <c r="Z164" s="113"/>
      <c r="AA164" s="207">
        <v>2.0833333333333333E-3</v>
      </c>
    </row>
    <row r="165" spans="1:27" ht="29.9" customHeight="1" thickBot="1">
      <c r="A165" s="183" t="s">
        <v>413</v>
      </c>
      <c r="B165" s="183" t="s">
        <v>600</v>
      </c>
      <c r="C165" s="207">
        <v>2.0833333333333333E-3</v>
      </c>
      <c r="K165" s="171" t="s">
        <v>770</v>
      </c>
      <c r="L165" s="174">
        <f>L163*24</f>
        <v>10.75</v>
      </c>
      <c r="X165" s="183" t="s">
        <v>531</v>
      </c>
      <c r="Y165" s="183" t="s">
        <v>764</v>
      </c>
      <c r="Z165" s="113"/>
      <c r="AA165" s="207">
        <v>9.7222222222222224E-3</v>
      </c>
    </row>
    <row r="166" spans="1:27" ht="39.5" thickBot="1">
      <c r="A166" s="183" t="s">
        <v>413</v>
      </c>
      <c r="B166" s="183" t="s">
        <v>603</v>
      </c>
      <c r="C166" s="207">
        <v>6.9444444444444441E-3</v>
      </c>
      <c r="X166" s="183" t="s">
        <v>413</v>
      </c>
      <c r="Y166" s="183" t="s">
        <v>603</v>
      </c>
      <c r="Z166" s="113"/>
      <c r="AA166" s="207">
        <v>1.3888888888888889E-3</v>
      </c>
    </row>
    <row r="167" spans="1:27" ht="39.5" thickBot="1">
      <c r="A167" s="183" t="s">
        <v>413</v>
      </c>
      <c r="B167" s="183" t="s">
        <v>603</v>
      </c>
      <c r="C167" s="207">
        <v>3.472222222222222E-3</v>
      </c>
      <c r="X167" s="183" t="s">
        <v>413</v>
      </c>
      <c r="Y167" s="183" t="s">
        <v>603</v>
      </c>
      <c r="Z167" s="113"/>
      <c r="AA167" s="207">
        <v>6.9444444444444447E-4</v>
      </c>
    </row>
    <row r="168" spans="1:27" ht="39.5" thickBot="1">
      <c r="A168" s="183" t="s">
        <v>413</v>
      </c>
      <c r="B168" s="183" t="s">
        <v>603</v>
      </c>
      <c r="C168" s="207">
        <v>5.5555555555555558E-3</v>
      </c>
      <c r="X168" s="183" t="s">
        <v>413</v>
      </c>
      <c r="Y168" s="183" t="s">
        <v>600</v>
      </c>
      <c r="Z168" s="113"/>
      <c r="AA168" s="207">
        <v>2.0833333333333333E-3</v>
      </c>
    </row>
    <row r="169" spans="1:27" ht="39.5" thickBot="1">
      <c r="A169" s="183" t="s">
        <v>413</v>
      </c>
      <c r="B169" s="183" t="s">
        <v>603</v>
      </c>
      <c r="C169" s="207">
        <v>5.5555555555555558E-3</v>
      </c>
      <c r="X169" s="183" t="s">
        <v>413</v>
      </c>
      <c r="Y169" s="183" t="s">
        <v>603</v>
      </c>
      <c r="Z169" s="113"/>
      <c r="AA169" s="207">
        <v>6.9444444444444441E-3</v>
      </c>
    </row>
    <row r="170" spans="1:27" ht="29.9" customHeight="1" thickBot="1">
      <c r="A170" s="183" t="s">
        <v>413</v>
      </c>
      <c r="B170" s="183" t="s">
        <v>600</v>
      </c>
      <c r="C170" s="207">
        <v>2.7777777777777779E-3</v>
      </c>
      <c r="X170" s="183" t="s">
        <v>413</v>
      </c>
      <c r="Y170" s="183" t="s">
        <v>603</v>
      </c>
      <c r="Z170" s="113"/>
      <c r="AA170" s="207">
        <v>3.472222222222222E-3</v>
      </c>
    </row>
    <row r="171" spans="1:27" ht="39.5" thickBot="1">
      <c r="A171" s="183" t="s">
        <v>413</v>
      </c>
      <c r="B171" s="183" t="s">
        <v>603</v>
      </c>
      <c r="C171" s="207">
        <v>2.0833333333333333E-3</v>
      </c>
      <c r="X171" s="183" t="s">
        <v>413</v>
      </c>
      <c r="Y171" s="183" t="s">
        <v>603</v>
      </c>
      <c r="Z171" s="113"/>
      <c r="AA171" s="207">
        <v>5.5555555555555558E-3</v>
      </c>
    </row>
    <row r="172" spans="1:27" ht="39.5" thickBot="1">
      <c r="A172" s="183" t="s">
        <v>413</v>
      </c>
      <c r="B172" s="183" t="s">
        <v>603</v>
      </c>
      <c r="C172" s="207">
        <v>6.9444444444444447E-4</v>
      </c>
      <c r="X172" s="183" t="s">
        <v>531</v>
      </c>
      <c r="Y172" s="183" t="s">
        <v>767</v>
      </c>
      <c r="Z172" s="113"/>
      <c r="AA172" s="207">
        <v>2.7777777777777779E-3</v>
      </c>
    </row>
    <row r="173" spans="1:27" ht="29.9" customHeight="1" thickBot="1">
      <c r="A173" s="183" t="s">
        <v>413</v>
      </c>
      <c r="B173" s="183" t="s">
        <v>600</v>
      </c>
      <c r="C173" s="207">
        <v>6.9444444444444447E-4</v>
      </c>
      <c r="X173" s="183" t="s">
        <v>413</v>
      </c>
      <c r="Y173" s="183" t="s">
        <v>603</v>
      </c>
      <c r="Z173" s="113"/>
      <c r="AA173" s="207">
        <v>5.5555555555555558E-3</v>
      </c>
    </row>
    <row r="174" spans="1:27" ht="39.5" thickBot="1">
      <c r="A174" s="183" t="s">
        <v>413</v>
      </c>
      <c r="B174" s="183" t="s">
        <v>603</v>
      </c>
      <c r="C174" s="207">
        <v>1.3888888888888889E-3</v>
      </c>
      <c r="X174" s="183" t="s">
        <v>531</v>
      </c>
      <c r="Y174" s="183" t="s">
        <v>764</v>
      </c>
      <c r="Z174" s="113"/>
      <c r="AA174" s="207">
        <v>1.3888888888888888E-2</v>
      </c>
    </row>
    <row r="175" spans="1:27" ht="39.5" thickBot="1">
      <c r="A175" s="183" t="s">
        <v>413</v>
      </c>
      <c r="B175" s="183" t="s">
        <v>603</v>
      </c>
      <c r="C175" s="207">
        <v>4.1666666666666666E-3</v>
      </c>
      <c r="X175" s="183" t="s">
        <v>413</v>
      </c>
      <c r="Y175" s="183" t="s">
        <v>600</v>
      </c>
      <c r="Z175" s="113"/>
      <c r="AA175" s="207">
        <v>2.7777777777777779E-3</v>
      </c>
    </row>
    <row r="176" spans="1:27" ht="39.5" thickBot="1">
      <c r="A176" s="183" t="s">
        <v>413</v>
      </c>
      <c r="B176" s="183" t="s">
        <v>603</v>
      </c>
      <c r="C176" s="207">
        <v>6.9444444444444447E-4</v>
      </c>
      <c r="X176" s="183" t="s">
        <v>413</v>
      </c>
      <c r="Y176" s="183" t="s">
        <v>603</v>
      </c>
      <c r="Z176" s="113"/>
      <c r="AA176" s="207">
        <v>2.0833333333333333E-3</v>
      </c>
    </row>
    <row r="177" spans="1:27" ht="29.9" customHeight="1" thickBot="1">
      <c r="A177" s="183" t="s">
        <v>413</v>
      </c>
      <c r="B177" s="183" t="s">
        <v>600</v>
      </c>
      <c r="C177" s="207">
        <v>2.0833333333333333E-3</v>
      </c>
      <c r="X177" s="183" t="s">
        <v>413</v>
      </c>
      <c r="Y177" s="183" t="s">
        <v>603</v>
      </c>
      <c r="Z177" s="113"/>
      <c r="AA177" s="207">
        <v>6.9444444444444447E-4</v>
      </c>
    </row>
    <row r="178" spans="1:27" ht="39.5" thickBot="1">
      <c r="A178" s="183" t="s">
        <v>413</v>
      </c>
      <c r="B178" s="183" t="s">
        <v>603</v>
      </c>
      <c r="C178" s="207">
        <v>2.0833333333333333E-3</v>
      </c>
      <c r="X178" s="183" t="s">
        <v>413</v>
      </c>
      <c r="Y178" s="183" t="s">
        <v>600</v>
      </c>
      <c r="Z178" s="113"/>
      <c r="AA178" s="207">
        <v>6.9444444444444447E-4</v>
      </c>
    </row>
    <row r="179" spans="1:27" ht="39.5" thickBot="1">
      <c r="A179" s="183" t="s">
        <v>413</v>
      </c>
      <c r="B179" s="183" t="s">
        <v>603</v>
      </c>
      <c r="C179" s="207">
        <v>3.472222222222222E-3</v>
      </c>
      <c r="X179" s="183" t="s">
        <v>413</v>
      </c>
      <c r="Y179" s="183" t="s">
        <v>603</v>
      </c>
      <c r="Z179" s="113"/>
      <c r="AA179" s="207">
        <v>1.3888888888888889E-3</v>
      </c>
    </row>
    <row r="180" spans="1:27" ht="39.5" thickBot="1">
      <c r="A180" s="183" t="s">
        <v>413</v>
      </c>
      <c r="B180" s="183" t="s">
        <v>603</v>
      </c>
      <c r="C180" s="207">
        <v>4.1666666666666666E-3</v>
      </c>
      <c r="X180" s="183" t="s">
        <v>413</v>
      </c>
      <c r="Y180" s="183" t="s">
        <v>603</v>
      </c>
      <c r="Z180" s="113"/>
      <c r="AA180" s="207">
        <v>4.1666666666666666E-3</v>
      </c>
    </row>
    <row r="181" spans="1:27" ht="29.9" customHeight="1" thickBot="1">
      <c r="A181" s="183" t="s">
        <v>413</v>
      </c>
      <c r="B181" s="183" t="s">
        <v>600</v>
      </c>
      <c r="C181" s="207">
        <v>1.3888888888888889E-3</v>
      </c>
      <c r="X181" s="183" t="s">
        <v>413</v>
      </c>
      <c r="Y181" s="183" t="s">
        <v>603</v>
      </c>
      <c r="Z181" s="113"/>
      <c r="AA181" s="207">
        <v>6.9444444444444447E-4</v>
      </c>
    </row>
    <row r="182" spans="1:27" ht="39.5" thickBot="1">
      <c r="A182" s="183" t="s">
        <v>413</v>
      </c>
      <c r="B182" s="183" t="s">
        <v>603</v>
      </c>
      <c r="C182" s="207">
        <v>1.0416666666666666E-2</v>
      </c>
      <c r="X182" s="183" t="s">
        <v>413</v>
      </c>
      <c r="Y182" s="183" t="s">
        <v>600</v>
      </c>
      <c r="Z182" s="113"/>
      <c r="AA182" s="207">
        <v>2.0833333333333333E-3</v>
      </c>
    </row>
    <row r="183" spans="1:27" ht="39.5" thickBot="1">
      <c r="A183" s="213" t="s">
        <v>413</v>
      </c>
      <c r="B183" s="213" t="s">
        <v>603</v>
      </c>
      <c r="C183" s="214">
        <v>0.5</v>
      </c>
      <c r="X183" s="183" t="s">
        <v>765</v>
      </c>
      <c r="Y183" s="183" t="s">
        <v>721</v>
      </c>
      <c r="Z183" s="113"/>
      <c r="AA183" s="207">
        <v>1.3888888888888889E-3</v>
      </c>
    </row>
    <row r="184" spans="1:27" ht="39.5" thickBot="1">
      <c r="A184" s="183" t="s">
        <v>413</v>
      </c>
      <c r="B184" s="183" t="s">
        <v>603</v>
      </c>
      <c r="C184" s="207">
        <v>6.2500000000000003E-3</v>
      </c>
      <c r="X184" s="183" t="s">
        <v>413</v>
      </c>
      <c r="Y184" s="183" t="s">
        <v>603</v>
      </c>
      <c r="Z184" s="113"/>
      <c r="AA184" s="207">
        <v>2.0833333333333333E-3</v>
      </c>
    </row>
    <row r="185" spans="1:27" ht="39.5" thickBot="1">
      <c r="A185" s="183" t="s">
        <v>413</v>
      </c>
      <c r="B185" s="183" t="s">
        <v>603</v>
      </c>
      <c r="C185" s="207">
        <v>1.3888888888888889E-3</v>
      </c>
      <c r="X185" s="183" t="s">
        <v>413</v>
      </c>
      <c r="Y185" s="183" t="s">
        <v>603</v>
      </c>
      <c r="Z185" s="113"/>
      <c r="AA185" s="207">
        <v>3.472222222222222E-3</v>
      </c>
    </row>
    <row r="186" spans="1:27" ht="29.9" customHeight="1" thickBot="1">
      <c r="A186" s="183" t="s">
        <v>413</v>
      </c>
      <c r="B186" s="183" t="s">
        <v>600</v>
      </c>
      <c r="C186" s="207">
        <v>8.6805555555555552E-2</v>
      </c>
      <c r="X186" s="183" t="s">
        <v>413</v>
      </c>
      <c r="Y186" s="183" t="s">
        <v>603</v>
      </c>
      <c r="Z186" s="113"/>
      <c r="AA186" s="207">
        <v>4.1666666666666666E-3</v>
      </c>
    </row>
    <row r="187" spans="1:27" ht="29.9" customHeight="1" thickBot="1">
      <c r="A187" s="183" t="s">
        <v>413</v>
      </c>
      <c r="B187" s="183" t="s">
        <v>600</v>
      </c>
      <c r="C187" s="207">
        <v>0.29166666666666669</v>
      </c>
      <c r="X187" s="183" t="s">
        <v>531</v>
      </c>
      <c r="Y187" s="183" t="s">
        <v>764</v>
      </c>
      <c r="Z187" s="113"/>
      <c r="AA187" s="207">
        <v>1.2500000000000001E-2</v>
      </c>
    </row>
    <row r="188" spans="1:27" ht="29.9" customHeight="1" thickBot="1">
      <c r="A188" s="183" t="s">
        <v>413</v>
      </c>
      <c r="B188" s="183" t="s">
        <v>600</v>
      </c>
      <c r="C188" s="207">
        <v>1.4583333333333334E-2</v>
      </c>
      <c r="X188" s="183" t="s">
        <v>413</v>
      </c>
      <c r="Y188" s="183" t="s">
        <v>600</v>
      </c>
      <c r="Z188" s="113"/>
      <c r="AA188" s="207">
        <v>1.3888888888888889E-3</v>
      </c>
    </row>
    <row r="189" spans="1:27" ht="39.5" thickBot="1">
      <c r="A189" s="183" t="s">
        <v>413</v>
      </c>
      <c r="B189" s="183" t="s">
        <v>603</v>
      </c>
      <c r="C189" s="207">
        <v>1.3888888888888888E-2</v>
      </c>
      <c r="X189" s="183" t="s">
        <v>413</v>
      </c>
      <c r="Y189" s="183" t="s">
        <v>603</v>
      </c>
      <c r="Z189" s="113"/>
      <c r="AA189" s="207">
        <v>1.0416666666666666E-2</v>
      </c>
    </row>
    <row r="190" spans="1:27" ht="39.5" thickBot="1">
      <c r="A190" s="183" t="s">
        <v>413</v>
      </c>
      <c r="B190" s="183" t="s">
        <v>603</v>
      </c>
      <c r="C190" s="207">
        <v>6.9444444444444441E-3</v>
      </c>
      <c r="X190" s="183" t="s">
        <v>413</v>
      </c>
      <c r="Y190" s="183" t="s">
        <v>603</v>
      </c>
      <c r="Z190" s="113"/>
      <c r="AA190" s="207">
        <v>0.5</v>
      </c>
    </row>
    <row r="191" spans="1:27" ht="29.9" customHeight="1" thickBot="1">
      <c r="A191" s="183" t="s">
        <v>413</v>
      </c>
      <c r="B191" s="183" t="s">
        <v>600</v>
      </c>
      <c r="C191" s="207">
        <v>8.6805555555555552E-2</v>
      </c>
      <c r="X191" s="183" t="s">
        <v>413</v>
      </c>
      <c r="Y191" s="183" t="s">
        <v>603</v>
      </c>
      <c r="Z191" s="113"/>
      <c r="AA191" s="207">
        <v>6.2500000000000003E-3</v>
      </c>
    </row>
    <row r="192" spans="1:27" ht="29.9" customHeight="1" thickBot="1">
      <c r="A192" s="183" t="s">
        <v>413</v>
      </c>
      <c r="B192" s="183" t="s">
        <v>600</v>
      </c>
      <c r="C192" s="207">
        <v>0.29166666666666669</v>
      </c>
      <c r="X192" s="183" t="s">
        <v>531</v>
      </c>
      <c r="Y192" s="183" t="s">
        <v>764</v>
      </c>
      <c r="Z192" s="113"/>
      <c r="AA192" s="207">
        <v>1.0416666666666666E-2</v>
      </c>
    </row>
    <row r="193" spans="1:27" ht="39.5" thickBot="1">
      <c r="A193" s="183" t="s">
        <v>413</v>
      </c>
      <c r="B193" s="183" t="s">
        <v>603</v>
      </c>
      <c r="C193" s="207">
        <v>1.0416666666666666E-2</v>
      </c>
      <c r="X193" s="183" t="s">
        <v>413</v>
      </c>
      <c r="Y193" s="183" t="s">
        <v>603</v>
      </c>
      <c r="Z193" s="113"/>
      <c r="AA193" s="207">
        <v>1.3888888888888889E-3</v>
      </c>
    </row>
    <row r="194" spans="1:27" ht="39.5" thickBot="1">
      <c r="A194" s="183" t="s">
        <v>413</v>
      </c>
      <c r="B194" s="183" t="s">
        <v>603</v>
      </c>
      <c r="C194" s="207">
        <v>4.8611111111111112E-3</v>
      </c>
      <c r="X194" s="183" t="s">
        <v>413</v>
      </c>
      <c r="Y194" s="183" t="s">
        <v>600</v>
      </c>
      <c r="Z194" s="113"/>
      <c r="AA194" s="207">
        <v>8.6805555555555552E-2</v>
      </c>
    </row>
    <row r="195" spans="1:27" ht="39.5" thickBot="1">
      <c r="A195" s="183" t="s">
        <v>413</v>
      </c>
      <c r="B195" s="183" t="s">
        <v>603</v>
      </c>
      <c r="C195" s="207">
        <v>2.0833333333333333E-3</v>
      </c>
      <c r="X195" s="183" t="s">
        <v>413</v>
      </c>
      <c r="Y195" s="183" t="s">
        <v>600</v>
      </c>
      <c r="Z195" s="113"/>
      <c r="AA195" s="207">
        <v>0.29166666666666669</v>
      </c>
    </row>
    <row r="196" spans="1:27" ht="29.9" customHeight="1" thickBot="1">
      <c r="A196" s="183" t="s">
        <v>413</v>
      </c>
      <c r="B196" s="183" t="s">
        <v>600</v>
      </c>
      <c r="C196" s="207">
        <v>1.3194444444444444E-2</v>
      </c>
      <c r="X196" s="183" t="s">
        <v>531</v>
      </c>
      <c r="Y196" s="183" t="s">
        <v>764</v>
      </c>
      <c r="Z196" s="113"/>
      <c r="AA196" s="207">
        <v>0.18055555555555555</v>
      </c>
    </row>
    <row r="197" spans="1:27" ht="39.5" thickBot="1">
      <c r="A197" s="183" t="s">
        <v>413</v>
      </c>
      <c r="B197" s="183" t="s">
        <v>603</v>
      </c>
      <c r="C197" s="207">
        <v>3.472222222222222E-3</v>
      </c>
      <c r="X197" s="183" t="s">
        <v>413</v>
      </c>
      <c r="Y197" s="183" t="s">
        <v>600</v>
      </c>
      <c r="Z197" s="113"/>
      <c r="AA197" s="207">
        <v>1.4583333333333334E-2</v>
      </c>
    </row>
    <row r="198" spans="1:27" ht="39.5" thickBot="1">
      <c r="A198" s="183" t="s">
        <v>413</v>
      </c>
      <c r="B198" s="183" t="s">
        <v>603</v>
      </c>
      <c r="C198" s="207">
        <v>1.0416666666666666E-2</v>
      </c>
      <c r="X198" s="183" t="s">
        <v>413</v>
      </c>
      <c r="Y198" s="183" t="s">
        <v>603</v>
      </c>
      <c r="Z198" s="113"/>
      <c r="AA198" s="207">
        <v>1.3888888888888888E-2</v>
      </c>
    </row>
    <row r="199" spans="1:27" ht="39.5" thickBot="1">
      <c r="A199" s="183" t="s">
        <v>413</v>
      </c>
      <c r="B199" s="183" t="s">
        <v>603</v>
      </c>
      <c r="C199" s="207">
        <v>3.472222222222222E-3</v>
      </c>
      <c r="X199" s="183" t="s">
        <v>413</v>
      </c>
      <c r="Y199" s="183" t="s">
        <v>603</v>
      </c>
      <c r="Z199" s="113"/>
      <c r="AA199" s="207">
        <v>6.9444444444444441E-3</v>
      </c>
    </row>
    <row r="200" spans="1:27" ht="39.5" thickBot="1">
      <c r="A200" s="183" t="s">
        <v>413</v>
      </c>
      <c r="B200" s="183" t="s">
        <v>603</v>
      </c>
      <c r="C200" s="207">
        <v>6.2500000000000003E-3</v>
      </c>
      <c r="X200" s="183" t="s">
        <v>531</v>
      </c>
      <c r="Y200" s="183" t="s">
        <v>764</v>
      </c>
      <c r="Z200" s="113"/>
      <c r="AA200" s="207">
        <v>0.16666666666666666</v>
      </c>
    </row>
    <row r="201" spans="1:27" ht="29.9" customHeight="1" thickBot="1">
      <c r="A201" s="183" t="s">
        <v>413</v>
      </c>
      <c r="B201" s="183" t="s">
        <v>600</v>
      </c>
      <c r="C201" s="207">
        <v>2.1527777777777778E-2</v>
      </c>
      <c r="X201" s="183" t="s">
        <v>413</v>
      </c>
      <c r="Y201" s="183" t="s">
        <v>600</v>
      </c>
      <c r="Z201" s="113"/>
      <c r="AA201" s="207">
        <v>8.6805555555555552E-2</v>
      </c>
    </row>
    <row r="202" spans="1:27" ht="39.5" thickBot="1">
      <c r="A202" s="183" t="s">
        <v>413</v>
      </c>
      <c r="B202" s="183" t="s">
        <v>603</v>
      </c>
      <c r="C202" s="207">
        <v>1.3888888888888889E-3</v>
      </c>
      <c r="X202" s="183" t="s">
        <v>413</v>
      </c>
      <c r="Y202" s="183" t="s">
        <v>600</v>
      </c>
      <c r="Z202" s="113"/>
      <c r="AA202" s="207">
        <v>0.29166666666666669</v>
      </c>
    </row>
    <row r="203" spans="1:27" ht="39.5" thickBot="1">
      <c r="A203" s="183" t="s">
        <v>413</v>
      </c>
      <c r="B203" s="183" t="s">
        <v>603</v>
      </c>
      <c r="C203" s="207">
        <v>3.472222222222222E-3</v>
      </c>
      <c r="X203" s="183" t="s">
        <v>413</v>
      </c>
      <c r="Y203" s="183" t="s">
        <v>603</v>
      </c>
      <c r="Z203" s="113"/>
      <c r="AA203" s="207">
        <v>1.0416666666666666E-2</v>
      </c>
    </row>
    <row r="204" spans="1:27" ht="39.5" thickBot="1">
      <c r="A204" s="183" t="s">
        <v>413</v>
      </c>
      <c r="B204" s="183" t="s">
        <v>603</v>
      </c>
      <c r="C204" s="207">
        <v>6.2500000000000003E-3</v>
      </c>
      <c r="X204" s="183" t="s">
        <v>413</v>
      </c>
      <c r="Y204" s="183" t="s">
        <v>603</v>
      </c>
      <c r="Z204" s="113"/>
      <c r="AA204" s="207">
        <v>4.8611111111111112E-3</v>
      </c>
    </row>
    <row r="205" spans="1:27" ht="39.5" thickBot="1">
      <c r="A205" s="183" t="s">
        <v>413</v>
      </c>
      <c r="B205" s="183" t="s">
        <v>603</v>
      </c>
      <c r="C205" s="207">
        <v>1.6666666666666666E-2</v>
      </c>
      <c r="X205" s="183" t="s">
        <v>413</v>
      </c>
      <c r="Y205" s="183" t="s">
        <v>603</v>
      </c>
      <c r="Z205" s="113"/>
      <c r="AA205" s="207">
        <v>2.0833333333333333E-3</v>
      </c>
    </row>
    <row r="206" spans="1:27" ht="29.9" customHeight="1" thickBot="1">
      <c r="A206" s="183" t="s">
        <v>413</v>
      </c>
      <c r="B206" s="183" t="s">
        <v>600</v>
      </c>
      <c r="C206" s="207">
        <v>2.7777777777777779E-3</v>
      </c>
      <c r="X206" s="183" t="s">
        <v>413</v>
      </c>
      <c r="Y206" s="183" t="s">
        <v>600</v>
      </c>
      <c r="Z206" s="113"/>
      <c r="AA206" s="207">
        <v>1.3194444444444444E-2</v>
      </c>
    </row>
    <row r="207" spans="1:27" ht="39.5" thickBot="1">
      <c r="A207" s="183" t="s">
        <v>413</v>
      </c>
      <c r="B207" s="183" t="s">
        <v>603</v>
      </c>
      <c r="C207" s="207">
        <v>2.0833333333333333E-3</v>
      </c>
      <c r="X207" s="183" t="s">
        <v>531</v>
      </c>
      <c r="Y207" s="183" t="s">
        <v>764</v>
      </c>
      <c r="Z207" s="113"/>
      <c r="AA207" s="207">
        <v>1.3888888888888889E-3</v>
      </c>
    </row>
    <row r="208" spans="1:27" ht="29.9" customHeight="1" thickBot="1">
      <c r="A208" s="183" t="s">
        <v>413</v>
      </c>
      <c r="B208" s="183" t="s">
        <v>600</v>
      </c>
      <c r="C208" s="207">
        <v>6.2500000000000003E-3</v>
      </c>
      <c r="X208" s="183" t="s">
        <v>531</v>
      </c>
      <c r="Y208" s="183" t="s">
        <v>764</v>
      </c>
      <c r="Z208" s="113"/>
      <c r="AA208" s="207">
        <v>1.3194444444444444E-2</v>
      </c>
    </row>
    <row r="209" spans="1:27" ht="39.5" thickBot="1">
      <c r="A209" s="183" t="s">
        <v>413</v>
      </c>
      <c r="B209" s="183" t="s">
        <v>603</v>
      </c>
      <c r="C209" s="207">
        <v>4.1666666666666666E-3</v>
      </c>
      <c r="X209" s="183" t="s">
        <v>413</v>
      </c>
      <c r="Y209" s="183" t="s">
        <v>603</v>
      </c>
      <c r="Z209" s="113"/>
      <c r="AA209" s="207">
        <v>3.472222222222222E-3</v>
      </c>
    </row>
    <row r="210" spans="1:27" ht="29.9" customHeight="1" thickBot="1">
      <c r="A210" s="183" t="s">
        <v>413</v>
      </c>
      <c r="B210" s="183" t="s">
        <v>600</v>
      </c>
      <c r="C210" s="207">
        <v>6.9444444444444447E-4</v>
      </c>
      <c r="E210" s="201">
        <v>1.0208333333333333</v>
      </c>
      <c r="X210" s="183" t="s">
        <v>413</v>
      </c>
      <c r="Y210" s="183" t="s">
        <v>603</v>
      </c>
      <c r="Z210" s="113"/>
      <c r="AA210" s="207">
        <v>1.0416666666666666E-2</v>
      </c>
    </row>
    <row r="211" spans="1:27" ht="39.5" thickBot="1">
      <c r="A211" s="183" t="s">
        <v>413</v>
      </c>
      <c r="B211" s="183" t="s">
        <v>603</v>
      </c>
      <c r="C211" s="207">
        <v>3.472222222222222E-3</v>
      </c>
      <c r="X211" s="183" t="s">
        <v>413</v>
      </c>
      <c r="Y211" s="183" t="s">
        <v>603</v>
      </c>
      <c r="Z211" s="113"/>
      <c r="AA211" s="207">
        <v>3.472222222222222E-3</v>
      </c>
    </row>
    <row r="212" spans="1:27" ht="39.5" thickBot="1">
      <c r="A212" s="183" t="s">
        <v>413</v>
      </c>
      <c r="B212" s="183" t="s">
        <v>603</v>
      </c>
      <c r="C212" s="207">
        <v>6.9444444444444447E-4</v>
      </c>
      <c r="X212" s="183" t="s">
        <v>413</v>
      </c>
      <c r="Y212" s="183" t="s">
        <v>603</v>
      </c>
      <c r="Z212" s="113"/>
      <c r="AA212" s="207">
        <v>6.2500000000000003E-3</v>
      </c>
    </row>
    <row r="213" spans="1:27" ht="39.5" thickBot="1">
      <c r="A213" s="183" t="s">
        <v>413</v>
      </c>
      <c r="B213" s="183" t="s">
        <v>603</v>
      </c>
      <c r="C213" s="207">
        <v>9.7222222222222224E-3</v>
      </c>
      <c r="X213" s="183" t="s">
        <v>531</v>
      </c>
      <c r="Y213" s="183" t="s">
        <v>764</v>
      </c>
      <c r="Z213" s="113"/>
      <c r="AA213" s="207">
        <v>1.0416666666666666E-2</v>
      </c>
    </row>
    <row r="214" spans="1:27" ht="29.9" customHeight="1" thickBot="1">
      <c r="A214" s="183" t="s">
        <v>413</v>
      </c>
      <c r="B214" s="183" t="s">
        <v>600</v>
      </c>
      <c r="C214" s="207">
        <v>6.9444444444444447E-4</v>
      </c>
      <c r="E214" s="6">
        <f>E210*24</f>
        <v>24.5</v>
      </c>
      <c r="X214" s="183" t="s">
        <v>413</v>
      </c>
      <c r="Y214" s="183" t="s">
        <v>600</v>
      </c>
      <c r="Z214" s="113"/>
      <c r="AA214" s="207">
        <v>2.1527777777777778E-2</v>
      </c>
    </row>
    <row r="215" spans="1:27" ht="39.5" thickBot="1">
      <c r="A215" s="183" t="s">
        <v>413</v>
      </c>
      <c r="B215" s="183" t="s">
        <v>603</v>
      </c>
      <c r="C215" s="207">
        <v>6.9444444444444447E-4</v>
      </c>
      <c r="X215" s="183" t="s">
        <v>531</v>
      </c>
      <c r="Y215" s="183" t="s">
        <v>764</v>
      </c>
      <c r="Z215" s="113"/>
      <c r="AA215" s="207">
        <v>2.1527777777777778E-2</v>
      </c>
    </row>
    <row r="216" spans="1:27" ht="39.5" thickBot="1">
      <c r="A216" s="183" t="s">
        <v>413</v>
      </c>
      <c r="B216" s="183" t="s">
        <v>603</v>
      </c>
      <c r="C216" s="207">
        <v>6.2500000000000003E-3</v>
      </c>
      <c r="X216" s="183" t="s">
        <v>413</v>
      </c>
      <c r="Y216" s="183" t="s">
        <v>603</v>
      </c>
      <c r="Z216" s="113"/>
      <c r="AA216" s="207">
        <v>1.3888888888888889E-3</v>
      </c>
    </row>
    <row r="217" spans="1:27" ht="39.5" thickBot="1">
      <c r="A217" s="183" t="s">
        <v>413</v>
      </c>
      <c r="B217" s="183" t="s">
        <v>603</v>
      </c>
      <c r="C217" s="207">
        <v>8.3333333333333332E-3</v>
      </c>
      <c r="X217" s="183" t="s">
        <v>413</v>
      </c>
      <c r="Y217" s="183" t="s">
        <v>603</v>
      </c>
      <c r="Z217" s="113"/>
      <c r="AA217" s="207">
        <v>3.472222222222222E-3</v>
      </c>
    </row>
    <row r="218" spans="1:27" ht="39.5" thickBot="1">
      <c r="A218" s="183" t="s">
        <v>413</v>
      </c>
      <c r="B218" s="183" t="s">
        <v>603</v>
      </c>
      <c r="C218" s="207">
        <v>3.472222222222222E-3</v>
      </c>
      <c r="X218" s="183" t="s">
        <v>413</v>
      </c>
      <c r="Y218" s="183" t="s">
        <v>603</v>
      </c>
      <c r="Z218" s="113"/>
      <c r="AA218" s="207">
        <v>6.2500000000000003E-3</v>
      </c>
    </row>
    <row r="219" spans="1:27" ht="39.5" thickBot="1">
      <c r="A219" s="183" t="s">
        <v>413</v>
      </c>
      <c r="B219" s="183" t="s">
        <v>603</v>
      </c>
      <c r="C219" s="207">
        <v>2.7777777777777779E-3</v>
      </c>
      <c r="X219" s="183" t="s">
        <v>413</v>
      </c>
      <c r="Y219" s="183" t="s">
        <v>603</v>
      </c>
      <c r="Z219" s="113"/>
      <c r="AA219" s="207">
        <v>1.6666666666666666E-2</v>
      </c>
    </row>
    <row r="220" spans="1:27" ht="39.5" thickBot="1">
      <c r="A220" s="183" t="s">
        <v>413</v>
      </c>
      <c r="B220" s="183" t="s">
        <v>603</v>
      </c>
      <c r="C220" s="207">
        <v>4.8611111111111112E-3</v>
      </c>
      <c r="F220" s="202">
        <f>SUM(C184:C231,C152:C182)</f>
        <v>1.2847222222222237</v>
      </c>
      <c r="X220" s="183" t="s">
        <v>413</v>
      </c>
      <c r="Y220" s="183" t="s">
        <v>600</v>
      </c>
      <c r="Z220" s="113"/>
      <c r="AA220" s="207">
        <v>2.7777777777777779E-3</v>
      </c>
    </row>
    <row r="221" spans="1:27" ht="29.9" customHeight="1" thickBot="1">
      <c r="A221" s="183" t="s">
        <v>413</v>
      </c>
      <c r="B221" s="183" t="s">
        <v>600</v>
      </c>
      <c r="C221" s="207">
        <v>5.5555555555555558E-3</v>
      </c>
      <c r="X221" s="183" t="s">
        <v>413</v>
      </c>
      <c r="Y221" s="183" t="s">
        <v>603</v>
      </c>
      <c r="Z221" s="113"/>
      <c r="AA221" s="207">
        <v>2.0833333333333333E-3</v>
      </c>
    </row>
    <row r="222" spans="1:27" ht="39.5" thickBot="1">
      <c r="A222" s="183" t="s">
        <v>413</v>
      </c>
      <c r="B222" s="183" t="s">
        <v>603</v>
      </c>
      <c r="C222" s="207">
        <v>6.2500000000000003E-3</v>
      </c>
      <c r="F222" s="6">
        <f>6+50/60</f>
        <v>6.833333333333333</v>
      </c>
      <c r="X222" s="183" t="s">
        <v>413</v>
      </c>
      <c r="Y222" s="183" t="s">
        <v>600</v>
      </c>
      <c r="Z222" s="113"/>
      <c r="AA222" s="207">
        <v>6.2500000000000003E-3</v>
      </c>
    </row>
    <row r="223" spans="1:27" ht="39.5" thickBot="1">
      <c r="A223" s="183" t="s">
        <v>413</v>
      </c>
      <c r="B223" s="183" t="s">
        <v>603</v>
      </c>
      <c r="C223" s="207">
        <v>8.3333333333333332E-3</v>
      </c>
      <c r="X223" s="183" t="s">
        <v>413</v>
      </c>
      <c r="Y223" s="183" t="s">
        <v>603</v>
      </c>
      <c r="Z223" s="113"/>
      <c r="AA223" s="207">
        <v>4.1666666666666666E-3</v>
      </c>
    </row>
    <row r="224" spans="1:27" ht="39.5" thickBot="1">
      <c r="A224" s="183" t="s">
        <v>413</v>
      </c>
      <c r="B224" s="183" t="s">
        <v>603</v>
      </c>
      <c r="C224" s="207">
        <v>3.472222222222222E-3</v>
      </c>
      <c r="X224" s="183" t="s">
        <v>413</v>
      </c>
      <c r="Y224" s="183" t="s">
        <v>600</v>
      </c>
      <c r="Z224" s="113"/>
      <c r="AA224" s="207">
        <v>6.9444444444444447E-4</v>
      </c>
    </row>
    <row r="225" spans="1:27" ht="39.5" thickBot="1">
      <c r="A225" s="183" t="s">
        <v>413</v>
      </c>
      <c r="B225" s="183" t="s">
        <v>603</v>
      </c>
      <c r="C225" s="207">
        <v>4.8611111111111112E-3</v>
      </c>
      <c r="X225" s="183" t="s">
        <v>413</v>
      </c>
      <c r="Y225" s="183" t="s">
        <v>603</v>
      </c>
      <c r="Z225" s="113"/>
      <c r="AA225" s="207">
        <v>3.472222222222222E-3</v>
      </c>
    </row>
    <row r="226" spans="1:27" ht="39.5" thickBot="1">
      <c r="A226" s="183" t="s">
        <v>413</v>
      </c>
      <c r="B226" s="183" t="s">
        <v>603</v>
      </c>
      <c r="C226" s="207">
        <v>3.472222222222222E-3</v>
      </c>
      <c r="X226" s="183" t="s">
        <v>413</v>
      </c>
      <c r="Y226" s="183" t="s">
        <v>603</v>
      </c>
      <c r="Z226" s="113"/>
      <c r="AA226" s="207">
        <v>6.9444444444444447E-4</v>
      </c>
    </row>
    <row r="227" spans="1:27" ht="39.5" thickBot="1">
      <c r="A227" s="183" t="s">
        <v>413</v>
      </c>
      <c r="B227" s="183" t="s">
        <v>603</v>
      </c>
      <c r="C227" s="207">
        <v>6.9444444444444441E-3</v>
      </c>
      <c r="X227" s="183" t="s">
        <v>413</v>
      </c>
      <c r="Y227" s="183" t="s">
        <v>603</v>
      </c>
      <c r="Z227" s="113"/>
      <c r="AA227" s="207">
        <v>9.7222222222222224E-3</v>
      </c>
    </row>
    <row r="228" spans="1:27" ht="39.5" thickBot="1">
      <c r="A228" s="183" t="s">
        <v>413</v>
      </c>
      <c r="B228" s="183" t="s">
        <v>600</v>
      </c>
      <c r="C228" s="207">
        <v>7.6388888888888886E-3</v>
      </c>
      <c r="X228" s="183" t="s">
        <v>413</v>
      </c>
      <c r="Y228" s="183" t="s">
        <v>600</v>
      </c>
      <c r="Z228" s="113"/>
      <c r="AA228" s="207">
        <v>6.9444444444444447E-4</v>
      </c>
    </row>
    <row r="229" spans="1:27" ht="39.5" thickBot="1">
      <c r="A229" s="183" t="s">
        <v>413</v>
      </c>
      <c r="B229" s="183" t="s">
        <v>603</v>
      </c>
      <c r="C229" s="207">
        <v>2.7777777777777779E-3</v>
      </c>
      <c r="X229" s="183" t="s">
        <v>413</v>
      </c>
      <c r="Y229" s="183" t="s">
        <v>603</v>
      </c>
      <c r="Z229" s="113"/>
      <c r="AA229" s="207">
        <v>6.9444444444444447E-4</v>
      </c>
    </row>
    <row r="230" spans="1:27" ht="39.5" thickBot="1">
      <c r="A230" s="183" t="s">
        <v>413</v>
      </c>
      <c r="B230" s="183" t="s">
        <v>603</v>
      </c>
      <c r="C230" s="207">
        <v>6.9444444444444447E-4</v>
      </c>
      <c r="X230" s="183" t="s">
        <v>413</v>
      </c>
      <c r="Y230" s="183" t="s">
        <v>603</v>
      </c>
      <c r="Z230" s="113"/>
      <c r="AA230" s="207">
        <v>6.2500000000000003E-3</v>
      </c>
    </row>
    <row r="231" spans="1:27" ht="39.5" thickBot="1">
      <c r="A231" s="183" t="s">
        <v>413</v>
      </c>
      <c r="B231" s="183" t="s">
        <v>603</v>
      </c>
      <c r="C231" s="207">
        <v>6.9444444444444441E-3</v>
      </c>
      <c r="X231" s="183" t="s">
        <v>531</v>
      </c>
      <c r="Y231" s="183" t="s">
        <v>764</v>
      </c>
      <c r="Z231" s="113"/>
      <c r="AA231" s="207">
        <v>0.33333333333333331</v>
      </c>
    </row>
    <row r="232" spans="1:27" ht="26.5" thickBot="1">
      <c r="X232" s="183" t="s">
        <v>413</v>
      </c>
      <c r="Y232" s="183" t="s">
        <v>603</v>
      </c>
      <c r="Z232" s="113"/>
      <c r="AA232" s="207">
        <v>8.3333333333333332E-3</v>
      </c>
    </row>
    <row r="233" spans="1:27" ht="26.5" thickBot="1">
      <c r="X233" s="183" t="s">
        <v>413</v>
      </c>
      <c r="Y233" s="183" t="s">
        <v>603</v>
      </c>
      <c r="Z233" s="113"/>
      <c r="AA233" s="207">
        <v>3.472222222222222E-3</v>
      </c>
    </row>
    <row r="234" spans="1:27" ht="26.5" thickBot="1">
      <c r="X234" s="183" t="s">
        <v>413</v>
      </c>
      <c r="Y234" s="183" t="s">
        <v>603</v>
      </c>
      <c r="Z234" s="113"/>
      <c r="AA234" s="207">
        <v>2.7777777777777779E-3</v>
      </c>
    </row>
    <row r="235" spans="1:27" ht="26.5" thickBot="1">
      <c r="C235" s="202"/>
      <c r="X235" s="183" t="s">
        <v>413</v>
      </c>
      <c r="Y235" s="183" t="s">
        <v>603</v>
      </c>
      <c r="Z235" s="113"/>
      <c r="AA235" s="207">
        <v>4.8611111111111112E-3</v>
      </c>
    </row>
    <row r="236" spans="1:27" ht="26.5" thickBot="1">
      <c r="C236" s="6"/>
      <c r="X236" s="183" t="s">
        <v>413</v>
      </c>
      <c r="Y236" s="183" t="s">
        <v>600</v>
      </c>
      <c r="Z236" s="113"/>
      <c r="AA236" s="207">
        <v>5.5555555555555558E-3</v>
      </c>
    </row>
    <row r="237" spans="1:27" ht="26.5" thickBot="1">
      <c r="C237" s="202"/>
      <c r="X237" s="183" t="s">
        <v>413</v>
      </c>
      <c r="Y237" s="183" t="s">
        <v>603</v>
      </c>
      <c r="Z237" s="113"/>
      <c r="AA237" s="207">
        <v>6.2500000000000003E-3</v>
      </c>
    </row>
    <row r="238" spans="1:27" ht="26.5" thickBot="1">
      <c r="X238" s="183" t="s">
        <v>413</v>
      </c>
      <c r="Y238" s="183" t="s">
        <v>603</v>
      </c>
      <c r="Z238" s="113"/>
      <c r="AA238" s="207">
        <v>8.3333333333333332E-3</v>
      </c>
    </row>
    <row r="239" spans="1:27" ht="26.5" thickBot="1">
      <c r="X239" s="183" t="s">
        <v>413</v>
      </c>
      <c r="Y239" s="183" t="s">
        <v>603</v>
      </c>
      <c r="Z239" s="113"/>
      <c r="AA239" s="207">
        <v>3.472222222222222E-3</v>
      </c>
    </row>
    <row r="240" spans="1:27" ht="26.5" thickBot="1">
      <c r="X240" s="183" t="s">
        <v>413</v>
      </c>
      <c r="Y240" s="183" t="s">
        <v>603</v>
      </c>
      <c r="Z240" s="113"/>
      <c r="AA240" s="207">
        <v>4.8611111111111112E-3</v>
      </c>
    </row>
    <row r="241" spans="24:27" ht="26.5" thickBot="1">
      <c r="X241" s="183" t="s">
        <v>413</v>
      </c>
      <c r="Y241" s="183" t="s">
        <v>603</v>
      </c>
      <c r="Z241" s="113"/>
      <c r="AA241" s="207">
        <v>3.472222222222222E-3</v>
      </c>
    </row>
    <row r="242" spans="24:27" ht="26.5" thickBot="1">
      <c r="X242" s="183" t="s">
        <v>413</v>
      </c>
      <c r="Y242" s="183" t="s">
        <v>603</v>
      </c>
      <c r="Z242" s="113"/>
      <c r="AA242" s="207">
        <v>6.9444444444444441E-3</v>
      </c>
    </row>
    <row r="243" spans="24:27" ht="26.5" thickBot="1">
      <c r="X243" s="183" t="s">
        <v>413</v>
      </c>
      <c r="Y243" s="183" t="s">
        <v>600</v>
      </c>
      <c r="Z243" s="113"/>
      <c r="AA243" s="207">
        <v>7.6388888888888886E-3</v>
      </c>
    </row>
    <row r="244" spans="24:27" ht="26.5" thickBot="1">
      <c r="X244" s="183" t="s">
        <v>413</v>
      </c>
      <c r="Y244" s="183" t="s">
        <v>603</v>
      </c>
      <c r="Z244" s="113"/>
      <c r="AA244" s="207">
        <v>2.7777777777777779E-3</v>
      </c>
    </row>
    <row r="245" spans="24:27" ht="26.5" thickBot="1">
      <c r="X245" s="183" t="s">
        <v>413</v>
      </c>
      <c r="Y245" s="183" t="s">
        <v>603</v>
      </c>
      <c r="Z245" s="113"/>
      <c r="AA245" s="207">
        <v>6.9444444444444447E-4</v>
      </c>
    </row>
    <row r="246" spans="24:27" ht="26.5" thickBot="1">
      <c r="X246" s="183" t="s">
        <v>413</v>
      </c>
      <c r="Y246" s="183" t="s">
        <v>603</v>
      </c>
      <c r="Z246" s="113"/>
      <c r="AA246" s="207">
        <v>6.9444444444444441E-3</v>
      </c>
    </row>
  </sheetData>
  <autoFilter ref="B31:H60" xr:uid="{16D079E9-5DAC-4B6E-9761-712536832F87}"/>
  <mergeCells count="76">
    <mergeCell ref="B30:G30"/>
    <mergeCell ref="B58:D59"/>
    <mergeCell ref="B60:E60"/>
    <mergeCell ref="B25:E26"/>
    <mergeCell ref="F25:G25"/>
    <mergeCell ref="E22:F22"/>
    <mergeCell ref="G22:H22"/>
    <mergeCell ref="I22:J22"/>
    <mergeCell ref="H25:I25"/>
    <mergeCell ref="F26:G26"/>
    <mergeCell ref="H26:I26"/>
    <mergeCell ref="E23:F23"/>
    <mergeCell ref="G23:H23"/>
    <mergeCell ref="I23:J23"/>
    <mergeCell ref="E24:F24"/>
    <mergeCell ref="G24:H24"/>
    <mergeCell ref="I24:J24"/>
    <mergeCell ref="E20:F20"/>
    <mergeCell ref="G20:H20"/>
    <mergeCell ref="I20:J20"/>
    <mergeCell ref="E21:F21"/>
    <mergeCell ref="G21:H21"/>
    <mergeCell ref="I21:J21"/>
    <mergeCell ref="E18:F18"/>
    <mergeCell ref="G18:H18"/>
    <mergeCell ref="I18:J18"/>
    <mergeCell ref="E19:F19"/>
    <mergeCell ref="G19:H19"/>
    <mergeCell ref="I19:J19"/>
    <mergeCell ref="E16:F16"/>
    <mergeCell ref="G16:H16"/>
    <mergeCell ref="I16:J16"/>
    <mergeCell ref="E17:F17"/>
    <mergeCell ref="G17:H17"/>
    <mergeCell ref="I17:J17"/>
    <mergeCell ref="E14:F14"/>
    <mergeCell ref="G14:H14"/>
    <mergeCell ref="I14:J14"/>
    <mergeCell ref="E15:F15"/>
    <mergeCell ref="G15:H15"/>
    <mergeCell ref="I15:J15"/>
    <mergeCell ref="E12:F12"/>
    <mergeCell ref="G12:H12"/>
    <mergeCell ref="I12:J12"/>
    <mergeCell ref="E13:F13"/>
    <mergeCell ref="G13:H13"/>
    <mergeCell ref="I13:J13"/>
    <mergeCell ref="E10:F10"/>
    <mergeCell ref="G10:H10"/>
    <mergeCell ref="I10:J10"/>
    <mergeCell ref="E11:F11"/>
    <mergeCell ref="G11:H11"/>
    <mergeCell ref="I11:J11"/>
    <mergeCell ref="I7:J7"/>
    <mergeCell ref="E8:F8"/>
    <mergeCell ref="G8:H8"/>
    <mergeCell ref="I8:J8"/>
    <mergeCell ref="E9:F9"/>
    <mergeCell ref="G9:H9"/>
    <mergeCell ref="I9:J9"/>
    <mergeCell ref="AU53:AZ53"/>
    <mergeCell ref="B93:D94"/>
    <mergeCell ref="AE11:AL11"/>
    <mergeCell ref="H74:T74"/>
    <mergeCell ref="B3:J3"/>
    <mergeCell ref="E4:F4"/>
    <mergeCell ref="G4:H4"/>
    <mergeCell ref="I4:J4"/>
    <mergeCell ref="E5:F5"/>
    <mergeCell ref="G5:H5"/>
    <mergeCell ref="I5:J5"/>
    <mergeCell ref="E6:F6"/>
    <mergeCell ref="G6:H6"/>
    <mergeCell ref="I6:J6"/>
    <mergeCell ref="E7:F7"/>
    <mergeCell ref="G7:H7"/>
  </mergeCells>
  <phoneticPr fontId="5" type="noConversion"/>
  <conditionalFormatting sqref="AR89">
    <cfRule type="cellIs" dxfId="2" priority="1" operator="lessThan">
      <formula>0</formula>
    </cfRule>
    <cfRule type="cellIs" dxfId="1" priority="2" operator="equal">
      <formula>"Informação pendente"</formula>
    </cfRule>
    <cfRule type="cellIs" dxfId="0" priority="3" operator="equal">
      <formula>""</formula>
    </cfRule>
  </conditionalFormatting>
  <dataValidations disablePrompts="1" count="5">
    <dataValidation type="list" allowBlank="1" showInputMessage="1" showErrorMessage="1" sqref="BG48:BG64 BE48:BE64 BK48:BK70 BI48:BI70" xr:uid="{76C409CB-C1D1-4A81-A9E6-C8E33E4524CF}">
      <formula1>$D$118:$D$190</formula1>
    </dataValidation>
    <dataValidation type="list" allowBlank="1" showInputMessage="1" showErrorMessage="1" sqref="BD48:BD70" xr:uid="{762EAF7F-55BB-49A1-91A3-0592AF722523}">
      <formula1>"Sim,Não"</formula1>
    </dataValidation>
    <dataValidation type="list" allowBlank="1" showInputMessage="1" showErrorMessage="1" sqref="BH48:BH70" xr:uid="{5D1492BB-4FD1-41CD-9BD8-EC4278D723D4}">
      <formula1>$C$105:$C$135</formula1>
    </dataValidation>
    <dataValidation type="custom" allowBlank="1" showInputMessage="1" showErrorMessage="1" sqref="AT104" xr:uid="{04099252-103D-4A89-8D5F-463589C365A1}">
      <formula1>OR(AT104&lt;=0,AT104="Informação pendente")</formula1>
    </dataValidation>
    <dataValidation type="decimal" allowBlank="1" showInputMessage="1" showErrorMessage="1" sqref="AR89" xr:uid="{E6FF6831-40EA-41AA-A08B-F44456DBCE50}">
      <formula1>-100000000</formula1>
      <formula2>0</formula2>
    </dataValidation>
  </dataValidations>
  <pageMargins left="0.511811024" right="0.511811024" top="0.78740157499999996" bottom="0.78740157499999996" header="0.31496062000000002" footer="0.31496062000000002"/>
  <pageSetup paperSize="9" orientation="portrait" r:id="rId1"/>
  <legacyDrawing r:id="rId2"/>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5E1FC9E3-43CA-46D5-9796-497BB4FB0A60}">
          <x14:formula1>
            <xm:f>'Categoria'!$A$2:$A$19</xm:f>
          </x14:formula1>
          <xm:sqref>Y150:Z153 B150:B152 K150 L57 L59:L61</xm:sqref>
        </x14:dataValidation>
        <x14:dataValidation type="list" allowBlank="1" showInputMessage="1" showErrorMessage="1" xr:uid="{AD49E7AD-4BDE-4180-AD02-BF628C37219E}">
          <x14:formula1>
            <xm:f>Unidade!$A$2:$A$12</xm:f>
          </x14:formula1>
          <xm:sqref>I150:J150 X150:X153 A150:A152</xm:sqref>
        </x14:dataValidation>
        <x14:dataValidation type="list" allowBlank="1" showInputMessage="1" showErrorMessage="1" xr:uid="{2DA0CBBF-C4ED-4B2D-A8CA-BC2BB76B3FAF}">
          <x14:formula1>
            <xm:f>Fornecedor!$A$2:$A$91</xm:f>
          </x14:formula1>
          <xm:sqref>AA150:AA153 C150:C152 L150 M57:P57 M59:P61</xm:sqref>
        </x14:dataValidation>
        <x14:dataValidation type="list" allowBlank="1" showInputMessage="1" showErrorMessage="1" xr:uid="{744EFF2E-BC0A-46A0-9F05-5AAD6807D826}">
          <x14:formula1>
            <xm:f>'Faturamento RJ'!$AA$2:$AA$964</xm:f>
          </x14:formula1>
          <xm:sqref>AB150:AB153 AE65:AE69</xm:sqref>
        </x14:dataValidation>
        <x14:dataValidation type="list" allowBlank="1" showInputMessage="1" showErrorMessage="1" xr:uid="{E90F0549-8B31-4FED-830E-DAC4A9CBDB19}">
          <x14:formula1>
            <xm:f>'Faturamento RJ'!$AA$695:$AA$983</xm:f>
          </x14:formula1>
          <xm:sqref>Q59:Q61 Q57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564e8028-addd-4340-acd4-4a505666a5dd" xsi:nil="true"/>
    <_Flow_SignoffStatus xmlns="0b46f2b2-356a-447b-8f85-4ae9544b99f5" xsi:nil="true"/>
    <_ip_UnifiedCompliancePolicyProperties xmlns="http://schemas.microsoft.com/sharepoint/v3" xsi:nil="true"/>
    <lcf76f155ced4ddcb4097134ff3c332f xmlns="0b46f2b2-356a-447b-8f85-4ae9544b99f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8983C72E11A5B4F9B0FBB006D7CA0BD" ma:contentTypeVersion="22" ma:contentTypeDescription="Crie um novo documento." ma:contentTypeScope="" ma:versionID="09fd28669111b58f39abe1642d944abf">
  <xsd:schema xmlns:xsd="http://www.w3.org/2001/XMLSchema" xmlns:xs="http://www.w3.org/2001/XMLSchema" xmlns:p="http://schemas.microsoft.com/office/2006/metadata/properties" xmlns:ns1="http://schemas.microsoft.com/sharepoint/v3" xmlns:ns2="564e8028-addd-4340-acd4-4a505666a5dd" xmlns:ns3="0b46f2b2-356a-447b-8f85-4ae9544b99f5" targetNamespace="http://schemas.microsoft.com/office/2006/metadata/properties" ma:root="true" ma:fieldsID="e848dbea7f3285b422fe6f39457a91bb" ns1:_="" ns2:_="" ns3:_="">
    <xsd:import namespace="http://schemas.microsoft.com/sharepoint/v3"/>
    <xsd:import namespace="564e8028-addd-4340-acd4-4a505666a5dd"/>
    <xsd:import namespace="0b46f2b2-356a-447b-8f85-4ae9544b99f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1:_ip_UnifiedCompliancePolicyProperties" minOccurs="0"/>
                <xsd:element ref="ns1:_ip_UnifiedCompliancePolicyUIAction" minOccurs="0"/>
                <xsd:element ref="ns3:MediaLengthInSeconds" minOccurs="0"/>
                <xsd:element ref="ns3:lcf76f155ced4ddcb4097134ff3c332f" minOccurs="0"/>
                <xsd:element ref="ns2:TaxCatchAll" minOccurs="0"/>
                <xsd:element ref="ns3:_Flow_SignoffStatu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Propriedades da Política de Conformidade Unificada" ma:hidden="true" ma:internalName="_ip_UnifiedCompliancePolicyProperties">
      <xsd:simpleType>
        <xsd:restriction base="dms:Note"/>
      </xsd:simpleType>
    </xsd:element>
    <xsd:element name="_ip_UnifiedCompliancePolicyUIAction" ma:index="21"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4e8028-addd-4340-acd4-4a505666a5dd"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25" nillable="true" ma:displayName="Taxonomy Catch All Column" ma:hidden="true" ma:list="{5e8f44fa-c85c-4ff8-ab23-21ba13c859e9}" ma:internalName="TaxCatchAll" ma:showField="CatchAllData" ma:web="564e8028-addd-4340-acd4-4a505666a5d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46f2b2-356a-447b-8f85-4ae9544b99f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Marcações de imagem" ma:readOnly="false" ma:fieldId="{5cf76f15-5ced-4ddc-b409-7134ff3c332f}" ma:taxonomyMulti="true" ma:sspId="8c2f6424-e5d4-469e-9cf1-9c20eb918e05" ma:termSetId="09814cd3-568e-fe90-9814-8d621ff8fb84" ma:anchorId="fba54fb3-c3e1-fe81-a776-ca4b69148c4d" ma:open="true" ma:isKeyword="false">
      <xsd:complexType>
        <xsd:sequence>
          <xsd:element ref="pc:Terms" minOccurs="0" maxOccurs="1"/>
        </xsd:sequence>
      </xsd:complexType>
    </xsd:element>
    <xsd:element name="_Flow_SignoffStatus" ma:index="26" nillable="true" ma:displayName="Status de liberação" ma:internalName="Status_x0020_de_x0020_libera_x00e7__x00e3_o">
      <xsd:simpleType>
        <xsd:restriction base="dms:Text"/>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file>

<file path=customXml/item5.xml>��
</file>

<file path=customXml/itemProps1.xml><?xml version="1.0" encoding="utf-8"?>
<ds:datastoreItem xmlns:ds="http://schemas.openxmlformats.org/officeDocument/2006/customXml" ds:itemID="{B3BC01F1-73EC-45B2-8658-98307DC06B91}">
  <ds:schemaRefs>
    <ds:schemaRef ds:uri="http://schemas.microsoft.com/office/2006/documentManagement/types"/>
    <ds:schemaRef ds:uri="http://purl.org/dc/terms/"/>
    <ds:schemaRef ds:uri="http://purl.org/dc/dcmitype/"/>
    <ds:schemaRef ds:uri="564e8028-addd-4340-acd4-4a505666a5dd"/>
    <ds:schemaRef ds:uri="http://schemas.microsoft.com/office/infopath/2007/PartnerControls"/>
    <ds:schemaRef ds:uri="http://schemas.openxmlformats.org/package/2006/metadata/core-properties"/>
    <ds:schemaRef ds:uri="http://www.w3.org/XML/1998/namespace"/>
    <ds:schemaRef ds:uri="http://purl.org/dc/elements/1.1/"/>
    <ds:schemaRef ds:uri="0b46f2b2-356a-447b-8f85-4ae9544b99f5"/>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094711CA-C07A-4758-891E-086A6E951131}">
  <ds:schemaRefs>
    <ds:schemaRef ds:uri="http://schemas.microsoft.com/sharepoint/v3/contenttype/forms"/>
  </ds:schemaRefs>
</ds:datastoreItem>
</file>

<file path=customXml/itemProps3.xml><?xml version="1.0" encoding="utf-8"?>
<ds:datastoreItem xmlns:ds="http://schemas.openxmlformats.org/officeDocument/2006/customXml" ds:itemID="{FD0A111A-7636-4AAC-A193-021F5C0A31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4e8028-addd-4340-acd4-4a505666a5dd"/>
    <ds:schemaRef ds:uri="0b46f2b2-356a-447b-8f85-4ae9544b99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C42F17C-C72C-4E0A-9A94-28BF696E6709}">
  <ds:schemaRefs>
    <ds:schemaRef ds:uri="http://schemas.microsoft.com/office/extensibility/maker/v1.0"/>
  </ds:schemaRefs>
</ds:datastoreItem>
</file>

<file path=customXml/itemProps5.xml><?xml version="1.0" encoding="utf-8"?>
<ds:datastoreItem xmlns:ds="http://schemas.openxmlformats.org/officeDocument/2006/customXml" ds:itemID="{0C72C7D9-2264-427D-BC7A-CC6D6CAC64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12</vt:i4>
      </vt:variant>
      <vt:variant>
        <vt:lpstr>Intervalos Nomeados</vt:lpstr>
      </vt:variant>
      <vt:variant>
        <vt:i4>2</vt:i4>
      </vt:variant>
    </vt:vector>
  </HeadingPairs>
  <TitlesOfParts>
    <vt:vector size="14" baseType="lpstr">
      <vt:lpstr>Unidade</vt:lpstr>
      <vt:lpstr>HC</vt:lpstr>
      <vt:lpstr>Fornecedor</vt:lpstr>
      <vt:lpstr>Categoria</vt:lpstr>
      <vt:lpstr>tabShoppingsEmails</vt:lpstr>
      <vt:lpstr>Teste</vt:lpstr>
      <vt:lpstr>Faturamento RJ</vt:lpstr>
      <vt:lpstr>Faltas | Cálculos</vt:lpstr>
      <vt:lpstr>Reajuste RJ</vt:lpstr>
      <vt:lpstr>Retroativo | Cálculos</vt:lpstr>
      <vt:lpstr>Condições de Faturamento</vt:lpstr>
      <vt:lpstr>Rascunho</vt:lpstr>
      <vt:lpstr>A</vt:lpstr>
      <vt:lpstr>'Faturamento RJ'!Area_de_impressao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Manoela Penna da Rocha</dc:creator>
  <cp:keywords/>
  <dc:description/>
  <cp:lastModifiedBy>Kaike Costa Lopes da Silva</cp:lastModifiedBy>
  <cp:revision/>
  <dcterms:created xsi:type="dcterms:W3CDTF">2023-03-01T18:40:48Z</dcterms:created>
  <dcterms:modified xsi:type="dcterms:W3CDTF">2025-11-24T20:23:55Z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0x01010048983C72E11A5B4F9B0FBB006D7CA0BD</vt:lpwstr>
  </property>
  <property fmtid="{D5CDD505-2E9C-101B-9397-08002B2CF9AE}" pid="3" name="MediaServiceImageTags">
    <vt:lpwstr/>
  </property>
</Properties>
</file>